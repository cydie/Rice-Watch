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 16-31" sheetId="1" r:id="rId5"/>
    <sheet state="visible" name="Apr 1-15" sheetId="2" r:id="rId6"/>
    <sheet state="visible" name="Apr 16-30" sheetId="3" r:id="rId7"/>
    <sheet state="visible" name="Mar 1-15" sheetId="4" r:id="rId8"/>
    <sheet state="visible" name="Feb 16-29" sheetId="5" r:id="rId9"/>
    <sheet state="visible" name="Feb 1-15" sheetId="6" r:id="rId10"/>
    <sheet state="visible" name="Jan 16-31" sheetId="7" r:id="rId11"/>
    <sheet state="visible" name="Jan 1-15" sheetId="8" r:id="rId12"/>
    <sheet state="hidden" name="Sept 30" sheetId="9" r:id="rId13"/>
    <sheet state="hidden" name="Sept 15" sheetId="10" r:id="rId14"/>
    <sheet state="hidden" name="Aug. 30" sheetId="11" r:id="rId15"/>
    <sheet state="hidden" name="Aug. 15" sheetId="12" r:id="rId16"/>
    <sheet state="hidden" name="July 30" sheetId="13" r:id="rId17"/>
    <sheet state="hidden" name="July 15" sheetId="14" r:id="rId18"/>
    <sheet state="hidden" name="June 30" sheetId="15" r:id="rId19"/>
    <sheet state="hidden" name="June 15" sheetId="16" r:id="rId20"/>
    <sheet state="hidden" name="May 31" sheetId="17" r:id="rId21"/>
    <sheet state="hidden" name="May 15" sheetId="18" r:id="rId22"/>
    <sheet state="hidden" name="April 30" sheetId="19" r:id="rId23"/>
    <sheet state="hidden" name="April 15" sheetId="20" r:id="rId24"/>
    <sheet state="hidden" name="Mar 31" sheetId="21" r:id="rId25"/>
    <sheet state="hidden" name="Mar 22" sheetId="22" r:id="rId26"/>
    <sheet state="hidden" name="Mar 15" sheetId="23" r:id="rId27"/>
    <sheet state="hidden" name="Feb 30" sheetId="24" r:id="rId28"/>
    <sheet state="hidden" name="Feb 15" sheetId="25" r:id="rId29"/>
    <sheet state="hidden" name="Jan 30" sheetId="26" r:id="rId30"/>
    <sheet state="hidden" name="Jan 15" sheetId="27" r:id="rId31"/>
    <sheet state="hidden" name="Dec 30" sheetId="28" r:id="rId32"/>
    <sheet state="hidden" name="Sheet3" sheetId="29" r:id="rId33"/>
  </sheets>
  <definedNames/>
  <calcPr/>
</workbook>
</file>

<file path=xl/sharedStrings.xml><?xml version="1.0" encoding="utf-8"?>
<sst xmlns="http://schemas.openxmlformats.org/spreadsheetml/2006/main" count="2386" uniqueCount="133">
  <si>
    <t>Rice</t>
  </si>
  <si>
    <t>Standing Crop 2026</t>
  </si>
  <si>
    <t>as of  March 31, 2026</t>
  </si>
  <si>
    <t>MUNICIPALITY / BARANGAY</t>
  </si>
  <si>
    <t>IRRIGATED (ha)</t>
  </si>
  <si>
    <t>RAINFED (ha)</t>
  </si>
  <si>
    <t>UPLAND (ha)</t>
  </si>
  <si>
    <t>GRAND TOTAL (ha)</t>
  </si>
  <si>
    <t>REMARKS</t>
  </si>
  <si>
    <t>Newly Planted/  Seedling Stage</t>
  </si>
  <si>
    <t xml:space="preserve">Vegetative    Stage            </t>
  </si>
  <si>
    <t xml:space="preserve">Reproductive       Stage             </t>
  </si>
  <si>
    <t xml:space="preserve">Maturing            Stage               </t>
  </si>
  <si>
    <t>TOTAL</t>
  </si>
  <si>
    <t xml:space="preserve">Newly Planted/  Seedling Stage </t>
  </si>
  <si>
    <t xml:space="preserve">Vegetative    Stage              </t>
  </si>
  <si>
    <t>Reproductive</t>
  </si>
  <si>
    <t>Rizal</t>
  </si>
  <si>
    <t>Bunog</t>
  </si>
  <si>
    <t>Campong Ulay</t>
  </si>
  <si>
    <t>Candawaga</t>
  </si>
  <si>
    <t>Canipaan</t>
  </si>
  <si>
    <t>Culasian</t>
  </si>
  <si>
    <t>Iraan</t>
  </si>
  <si>
    <t>Latud</t>
  </si>
  <si>
    <t>Panalingaan</t>
  </si>
  <si>
    <t>Punta Baja</t>
  </si>
  <si>
    <t>Ransang</t>
  </si>
  <si>
    <t>Taburi</t>
  </si>
  <si>
    <t>*15th and 30th day of the month submission</t>
  </si>
  <si>
    <t>as of  April 15, 2026</t>
  </si>
  <si>
    <t>as of  April 30, 2026</t>
  </si>
  <si>
    <t>as of  March 15</t>
  </si>
  <si>
    <t>as of  February 28</t>
  </si>
  <si>
    <t>as of  February 15</t>
  </si>
  <si>
    <t>as of  January 31</t>
  </si>
  <si>
    <t>as of  January 15</t>
  </si>
  <si>
    <t>Standing Crop</t>
  </si>
  <si>
    <t>Sept. 30, 2020</t>
  </si>
  <si>
    <t>Province/Ecosystem</t>
  </si>
  <si>
    <t>IRRIGATED</t>
  </si>
  <si>
    <t>RAINFED</t>
  </si>
  <si>
    <t>UPLAND</t>
  </si>
  <si>
    <t>GRAND TOTAL</t>
  </si>
  <si>
    <t>Newly Planted/  Seedling Stage (ha)</t>
  </si>
  <si>
    <t>Vegetative    Stage               (ha)</t>
  </si>
  <si>
    <t>Reproductive       Stage              (ha)</t>
  </si>
  <si>
    <t>Maturing            Stage               (ha)</t>
  </si>
  <si>
    <t>REGION IV-B</t>
  </si>
  <si>
    <t>MARINDUQUE</t>
  </si>
  <si>
    <t>Boac</t>
  </si>
  <si>
    <t>Buenavista</t>
  </si>
  <si>
    <t>Gasan</t>
  </si>
  <si>
    <t>Mogpog</t>
  </si>
  <si>
    <t>Sta. Cruz</t>
  </si>
  <si>
    <t>Torrijos</t>
  </si>
  <si>
    <t>OCCIDENTAL MINDORO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</si>
  <si>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</si>
  <si>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</si>
  <si>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</si>
  <si>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</si>
  <si>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</si>
  <si>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</si>
  <si>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</si>
  <si>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</si>
  <si>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San Jose</t>
  </si>
  <si>
    <t>ORIENTAL MINDORO</t>
  </si>
  <si>
    <t>Baco</t>
  </si>
  <si>
    <t>Bansud</t>
  </si>
  <si>
    <t>Bongabong</t>
  </si>
  <si>
    <t>Bulalacao</t>
  </si>
  <si>
    <t>Calapan City</t>
  </si>
  <si>
    <t>Gloria</t>
  </si>
  <si>
    <t>Mansalay</t>
  </si>
  <si>
    <t>Naujan</t>
  </si>
  <si>
    <t>Pinamalayan</t>
  </si>
  <si>
    <t>Pola</t>
  </si>
  <si>
    <t>Puerto Galera</t>
  </si>
  <si>
    <t>Roxas</t>
  </si>
  <si>
    <t>San Teodoro</t>
  </si>
  <si>
    <t>Socorro</t>
  </si>
  <si>
    <t>Victoria</t>
  </si>
  <si>
    <t>PALAWAN</t>
  </si>
  <si>
    <t>Aborlan</t>
  </si>
  <si>
    <t>Araceli</t>
  </si>
  <si>
    <t>Balabac</t>
  </si>
  <si>
    <t>Bataraza</t>
  </si>
  <si>
    <t>Brookes Point</t>
  </si>
  <si>
    <t>Busuanga</t>
  </si>
  <si>
    <t>Coron</t>
  </si>
  <si>
    <t>Culion</t>
  </si>
  <si>
    <t>Dumaran</t>
  </si>
  <si>
    <t>El Nido</t>
  </si>
  <si>
    <t>Espanola</t>
  </si>
  <si>
    <t>Narra</t>
  </si>
  <si>
    <t>Puerto Princesa City</t>
  </si>
  <si>
    <t>Quezon</t>
  </si>
  <si>
    <t>San Vicente</t>
  </si>
  <si>
    <t>Taytay</t>
  </si>
  <si>
    <t>ROMBLON</t>
  </si>
  <si>
    <t>Alcantara</t>
  </si>
  <si>
    <t>Cajidiocan</t>
  </si>
  <si>
    <t>Calatrava</t>
  </si>
  <si>
    <t>Ferrol</t>
  </si>
  <si>
    <t>Magdiwang</t>
  </si>
  <si>
    <t>Odiongan</t>
  </si>
  <si>
    <t>Romblon</t>
  </si>
  <si>
    <t>San Agustin</t>
  </si>
  <si>
    <t>San Andres</t>
  </si>
  <si>
    <t>San Fernando</t>
  </si>
  <si>
    <t>Sta. Fe</t>
  </si>
  <si>
    <t>Sta. Maria</t>
  </si>
  <si>
    <t>Corcuera</t>
  </si>
  <si>
    <t>Sept. 15, 2020</t>
  </si>
  <si>
    <t>updated</t>
  </si>
  <si>
    <t>Aug. 30, 2020</t>
  </si>
  <si>
    <t>Aug. 15, 2020</t>
  </si>
  <si>
    <t>July 30, 2020</t>
  </si>
  <si>
    <t>July 15, 2020</t>
  </si>
  <si>
    <t>June 30, 2020</t>
  </si>
  <si>
    <t>June 15, 2020</t>
  </si>
  <si>
    <t>May 31, 2020</t>
  </si>
  <si>
    <t>May 15, 2020</t>
  </si>
  <si>
    <t>April 30, 2020</t>
  </si>
  <si>
    <t>April 15, 2020</t>
  </si>
  <si>
    <t>March 31, 2020</t>
  </si>
  <si>
    <t>March 22, 2020</t>
  </si>
  <si>
    <t>March 15, 2020</t>
  </si>
  <si>
    <t>February 30, 2020</t>
  </si>
  <si>
    <t>February 15, 2020</t>
  </si>
  <si>
    <t>January 30, 2020</t>
  </si>
  <si>
    <t>January 15, 2020</t>
  </si>
  <si>
    <t>December 30,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</si>
</sst>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* #,##0_);_(* \(#,##0\);_(* &quot;-&quot;??_);_(@_)"/>
  </numFmts>
  <fonts count="11">
    <font>
      <sz val="11.0"/>
      <color theme="1"/>
      <name val="Calibri"/>
      <scheme val="minor"/>
    </font>
    <font>
      <b/>
      <sz val="16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2.0"/>
      <color rgb="FFFF0000"/>
      <name val="Calibri"/>
    </font>
    <font>
      <b/>
      <sz val="12.0"/>
      <color theme="1"/>
      <name val="Calibri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CF305"/>
        <bgColor rgb="FFFCF305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left" readingOrder="0"/>
    </xf>
    <xf borderId="0" fillId="0" fontId="4" numFmtId="164" xfId="0" applyFont="1" applyNumberFormat="1"/>
    <xf borderId="1" fillId="0" fontId="5" numFmtId="164" xfId="0" applyAlignment="1" applyBorder="1" applyFont="1" applyNumberFormat="1">
      <alignment horizontal="center" shrinkToFit="0" vertical="center" wrapText="1"/>
    </xf>
    <xf borderId="2" fillId="0" fontId="5" numFmtId="164" xfId="0" applyAlignment="1" applyBorder="1" applyFont="1" applyNumberForma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3" fillId="0" fontId="5" numFmtId="164" xfId="0" applyAlignment="1" applyBorder="1" applyFont="1" applyNumberFormat="1">
      <alignment horizontal="center" vertical="center"/>
    </xf>
    <xf borderId="5" fillId="0" fontId="6" numFmtId="0" xfId="0" applyBorder="1" applyFont="1"/>
    <xf borderId="6" fillId="0" fontId="5" numFmtId="164" xfId="0" applyAlignment="1" applyBorder="1" applyFont="1" applyNumberFormat="1">
      <alignment horizontal="center" vertical="center"/>
    </xf>
    <xf borderId="7" fillId="0" fontId="7" numFmtId="0" xfId="0" applyBorder="1" applyFont="1"/>
    <xf borderId="8" fillId="0" fontId="5" numFmtId="164" xfId="0" applyAlignment="1" applyBorder="1" applyFont="1" applyNumberForma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shrinkToFit="0" vertical="center" wrapText="1"/>
    </xf>
    <xf borderId="12" fillId="0" fontId="5" numFmtId="164" xfId="0" applyAlignment="1" applyBorder="1" applyFont="1" applyNumberForma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2" fontId="8" numFmtId="165" xfId="0" applyAlignment="1" applyBorder="1" applyFill="1" applyFont="1" applyNumberFormat="1">
      <alignment vertical="center"/>
    </xf>
    <xf borderId="26" fillId="2" fontId="8" numFmtId="164" xfId="0" applyAlignment="1" applyBorder="1" applyFont="1" applyNumberFormat="1">
      <alignment horizontal="left"/>
    </xf>
    <xf borderId="27" fillId="2" fontId="8" numFmtId="164" xfId="0" applyAlignment="1" applyBorder="1" applyFont="1" applyNumberFormat="1">
      <alignment horizontal="left"/>
    </xf>
    <xf borderId="28" fillId="2" fontId="8" numFmtId="164" xfId="0" applyAlignment="1" applyBorder="1" applyFont="1" applyNumberFormat="1">
      <alignment horizontal="left"/>
    </xf>
    <xf borderId="29" fillId="2" fontId="8" numFmtId="164" xfId="0" applyAlignment="1" applyBorder="1" applyFont="1" applyNumberFormat="1">
      <alignment horizontal="left"/>
    </xf>
    <xf borderId="30" fillId="2" fontId="8" numFmtId="164" xfId="0" applyAlignment="1" applyBorder="1" applyFont="1" applyNumberFormat="1">
      <alignment horizontal="left"/>
    </xf>
    <xf borderId="31" fillId="2" fontId="8" numFmtId="164" xfId="0" applyAlignment="1" applyBorder="1" applyFont="1" applyNumberFormat="1">
      <alignment horizontal="left"/>
    </xf>
    <xf borderId="32" fillId="2" fontId="8" numFmtId="164" xfId="0" applyAlignment="1" applyBorder="1" applyFont="1" applyNumberFormat="1">
      <alignment horizontal="left"/>
    </xf>
    <xf borderId="33" fillId="2" fontId="8" numFmtId="164" xfId="0" applyAlignment="1" applyBorder="1" applyFont="1" applyNumberFormat="1">
      <alignment horizontal="left"/>
    </xf>
    <xf borderId="28" fillId="0" fontId="2" numFmtId="164" xfId="0" applyBorder="1" applyFont="1" applyNumberFormat="1"/>
    <xf borderId="34" fillId="0" fontId="9" numFmtId="165" xfId="0" applyAlignment="1" applyBorder="1" applyFont="1" applyNumberFormat="1">
      <alignment horizontal="left" vertical="center"/>
    </xf>
    <xf borderId="26" fillId="0" fontId="9" numFmtId="164" xfId="0" applyAlignment="1" applyBorder="1" applyFont="1" applyNumberFormat="1">
      <alignment horizontal="left" readingOrder="0"/>
    </xf>
    <xf borderId="27" fillId="0" fontId="9" numFmtId="164" xfId="0" applyAlignment="1" applyBorder="1" applyFont="1" applyNumberFormat="1">
      <alignment horizontal="left" readingOrder="0"/>
    </xf>
    <xf borderId="28" fillId="0" fontId="9" numFmtId="164" xfId="0" applyAlignment="1" applyBorder="1" applyFont="1" applyNumberFormat="1">
      <alignment horizontal="left"/>
    </xf>
    <xf borderId="35" fillId="0" fontId="9" numFmtId="164" xfId="0" applyAlignment="1" applyBorder="1" applyFont="1" applyNumberFormat="1">
      <alignment horizontal="left" readingOrder="0"/>
    </xf>
    <xf borderId="36" fillId="0" fontId="9" numFmtId="164" xfId="0" applyAlignment="1" applyBorder="1" applyFont="1" applyNumberFormat="1">
      <alignment horizontal="left"/>
    </xf>
    <xf borderId="26" fillId="0" fontId="9" numFmtId="164" xfId="0" applyAlignment="1" applyBorder="1" applyFont="1" applyNumberFormat="1">
      <alignment horizontal="left"/>
    </xf>
    <xf borderId="27" fillId="0" fontId="9" numFmtId="164" xfId="0" applyAlignment="1" applyBorder="1" applyFont="1" applyNumberFormat="1">
      <alignment horizontal="left"/>
    </xf>
    <xf borderId="35" fillId="0" fontId="9" numFmtId="164" xfId="0" applyAlignment="1" applyBorder="1" applyFont="1" applyNumberFormat="1">
      <alignment horizontal="left"/>
    </xf>
    <xf borderId="37" fillId="0" fontId="9" numFmtId="165" xfId="0" applyAlignment="1" applyBorder="1" applyFont="1" applyNumberFormat="1">
      <alignment horizontal="left" vertical="center"/>
    </xf>
    <xf borderId="38" fillId="0" fontId="9" numFmtId="164" xfId="0" applyAlignment="1" applyBorder="1" applyFont="1" applyNumberFormat="1">
      <alignment horizontal="left"/>
    </xf>
    <xf borderId="39" fillId="0" fontId="9" numFmtId="164" xfId="0" applyAlignment="1" applyBorder="1" applyFont="1" applyNumberFormat="1">
      <alignment horizontal="left"/>
    </xf>
    <xf borderId="40" fillId="0" fontId="9" numFmtId="164" xfId="0" applyAlignment="1" applyBorder="1" applyFont="1" applyNumberFormat="1">
      <alignment horizontal="left"/>
    </xf>
    <xf borderId="41" fillId="0" fontId="9" numFmtId="164" xfId="0" applyAlignment="1" applyBorder="1" applyFont="1" applyNumberFormat="1">
      <alignment horizontal="left"/>
    </xf>
    <xf borderId="42" fillId="0" fontId="9" numFmtId="164" xfId="0" applyAlignment="1" applyBorder="1" applyFont="1" applyNumberFormat="1">
      <alignment horizontal="left"/>
    </xf>
    <xf borderId="40" fillId="0" fontId="2" numFmtId="164" xfId="0" applyBorder="1" applyFont="1" applyNumberForma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1" numFmtId="15" xfId="0" applyFont="1" applyNumberFormat="1"/>
    <xf borderId="43" fillId="0" fontId="5" numFmtId="164" xfId="0" applyAlignment="1" applyBorder="1" applyFont="1" applyNumberFormat="1">
      <alignment horizontal="center" shrinkToFit="0" vertical="center" wrapText="1"/>
    </xf>
    <xf borderId="44" fillId="0" fontId="5" numFmtId="164" xfId="0" applyAlignment="1" applyBorder="1" applyFont="1" applyNumberForma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3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45" fillId="3" fontId="10" numFmtId="164" xfId="0" applyAlignment="1" applyBorder="1" applyFill="1" applyFont="1" applyNumberFormat="1">
      <alignment shrinkToFit="0" vertical="center" wrapText="1"/>
    </xf>
    <xf borderId="46" fillId="3" fontId="10" numFmtId="164" xfId="0" applyAlignment="1" applyBorder="1" applyFont="1" applyNumberFormat="1">
      <alignment shrinkToFit="0" vertical="center" wrapText="1"/>
    </xf>
    <xf borderId="47" fillId="3" fontId="10" numFmtId="164" xfId="0" applyAlignment="1" applyBorder="1" applyFont="1" applyNumberFormat="1">
      <alignment shrinkToFit="0" vertical="center" wrapText="1"/>
    </xf>
    <xf borderId="45" fillId="2" fontId="8" numFmtId="164" xfId="0" applyAlignment="1" applyBorder="1" applyFont="1" applyNumberFormat="1">
      <alignment horizontal="left" vertical="center"/>
    </xf>
    <xf borderId="46" fillId="4" fontId="8" numFmtId="164" xfId="0" applyAlignment="1" applyBorder="1" applyFill="1" applyFont="1" applyNumberFormat="1">
      <alignment horizontal="left" vertical="center"/>
    </xf>
    <xf borderId="48" fillId="0" fontId="9" numFmtId="165" xfId="0" applyAlignment="1" applyBorder="1" applyFont="1" applyNumberFormat="1">
      <alignment horizontal="left" vertical="center"/>
    </xf>
    <xf borderId="49" fillId="0" fontId="9" numFmtId="164" xfId="0" applyAlignment="1" applyBorder="1" applyFont="1" applyNumberFormat="1">
      <alignment horizontal="left"/>
    </xf>
    <xf borderId="50" fillId="0" fontId="9" numFmtId="164" xfId="0" applyAlignment="1" applyBorder="1" applyFont="1" applyNumberFormat="1">
      <alignment horizontal="left"/>
    </xf>
    <xf borderId="51" fillId="0" fontId="9" numFmtId="164" xfId="0" applyAlignment="1" applyBorder="1" applyFont="1" applyNumberFormat="1">
      <alignment horizontal="left"/>
    </xf>
    <xf borderId="52" fillId="0" fontId="9" numFmtId="164" xfId="0" applyAlignment="1" applyBorder="1" applyFont="1" applyNumberFormat="1">
      <alignment horizontal="left"/>
    </xf>
    <xf borderId="53" fillId="0" fontId="9" numFmtId="164" xfId="0" applyAlignment="1" applyBorder="1" applyFont="1" applyNumberFormat="1">
      <alignment horizontal="left"/>
    </xf>
    <xf borderId="16" fillId="0" fontId="9" numFmtId="164" xfId="0" applyAlignment="1" applyBorder="1" applyFont="1" applyNumberFormat="1">
      <alignment horizontal="left"/>
    </xf>
    <xf borderId="47" fillId="4" fontId="8" numFmtId="164" xfId="0" applyAlignment="1" applyBorder="1" applyFont="1" applyNumberFormat="1">
      <alignment horizontal="left" vertical="center"/>
    </xf>
    <xf borderId="0" fillId="0" fontId="9" numFmtId="164" xfId="0" applyAlignment="1" applyFont="1" applyNumberFormat="1">
      <alignment horizontal="left"/>
    </xf>
    <xf borderId="48" fillId="5" fontId="9" numFmtId="165" xfId="0" applyAlignment="1" applyBorder="1" applyFill="1" applyFont="1" applyNumberFormat="1">
      <alignment horizontal="left" vertical="center"/>
    </xf>
    <xf borderId="51" fillId="5" fontId="9" numFmtId="164" xfId="0" applyAlignment="1" applyBorder="1" applyFont="1" applyNumberFormat="1">
      <alignment horizontal="left"/>
    </xf>
    <xf borderId="54" fillId="5" fontId="9" numFmtId="164" xfId="0" applyAlignment="1" applyBorder="1" applyFont="1" applyNumberFormat="1">
      <alignment horizontal="left"/>
    </xf>
    <xf borderId="55" fillId="5" fontId="9" numFmtId="164" xfId="0" applyAlignment="1" applyBorder="1" applyFont="1" applyNumberFormat="1">
      <alignment horizontal="left"/>
    </xf>
    <xf borderId="52" fillId="5" fontId="9" numFmtId="164" xfId="0" applyAlignment="1" applyBorder="1" applyFont="1" applyNumberFormat="1">
      <alignment horizontal="left"/>
    </xf>
    <xf borderId="56" fillId="5" fontId="2" numFmtId="164" xfId="0" applyBorder="1" applyFont="1" applyNumberFormat="1"/>
    <xf borderId="56" fillId="5" fontId="6" numFmtId="0" xfId="0" applyBorder="1" applyFont="1"/>
    <xf borderId="9" fillId="0" fontId="9" numFmtId="164" xfId="0" applyAlignment="1" applyBorder="1" applyFont="1" applyNumberFormat="1">
      <alignment horizontal="left"/>
    </xf>
    <xf borderId="10" fillId="0" fontId="9" numFmtId="164" xfId="0" applyAlignment="1" applyBorder="1" applyFont="1" applyNumberForma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1.86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27.5</v>
      </c>
      <c r="C9" s="32">
        <f t="shared" si="1"/>
        <v>1235.5</v>
      </c>
      <c r="D9" s="32">
        <f t="shared" si="1"/>
        <v>453.3</v>
      </c>
      <c r="E9" s="32">
        <f t="shared" si="1"/>
        <v>434.8</v>
      </c>
      <c r="F9" s="33">
        <f t="shared" ref="F9:F21" si="5">SUM(B9:E9)</f>
        <v>2151.1</v>
      </c>
      <c r="G9" s="34">
        <f t="shared" ref="G9:J9" si="2">SUM(G10:G21)</f>
        <v>0</v>
      </c>
      <c r="H9" s="32">
        <f t="shared" si="2"/>
        <v>444.9</v>
      </c>
      <c r="I9" s="32">
        <f t="shared" si="2"/>
        <v>246.7</v>
      </c>
      <c r="J9" s="32">
        <f t="shared" si="2"/>
        <v>320.5</v>
      </c>
      <c r="K9" s="35">
        <f t="shared" ref="K9:K21" si="6">SUM(G9:J9)</f>
        <v>1012.1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27.5</v>
      </c>
      <c r="R9" s="37">
        <f t="shared" si="4"/>
        <v>1680.4</v>
      </c>
      <c r="S9" s="37">
        <f t="shared" si="4"/>
        <v>700</v>
      </c>
      <c r="T9" s="37">
        <f t="shared" si="4"/>
        <v>755.3</v>
      </c>
      <c r="U9" s="32">
        <f t="shared" ref="U9:U21" si="9">SUM(Q9:T9)</f>
        <v>3163.2</v>
      </c>
      <c r="V9" s="39"/>
    </row>
    <row r="10" ht="15.0" customHeight="1">
      <c r="A10" s="40" t="s">
        <v>18</v>
      </c>
      <c r="B10" s="41">
        <v>3.0</v>
      </c>
      <c r="C10" s="42">
        <v>3.5</v>
      </c>
      <c r="D10" s="42">
        <v>8.1</v>
      </c>
      <c r="E10" s="42">
        <v>9.0</v>
      </c>
      <c r="F10" s="43">
        <f t="shared" si="5"/>
        <v>23.6</v>
      </c>
      <c r="G10" s="44">
        <v>0.0</v>
      </c>
      <c r="H10" s="42">
        <v>26.0</v>
      </c>
      <c r="I10" s="42">
        <v>11.9</v>
      </c>
      <c r="J10" s="42">
        <v>10.0</v>
      </c>
      <c r="K10" s="45">
        <f t="shared" si="6"/>
        <v>47.9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3</v>
      </c>
      <c r="R10" s="48">
        <f t="shared" si="8"/>
        <v>29.5</v>
      </c>
      <c r="S10" s="48">
        <f t="shared" si="8"/>
        <v>20</v>
      </c>
      <c r="T10" s="48">
        <f t="shared" si="8"/>
        <v>19</v>
      </c>
      <c r="U10" s="47">
        <f t="shared" si="9"/>
        <v>71.5</v>
      </c>
      <c r="V10" s="39"/>
    </row>
    <row r="11" ht="15.0" customHeight="1">
      <c r="A11" s="40" t="s">
        <v>19</v>
      </c>
      <c r="B11" s="41">
        <v>0.0</v>
      </c>
      <c r="C11" s="42">
        <v>49.8</v>
      </c>
      <c r="D11" s="42">
        <v>31.0</v>
      </c>
      <c r="E11" s="42">
        <v>45.7</v>
      </c>
      <c r="F11" s="43">
        <f t="shared" si="5"/>
        <v>126.5</v>
      </c>
      <c r="G11" s="44">
        <v>0.0</v>
      </c>
      <c r="H11" s="42">
        <v>3.5</v>
      </c>
      <c r="I11" s="42">
        <v>3.0</v>
      </c>
      <c r="J11" s="42">
        <v>0.0</v>
      </c>
      <c r="K11" s="45">
        <f t="shared" si="6"/>
        <v>6.5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53.3</v>
      </c>
      <c r="S11" s="48">
        <f t="shared" si="10"/>
        <v>34</v>
      </c>
      <c r="T11" s="48">
        <f t="shared" si="10"/>
        <v>45.7</v>
      </c>
      <c r="U11" s="47">
        <f t="shared" si="9"/>
        <v>133</v>
      </c>
      <c r="V11" s="39"/>
    </row>
    <row r="12" ht="15.0" customHeight="1">
      <c r="A12" s="40" t="s">
        <v>20</v>
      </c>
      <c r="B12" s="41">
        <v>9.0</v>
      </c>
      <c r="C12" s="42">
        <v>428.0</v>
      </c>
      <c r="D12" s="42">
        <v>0.0</v>
      </c>
      <c r="E12" s="42">
        <v>96.2</v>
      </c>
      <c r="F12" s="43">
        <f t="shared" si="5"/>
        <v>533.2</v>
      </c>
      <c r="G12" s="44">
        <v>0.0</v>
      </c>
      <c r="H12" s="42">
        <v>50.1</v>
      </c>
      <c r="I12" s="42">
        <v>0.0</v>
      </c>
      <c r="J12" s="42">
        <v>34.6</v>
      </c>
      <c r="K12" s="45">
        <f t="shared" si="6"/>
        <v>84.7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9</v>
      </c>
      <c r="R12" s="48">
        <f t="shared" si="11"/>
        <v>478.1</v>
      </c>
      <c r="S12" s="48">
        <f t="shared" si="11"/>
        <v>0</v>
      </c>
      <c r="T12" s="48">
        <f t="shared" si="11"/>
        <v>130.8</v>
      </c>
      <c r="U12" s="47">
        <f t="shared" si="9"/>
        <v>617.9</v>
      </c>
      <c r="V12" s="39"/>
    </row>
    <row r="13" ht="15.0" customHeight="1">
      <c r="A13" s="40" t="s">
        <v>21</v>
      </c>
      <c r="B13" s="41">
        <v>0.0</v>
      </c>
      <c r="C13" s="42">
        <v>14.7</v>
      </c>
      <c r="D13" s="42">
        <v>0.0</v>
      </c>
      <c r="E13" s="42">
        <v>30.3</v>
      </c>
      <c r="F13" s="43">
        <f t="shared" si="5"/>
        <v>45</v>
      </c>
      <c r="G13" s="44">
        <v>0.0</v>
      </c>
      <c r="H13" s="42">
        <v>47.5</v>
      </c>
      <c r="I13" s="42">
        <v>0.0</v>
      </c>
      <c r="J13" s="42">
        <v>130.7</v>
      </c>
      <c r="K13" s="45">
        <f t="shared" si="6"/>
        <v>178.2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62.2</v>
      </c>
      <c r="S13" s="48">
        <f t="shared" si="12"/>
        <v>0</v>
      </c>
      <c r="T13" s="48">
        <f t="shared" si="12"/>
        <v>161</v>
      </c>
      <c r="U13" s="47">
        <f t="shared" si="9"/>
        <v>223.2</v>
      </c>
      <c r="V13" s="39"/>
    </row>
    <row r="14" ht="15.0" customHeight="1">
      <c r="A14" s="40" t="s">
        <v>22</v>
      </c>
      <c r="B14" s="41">
        <v>0.0</v>
      </c>
      <c r="C14" s="42">
        <v>143.5</v>
      </c>
      <c r="D14" s="42">
        <v>0.0</v>
      </c>
      <c r="E14" s="42">
        <v>21.5</v>
      </c>
      <c r="F14" s="43">
        <f t="shared" si="5"/>
        <v>165</v>
      </c>
      <c r="G14" s="44">
        <v>0.0</v>
      </c>
      <c r="H14" s="42">
        <v>51.5</v>
      </c>
      <c r="I14" s="42">
        <v>0.0</v>
      </c>
      <c r="J14" s="42">
        <v>9.0</v>
      </c>
      <c r="K14" s="45">
        <f t="shared" si="6"/>
        <v>60.5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195</v>
      </c>
      <c r="S14" s="48">
        <f t="shared" si="13"/>
        <v>0</v>
      </c>
      <c r="T14" s="48">
        <f t="shared" si="13"/>
        <v>30.5</v>
      </c>
      <c r="U14" s="47">
        <f t="shared" si="9"/>
        <v>225.5</v>
      </c>
      <c r="V14" s="39"/>
    </row>
    <row r="15" ht="15.0" customHeight="1">
      <c r="A15" s="40" t="s">
        <v>23</v>
      </c>
      <c r="B15" s="41">
        <v>5.1</v>
      </c>
      <c r="C15" s="42">
        <v>170.2</v>
      </c>
      <c r="D15" s="42">
        <v>50.3</v>
      </c>
      <c r="E15" s="42">
        <v>46.8</v>
      </c>
      <c r="F15" s="43">
        <f t="shared" si="5"/>
        <v>272.4</v>
      </c>
      <c r="G15" s="44">
        <v>0.0</v>
      </c>
      <c r="H15" s="42">
        <v>137.0</v>
      </c>
      <c r="I15" s="42">
        <v>12.0</v>
      </c>
      <c r="J15" s="42">
        <v>20.0</v>
      </c>
      <c r="K15" s="45">
        <f t="shared" si="6"/>
        <v>169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5.1</v>
      </c>
      <c r="R15" s="48">
        <f t="shared" si="14"/>
        <v>307.2</v>
      </c>
      <c r="S15" s="48">
        <f t="shared" si="14"/>
        <v>62.3</v>
      </c>
      <c r="T15" s="48">
        <f t="shared" si="14"/>
        <v>66.8</v>
      </c>
      <c r="U15" s="47">
        <f t="shared" si="9"/>
        <v>441.4</v>
      </c>
      <c r="V15" s="39"/>
    </row>
    <row r="16" ht="15.0" customHeight="1">
      <c r="A16" s="40" t="s">
        <v>24</v>
      </c>
      <c r="B16" s="41">
        <v>0.0</v>
      </c>
      <c r="C16" s="42">
        <v>18.5</v>
      </c>
      <c r="D16" s="42">
        <v>0.0</v>
      </c>
      <c r="E16" s="42">
        <v>0.0</v>
      </c>
      <c r="F16" s="43">
        <f t="shared" si="5"/>
        <v>18.5</v>
      </c>
      <c r="G16" s="44">
        <v>0.0</v>
      </c>
      <c r="H16" s="42">
        <v>52.0</v>
      </c>
      <c r="I16" s="42">
        <v>40.3</v>
      </c>
      <c r="J16" s="42">
        <v>0.0</v>
      </c>
      <c r="K16" s="45">
        <f t="shared" si="6"/>
        <v>92.3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70.5</v>
      </c>
      <c r="S16" s="48">
        <f t="shared" si="15"/>
        <v>40.3</v>
      </c>
      <c r="T16" s="48">
        <f t="shared" si="15"/>
        <v>0</v>
      </c>
      <c r="U16" s="47">
        <f t="shared" si="9"/>
        <v>110.8</v>
      </c>
      <c r="V16" s="39"/>
    </row>
    <row r="17" ht="15.0" customHeight="1">
      <c r="A17" s="40" t="s">
        <v>25</v>
      </c>
      <c r="B17" s="41">
        <v>0.0</v>
      </c>
      <c r="C17" s="42">
        <v>110.7</v>
      </c>
      <c r="D17" s="42">
        <v>37.0</v>
      </c>
      <c r="E17" s="42">
        <v>37.0</v>
      </c>
      <c r="F17" s="43">
        <f t="shared" si="5"/>
        <v>184.7</v>
      </c>
      <c r="G17" s="44">
        <v>0.0</v>
      </c>
      <c r="H17" s="42">
        <v>0.0</v>
      </c>
      <c r="I17" s="42">
        <v>18.0</v>
      </c>
      <c r="J17" s="42">
        <v>21.0</v>
      </c>
      <c r="K17" s="45">
        <f t="shared" si="6"/>
        <v>39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110.7</v>
      </c>
      <c r="S17" s="48">
        <f t="shared" si="16"/>
        <v>55</v>
      </c>
      <c r="T17" s="48">
        <f t="shared" si="16"/>
        <v>58</v>
      </c>
      <c r="U17" s="47">
        <f t="shared" si="9"/>
        <v>223.7</v>
      </c>
      <c r="V17" s="39"/>
    </row>
    <row r="18" ht="15.0" customHeight="1">
      <c r="A18" s="40" t="s">
        <v>26</v>
      </c>
      <c r="B18" s="41">
        <v>9.4</v>
      </c>
      <c r="C18" s="42">
        <v>158.0</v>
      </c>
      <c r="D18" s="42">
        <v>285.4</v>
      </c>
      <c r="E18" s="42">
        <v>128.3</v>
      </c>
      <c r="F18" s="43">
        <f t="shared" si="5"/>
        <v>581.1</v>
      </c>
      <c r="G18" s="44">
        <v>0.0</v>
      </c>
      <c r="H18" s="42">
        <v>3.3</v>
      </c>
      <c r="I18" s="42">
        <v>27.5</v>
      </c>
      <c r="J18" s="42">
        <v>9.7</v>
      </c>
      <c r="K18" s="45">
        <f t="shared" si="6"/>
        <v>40.5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9.4</v>
      </c>
      <c r="R18" s="48">
        <f t="shared" si="17"/>
        <v>161.3</v>
      </c>
      <c r="S18" s="48">
        <f t="shared" si="17"/>
        <v>312.9</v>
      </c>
      <c r="T18" s="48">
        <f t="shared" si="17"/>
        <v>138</v>
      </c>
      <c r="U18" s="47">
        <f t="shared" si="9"/>
        <v>621.6</v>
      </c>
      <c r="V18" s="39"/>
    </row>
    <row r="19" ht="15.0" customHeight="1">
      <c r="A19" s="40" t="s">
        <v>27</v>
      </c>
      <c r="B19" s="41">
        <v>1.0</v>
      </c>
      <c r="C19" s="42">
        <v>82.8</v>
      </c>
      <c r="D19" s="42">
        <v>0.0</v>
      </c>
      <c r="E19" s="42">
        <v>2.0</v>
      </c>
      <c r="F19" s="43">
        <f t="shared" si="5"/>
        <v>85.8</v>
      </c>
      <c r="G19" s="44">
        <v>0.0</v>
      </c>
      <c r="H19" s="42">
        <v>0.0</v>
      </c>
      <c r="I19" s="42">
        <v>0.0</v>
      </c>
      <c r="J19" s="42">
        <v>47.5</v>
      </c>
      <c r="K19" s="45">
        <f t="shared" si="6"/>
        <v>47.5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1</v>
      </c>
      <c r="R19" s="48">
        <f t="shared" si="18"/>
        <v>82.8</v>
      </c>
      <c r="S19" s="48">
        <f t="shared" si="18"/>
        <v>0</v>
      </c>
      <c r="T19" s="48">
        <f t="shared" si="18"/>
        <v>49.5</v>
      </c>
      <c r="U19" s="47">
        <f t="shared" si="9"/>
        <v>133.3</v>
      </c>
      <c r="V19" s="39"/>
    </row>
    <row r="20" ht="15.0" customHeight="1">
      <c r="A20" s="40" t="s">
        <v>28</v>
      </c>
      <c r="B20" s="41">
        <v>0.0</v>
      </c>
      <c r="C20" s="42">
        <v>55.8</v>
      </c>
      <c r="D20" s="42">
        <v>41.5</v>
      </c>
      <c r="E20" s="42">
        <v>18.0</v>
      </c>
      <c r="F20" s="43">
        <f t="shared" si="5"/>
        <v>115.3</v>
      </c>
      <c r="G20" s="44">
        <v>0.0</v>
      </c>
      <c r="H20" s="42">
        <v>74.0</v>
      </c>
      <c r="I20" s="42">
        <v>134.0</v>
      </c>
      <c r="J20" s="42">
        <v>38.0</v>
      </c>
      <c r="K20" s="45">
        <f t="shared" si="6"/>
        <v>246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129.8</v>
      </c>
      <c r="S20" s="48">
        <f t="shared" si="19"/>
        <v>175.5</v>
      </c>
      <c r="T20" s="48">
        <f t="shared" si="19"/>
        <v>56</v>
      </c>
      <c r="U20" s="47">
        <f t="shared" si="9"/>
        <v>361.3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2.86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3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18.6</v>
      </c>
      <c r="C9" s="32">
        <f t="shared" si="1"/>
        <v>776.4</v>
      </c>
      <c r="D9" s="32">
        <f t="shared" si="1"/>
        <v>656.5</v>
      </c>
      <c r="E9" s="32">
        <f t="shared" si="1"/>
        <v>283.4</v>
      </c>
      <c r="F9" s="33">
        <f t="shared" ref="F9:F21" si="5">SUM(B9:E9)</f>
        <v>1734.9</v>
      </c>
      <c r="G9" s="34">
        <f t="shared" ref="G9:J9" si="2">SUM(G10:G21)</f>
        <v>0</v>
      </c>
      <c r="H9" s="32">
        <f t="shared" si="2"/>
        <v>29.8</v>
      </c>
      <c r="I9" s="32">
        <f t="shared" si="2"/>
        <v>454.6</v>
      </c>
      <c r="J9" s="32">
        <f t="shared" si="2"/>
        <v>207.2</v>
      </c>
      <c r="K9" s="35">
        <f t="shared" ref="K9:K21" si="6">SUM(G9:J9)</f>
        <v>691.6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18.6</v>
      </c>
      <c r="R9" s="37">
        <f t="shared" si="4"/>
        <v>806.2</v>
      </c>
      <c r="S9" s="37">
        <f t="shared" si="4"/>
        <v>1111.1</v>
      </c>
      <c r="T9" s="37">
        <f t="shared" si="4"/>
        <v>490.6</v>
      </c>
      <c r="U9" s="32">
        <f t="shared" ref="U9:U21" si="9">SUM(Q9:T9)</f>
        <v>2426.5</v>
      </c>
      <c r="V9" s="39"/>
    </row>
    <row r="10" ht="15.0" customHeight="1">
      <c r="A10" s="40" t="s">
        <v>18</v>
      </c>
      <c r="B10" s="41">
        <v>0.0</v>
      </c>
      <c r="C10" s="42">
        <v>3.0</v>
      </c>
      <c r="D10" s="42">
        <v>3.5</v>
      </c>
      <c r="E10" s="42">
        <v>8.1</v>
      </c>
      <c r="F10" s="43">
        <f t="shared" si="5"/>
        <v>14.6</v>
      </c>
      <c r="G10" s="48"/>
      <c r="H10" s="42">
        <v>0.0</v>
      </c>
      <c r="I10" s="42">
        <v>26.0</v>
      </c>
      <c r="J10" s="42">
        <v>11.9</v>
      </c>
      <c r="K10" s="45">
        <f t="shared" si="6"/>
        <v>37.9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3</v>
      </c>
      <c r="S10" s="48">
        <f t="shared" si="8"/>
        <v>29.5</v>
      </c>
      <c r="T10" s="48">
        <f t="shared" si="8"/>
        <v>20</v>
      </c>
      <c r="U10" s="47">
        <f t="shared" si="9"/>
        <v>52.5</v>
      </c>
      <c r="V10" s="39"/>
    </row>
    <row r="11" ht="15.0" customHeight="1">
      <c r="A11" s="40" t="s">
        <v>19</v>
      </c>
      <c r="B11" s="41">
        <v>0.0</v>
      </c>
      <c r="C11" s="42">
        <v>25.8</v>
      </c>
      <c r="D11" s="42">
        <v>32.0</v>
      </c>
      <c r="E11" s="42">
        <v>23.0</v>
      </c>
      <c r="F11" s="43">
        <f t="shared" si="5"/>
        <v>80.8</v>
      </c>
      <c r="G11" s="48"/>
      <c r="H11" s="42">
        <v>0.0</v>
      </c>
      <c r="I11" s="42">
        <v>6.5</v>
      </c>
      <c r="J11" s="42">
        <v>0.0</v>
      </c>
      <c r="K11" s="45">
        <f t="shared" si="6"/>
        <v>6.5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25.8</v>
      </c>
      <c r="S11" s="48">
        <f t="shared" si="10"/>
        <v>38.5</v>
      </c>
      <c r="T11" s="48">
        <f t="shared" si="10"/>
        <v>23</v>
      </c>
      <c r="U11" s="47">
        <f t="shared" si="9"/>
        <v>87.3</v>
      </c>
      <c r="V11" s="39"/>
    </row>
    <row r="12" ht="15.0" customHeight="1">
      <c r="A12" s="40" t="s">
        <v>20</v>
      </c>
      <c r="B12" s="41">
        <v>3.0</v>
      </c>
      <c r="C12" s="42">
        <v>245.0</v>
      </c>
      <c r="D12" s="42">
        <v>192.0</v>
      </c>
      <c r="E12" s="42">
        <v>0.0</v>
      </c>
      <c r="F12" s="43">
        <f t="shared" si="5"/>
        <v>440</v>
      </c>
      <c r="G12" s="48"/>
      <c r="H12" s="42">
        <v>27.6</v>
      </c>
      <c r="I12" s="42">
        <v>22.5</v>
      </c>
      <c r="J12" s="42">
        <v>0.0</v>
      </c>
      <c r="K12" s="45">
        <f t="shared" si="6"/>
        <v>50.1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3</v>
      </c>
      <c r="R12" s="48">
        <f t="shared" si="11"/>
        <v>272.6</v>
      </c>
      <c r="S12" s="48">
        <f t="shared" si="11"/>
        <v>214.5</v>
      </c>
      <c r="T12" s="48">
        <f t="shared" si="11"/>
        <v>0</v>
      </c>
      <c r="U12" s="47">
        <f t="shared" si="9"/>
        <v>490.1</v>
      </c>
      <c r="V12" s="39"/>
    </row>
    <row r="13" ht="15.0" customHeight="1">
      <c r="A13" s="40" t="s">
        <v>21</v>
      </c>
      <c r="B13" s="41">
        <v>0.0</v>
      </c>
      <c r="C13" s="42">
        <v>10.7</v>
      </c>
      <c r="D13" s="42">
        <v>4.0</v>
      </c>
      <c r="E13" s="42">
        <v>0.0</v>
      </c>
      <c r="F13" s="43">
        <f t="shared" si="5"/>
        <v>14.7</v>
      </c>
      <c r="G13" s="48"/>
      <c r="H13" s="42">
        <v>0.0</v>
      </c>
      <c r="I13" s="42">
        <v>47.5</v>
      </c>
      <c r="J13" s="42">
        <v>0.0</v>
      </c>
      <c r="K13" s="45">
        <f t="shared" si="6"/>
        <v>47.5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10.7</v>
      </c>
      <c r="S13" s="48">
        <f t="shared" si="12"/>
        <v>51.5</v>
      </c>
      <c r="T13" s="48">
        <f t="shared" si="12"/>
        <v>0</v>
      </c>
      <c r="U13" s="47">
        <f t="shared" si="9"/>
        <v>62.2</v>
      </c>
      <c r="V13" s="39"/>
    </row>
    <row r="14" ht="15.0" customHeight="1">
      <c r="A14" s="40" t="s">
        <v>22</v>
      </c>
      <c r="B14" s="41">
        <v>0.0</v>
      </c>
      <c r="C14" s="42">
        <v>74.5</v>
      </c>
      <c r="D14" s="42">
        <v>69.0</v>
      </c>
      <c r="E14" s="42">
        <v>0.0</v>
      </c>
      <c r="F14" s="43">
        <f t="shared" si="5"/>
        <v>143.5</v>
      </c>
      <c r="G14" s="48"/>
      <c r="H14" s="42">
        <v>0.0</v>
      </c>
      <c r="I14" s="42">
        <v>51.5</v>
      </c>
      <c r="J14" s="42">
        <v>0.0</v>
      </c>
      <c r="K14" s="45">
        <f t="shared" si="6"/>
        <v>51.5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74.5</v>
      </c>
      <c r="S14" s="48">
        <f t="shared" si="13"/>
        <v>120.5</v>
      </c>
      <c r="T14" s="48">
        <f t="shared" si="13"/>
        <v>0</v>
      </c>
      <c r="U14" s="47">
        <f t="shared" si="9"/>
        <v>195</v>
      </c>
      <c r="V14" s="39"/>
    </row>
    <row r="15" ht="15.0" customHeight="1">
      <c r="A15" s="40" t="s">
        <v>23</v>
      </c>
      <c r="B15" s="41">
        <v>5.6</v>
      </c>
      <c r="C15" s="42">
        <v>64.5</v>
      </c>
      <c r="D15" s="42">
        <v>110.8</v>
      </c>
      <c r="E15" s="42">
        <v>50.3</v>
      </c>
      <c r="F15" s="43">
        <f t="shared" si="5"/>
        <v>231.2</v>
      </c>
      <c r="G15" s="48"/>
      <c r="H15" s="42">
        <v>2.2</v>
      </c>
      <c r="I15" s="42">
        <v>138.8</v>
      </c>
      <c r="J15" s="42">
        <v>8.0</v>
      </c>
      <c r="K15" s="45">
        <f t="shared" si="6"/>
        <v>149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5.6</v>
      </c>
      <c r="R15" s="48">
        <f t="shared" si="14"/>
        <v>66.7</v>
      </c>
      <c r="S15" s="48">
        <f t="shared" si="14"/>
        <v>249.6</v>
      </c>
      <c r="T15" s="48">
        <f t="shared" si="14"/>
        <v>58.3</v>
      </c>
      <c r="U15" s="47">
        <f t="shared" si="9"/>
        <v>380.2</v>
      </c>
      <c r="V15" s="39"/>
    </row>
    <row r="16" ht="15.0" customHeight="1">
      <c r="A16" s="40" t="s">
        <v>24</v>
      </c>
      <c r="B16" s="41">
        <v>0.0</v>
      </c>
      <c r="C16" s="42">
        <v>0.0</v>
      </c>
      <c r="D16" s="42">
        <v>18.5</v>
      </c>
      <c r="E16" s="42">
        <v>0.0</v>
      </c>
      <c r="F16" s="43">
        <f t="shared" si="5"/>
        <v>18.5</v>
      </c>
      <c r="G16" s="48"/>
      <c r="H16" s="42">
        <v>0.0</v>
      </c>
      <c r="I16" s="42">
        <v>52.0</v>
      </c>
      <c r="J16" s="42">
        <v>40.3</v>
      </c>
      <c r="K16" s="45">
        <f t="shared" si="6"/>
        <v>92.3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70.5</v>
      </c>
      <c r="T16" s="48">
        <f t="shared" si="15"/>
        <v>40.3</v>
      </c>
      <c r="U16" s="47">
        <f t="shared" si="9"/>
        <v>110.8</v>
      </c>
      <c r="V16" s="39"/>
    </row>
    <row r="17" ht="15.0" customHeight="1">
      <c r="A17" s="40" t="s">
        <v>25</v>
      </c>
      <c r="B17" s="41">
        <v>0.0</v>
      </c>
      <c r="C17" s="42">
        <v>110.7</v>
      </c>
      <c r="D17" s="42">
        <v>37.0</v>
      </c>
      <c r="E17" s="42">
        <v>0.0</v>
      </c>
      <c r="F17" s="43">
        <f t="shared" si="5"/>
        <v>147.7</v>
      </c>
      <c r="G17" s="48"/>
      <c r="H17" s="42">
        <v>0.0</v>
      </c>
      <c r="I17" s="42">
        <v>18.0</v>
      </c>
      <c r="J17" s="42">
        <v>0.0</v>
      </c>
      <c r="K17" s="45">
        <f t="shared" si="6"/>
        <v>18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110.7</v>
      </c>
      <c r="S17" s="48">
        <f t="shared" si="16"/>
        <v>55</v>
      </c>
      <c r="T17" s="48">
        <f t="shared" si="16"/>
        <v>0</v>
      </c>
      <c r="U17" s="47">
        <f t="shared" si="9"/>
        <v>165.7</v>
      </c>
      <c r="V17" s="39"/>
    </row>
    <row r="18" ht="15.0" customHeight="1">
      <c r="A18" s="40" t="s">
        <v>26</v>
      </c>
      <c r="B18" s="41">
        <v>9.0</v>
      </c>
      <c r="C18" s="42">
        <v>114.9</v>
      </c>
      <c r="D18" s="42">
        <v>177.4</v>
      </c>
      <c r="E18" s="42">
        <v>160.5</v>
      </c>
      <c r="F18" s="43">
        <f t="shared" si="5"/>
        <v>461.8</v>
      </c>
      <c r="G18" s="48"/>
      <c r="H18" s="42">
        <v>0.0</v>
      </c>
      <c r="I18" s="42">
        <v>17.8</v>
      </c>
      <c r="J18" s="42">
        <v>13.0</v>
      </c>
      <c r="K18" s="45">
        <f t="shared" si="6"/>
        <v>30.8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9</v>
      </c>
      <c r="R18" s="48">
        <f t="shared" si="17"/>
        <v>114.9</v>
      </c>
      <c r="S18" s="48">
        <f t="shared" si="17"/>
        <v>195.2</v>
      </c>
      <c r="T18" s="48">
        <f t="shared" si="17"/>
        <v>173.5</v>
      </c>
      <c r="U18" s="47">
        <f t="shared" si="9"/>
        <v>492.6</v>
      </c>
      <c r="V18" s="39"/>
    </row>
    <row r="19" ht="15.0" customHeight="1">
      <c r="A19" s="40" t="s">
        <v>27</v>
      </c>
      <c r="B19" s="41">
        <v>1.0</v>
      </c>
      <c r="C19" s="42">
        <v>83.8</v>
      </c>
      <c r="D19" s="42">
        <v>0.0</v>
      </c>
      <c r="E19" s="42">
        <v>0.0</v>
      </c>
      <c r="F19" s="43">
        <f t="shared" si="5"/>
        <v>84.8</v>
      </c>
      <c r="G19" s="48"/>
      <c r="H19" s="42">
        <v>0.0</v>
      </c>
      <c r="I19" s="42">
        <v>0.0</v>
      </c>
      <c r="J19" s="42">
        <v>0.0</v>
      </c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1</v>
      </c>
      <c r="R19" s="48">
        <f t="shared" si="18"/>
        <v>83.8</v>
      </c>
      <c r="S19" s="48">
        <f t="shared" si="18"/>
        <v>0</v>
      </c>
      <c r="T19" s="48">
        <f t="shared" si="18"/>
        <v>0</v>
      </c>
      <c r="U19" s="47">
        <f t="shared" si="9"/>
        <v>84.8</v>
      </c>
      <c r="V19" s="39"/>
    </row>
    <row r="20" ht="15.0" customHeight="1">
      <c r="A20" s="40" t="s">
        <v>28</v>
      </c>
      <c r="B20" s="41">
        <v>0.0</v>
      </c>
      <c r="C20" s="42">
        <v>43.5</v>
      </c>
      <c r="D20" s="42">
        <v>12.3</v>
      </c>
      <c r="E20" s="42">
        <v>41.5</v>
      </c>
      <c r="F20" s="43">
        <f t="shared" si="5"/>
        <v>97.3</v>
      </c>
      <c r="G20" s="48"/>
      <c r="H20" s="42">
        <v>0.0</v>
      </c>
      <c r="I20" s="42">
        <v>74.0</v>
      </c>
      <c r="J20" s="42">
        <v>134.0</v>
      </c>
      <c r="K20" s="45">
        <f t="shared" si="6"/>
        <v>208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43.5</v>
      </c>
      <c r="S20" s="48">
        <f t="shared" si="19"/>
        <v>86.3</v>
      </c>
      <c r="T20" s="48">
        <f t="shared" si="19"/>
        <v>175.5</v>
      </c>
      <c r="U20" s="47">
        <f t="shared" si="9"/>
        <v>305.3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3.71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6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12.4</v>
      </c>
      <c r="C9" s="32">
        <f t="shared" si="1"/>
        <v>124.5</v>
      </c>
      <c r="D9" s="32">
        <f t="shared" si="1"/>
        <v>1157.1</v>
      </c>
      <c r="E9" s="32">
        <f t="shared" si="1"/>
        <v>169.9</v>
      </c>
      <c r="F9" s="33">
        <f t="shared" ref="F9:F21" si="5">SUM(B9:E9)</f>
        <v>1463.9</v>
      </c>
      <c r="G9" s="34">
        <f t="shared" ref="G9:J9" si="2">SUM(G10:G21)</f>
        <v>0</v>
      </c>
      <c r="H9" s="32">
        <f t="shared" si="2"/>
        <v>0</v>
      </c>
      <c r="I9" s="32">
        <f t="shared" si="2"/>
        <v>444.9</v>
      </c>
      <c r="J9" s="32">
        <f t="shared" si="2"/>
        <v>39.5</v>
      </c>
      <c r="K9" s="35">
        <f t="shared" ref="K9:K21" si="6">SUM(G9:J9)</f>
        <v>484.4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12.4</v>
      </c>
      <c r="R9" s="37">
        <f t="shared" si="4"/>
        <v>124.5</v>
      </c>
      <c r="S9" s="37">
        <f t="shared" si="4"/>
        <v>1602</v>
      </c>
      <c r="T9" s="37">
        <f t="shared" si="4"/>
        <v>209.4</v>
      </c>
      <c r="U9" s="32">
        <f t="shared" ref="U9:U21" si="9">SUM(Q9:T9)</f>
        <v>1948.3</v>
      </c>
      <c r="V9" s="39"/>
    </row>
    <row r="10" ht="15.0" customHeight="1">
      <c r="A10" s="40" t="s">
        <v>18</v>
      </c>
      <c r="B10" s="41">
        <v>0.0</v>
      </c>
      <c r="C10" s="42">
        <v>3.0</v>
      </c>
      <c r="D10" s="42">
        <v>3.5</v>
      </c>
      <c r="E10" s="42">
        <v>0.0</v>
      </c>
      <c r="F10" s="43">
        <f t="shared" si="5"/>
        <v>6.5</v>
      </c>
      <c r="G10" s="44">
        <v>0.0</v>
      </c>
      <c r="H10" s="42">
        <v>0.0</v>
      </c>
      <c r="I10" s="42">
        <v>26.0</v>
      </c>
      <c r="J10" s="42">
        <v>0.0</v>
      </c>
      <c r="K10" s="45">
        <f t="shared" si="6"/>
        <v>26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3</v>
      </c>
      <c r="S10" s="48">
        <f t="shared" si="8"/>
        <v>29.5</v>
      </c>
      <c r="T10" s="48">
        <f t="shared" si="8"/>
        <v>0</v>
      </c>
      <c r="U10" s="47">
        <f t="shared" si="9"/>
        <v>32.5</v>
      </c>
      <c r="V10" s="39"/>
    </row>
    <row r="11" ht="15.0" customHeight="1">
      <c r="A11" s="40" t="s">
        <v>19</v>
      </c>
      <c r="B11" s="41">
        <v>0.0</v>
      </c>
      <c r="C11" s="42">
        <v>0.0</v>
      </c>
      <c r="D11" s="42">
        <v>49.8</v>
      </c>
      <c r="E11" s="42">
        <v>8.0</v>
      </c>
      <c r="F11" s="43">
        <f t="shared" si="5"/>
        <v>57.8</v>
      </c>
      <c r="G11" s="44">
        <v>0.0</v>
      </c>
      <c r="H11" s="42">
        <v>0.0</v>
      </c>
      <c r="I11" s="42">
        <v>3.5</v>
      </c>
      <c r="J11" s="42">
        <v>3.0</v>
      </c>
      <c r="K11" s="45">
        <f t="shared" si="6"/>
        <v>6.5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53.3</v>
      </c>
      <c r="T11" s="48">
        <f t="shared" si="10"/>
        <v>11</v>
      </c>
      <c r="U11" s="47">
        <f t="shared" si="9"/>
        <v>64.3</v>
      </c>
      <c r="V11" s="39"/>
    </row>
    <row r="12" ht="15.0" customHeight="1">
      <c r="A12" s="40" t="s">
        <v>20</v>
      </c>
      <c r="B12" s="41">
        <v>1.0</v>
      </c>
      <c r="C12" s="42">
        <v>35.3</v>
      </c>
      <c r="D12" s="42">
        <v>404.7</v>
      </c>
      <c r="E12" s="42">
        <v>0.0</v>
      </c>
      <c r="F12" s="43">
        <f t="shared" si="5"/>
        <v>441</v>
      </c>
      <c r="G12" s="44">
        <v>0.0</v>
      </c>
      <c r="H12" s="42">
        <v>0.0</v>
      </c>
      <c r="I12" s="42">
        <v>50.1</v>
      </c>
      <c r="J12" s="42">
        <v>0.0</v>
      </c>
      <c r="K12" s="45">
        <f t="shared" si="6"/>
        <v>50.1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1</v>
      </c>
      <c r="R12" s="48">
        <f t="shared" si="11"/>
        <v>35.3</v>
      </c>
      <c r="S12" s="48">
        <f t="shared" si="11"/>
        <v>454.8</v>
      </c>
      <c r="T12" s="48">
        <f t="shared" si="11"/>
        <v>0</v>
      </c>
      <c r="U12" s="47">
        <f t="shared" si="9"/>
        <v>491.1</v>
      </c>
      <c r="V12" s="39"/>
    </row>
    <row r="13" ht="15.0" customHeight="1">
      <c r="A13" s="40" t="s">
        <v>21</v>
      </c>
      <c r="B13" s="41">
        <v>0.0</v>
      </c>
      <c r="C13" s="42">
        <v>0.0</v>
      </c>
      <c r="D13" s="42">
        <v>14.7</v>
      </c>
      <c r="E13" s="42">
        <v>0.0</v>
      </c>
      <c r="F13" s="43">
        <f t="shared" si="5"/>
        <v>14.7</v>
      </c>
      <c r="G13" s="44">
        <v>0.0</v>
      </c>
      <c r="H13" s="42">
        <v>0.0</v>
      </c>
      <c r="I13" s="42">
        <v>47.5</v>
      </c>
      <c r="J13" s="42">
        <v>0.0</v>
      </c>
      <c r="K13" s="45">
        <f t="shared" si="6"/>
        <v>47.5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62.2</v>
      </c>
      <c r="T13" s="48">
        <f t="shared" si="12"/>
        <v>0</v>
      </c>
      <c r="U13" s="47">
        <f t="shared" si="9"/>
        <v>62.2</v>
      </c>
      <c r="V13" s="39"/>
    </row>
    <row r="14" ht="15.0" customHeight="1">
      <c r="A14" s="40" t="s">
        <v>22</v>
      </c>
      <c r="B14" s="41">
        <v>0.0</v>
      </c>
      <c r="C14" s="42">
        <v>3.0</v>
      </c>
      <c r="D14" s="42">
        <v>140.5</v>
      </c>
      <c r="E14" s="42">
        <v>0.0</v>
      </c>
      <c r="F14" s="43">
        <f t="shared" si="5"/>
        <v>143.5</v>
      </c>
      <c r="G14" s="44">
        <v>0.0</v>
      </c>
      <c r="H14" s="42">
        <v>0.0</v>
      </c>
      <c r="I14" s="42">
        <v>51.5</v>
      </c>
      <c r="J14" s="42">
        <v>0.0</v>
      </c>
      <c r="K14" s="45">
        <f t="shared" si="6"/>
        <v>51.5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3</v>
      </c>
      <c r="S14" s="48">
        <f t="shared" si="13"/>
        <v>192</v>
      </c>
      <c r="T14" s="48">
        <f t="shared" si="13"/>
        <v>0</v>
      </c>
      <c r="U14" s="47">
        <f t="shared" si="9"/>
        <v>195</v>
      </c>
      <c r="V14" s="39"/>
    </row>
    <row r="15" ht="15.0" customHeight="1">
      <c r="A15" s="40" t="s">
        <v>23</v>
      </c>
      <c r="B15" s="41">
        <v>4.5</v>
      </c>
      <c r="C15" s="42">
        <v>14.2</v>
      </c>
      <c r="D15" s="42">
        <v>166.7</v>
      </c>
      <c r="E15" s="42">
        <v>0.0</v>
      </c>
      <c r="F15" s="43">
        <f t="shared" si="5"/>
        <v>185.4</v>
      </c>
      <c r="G15" s="44">
        <v>0.0</v>
      </c>
      <c r="H15" s="42">
        <v>0.0</v>
      </c>
      <c r="I15" s="42">
        <v>137.0</v>
      </c>
      <c r="J15" s="42">
        <v>4.0</v>
      </c>
      <c r="K15" s="45">
        <f t="shared" si="6"/>
        <v>141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4.5</v>
      </c>
      <c r="R15" s="48">
        <f t="shared" si="14"/>
        <v>14.2</v>
      </c>
      <c r="S15" s="48">
        <f t="shared" si="14"/>
        <v>303.7</v>
      </c>
      <c r="T15" s="48">
        <f t="shared" si="14"/>
        <v>4</v>
      </c>
      <c r="U15" s="47">
        <f t="shared" si="9"/>
        <v>326.4</v>
      </c>
      <c r="V15" s="39"/>
    </row>
    <row r="16" ht="15.0" customHeight="1">
      <c r="A16" s="40" t="s">
        <v>24</v>
      </c>
      <c r="B16" s="41">
        <v>0.0</v>
      </c>
      <c r="C16" s="42">
        <v>0.0</v>
      </c>
      <c r="D16" s="42">
        <v>18.5</v>
      </c>
      <c r="E16" s="42">
        <v>0.0</v>
      </c>
      <c r="F16" s="43">
        <f t="shared" si="5"/>
        <v>18.5</v>
      </c>
      <c r="G16" s="44">
        <v>0.0</v>
      </c>
      <c r="H16" s="42">
        <v>0.0</v>
      </c>
      <c r="I16" s="42">
        <v>52.0</v>
      </c>
      <c r="J16" s="42">
        <v>0.0</v>
      </c>
      <c r="K16" s="45">
        <f t="shared" si="6"/>
        <v>52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70.5</v>
      </c>
      <c r="T16" s="48">
        <f t="shared" si="15"/>
        <v>0</v>
      </c>
      <c r="U16" s="47">
        <f t="shared" si="9"/>
        <v>70.5</v>
      </c>
      <c r="V16" s="39"/>
    </row>
    <row r="17" ht="15.0" customHeight="1">
      <c r="A17" s="40" t="s">
        <v>25</v>
      </c>
      <c r="B17" s="41">
        <v>0.0</v>
      </c>
      <c r="C17" s="42">
        <v>10.3</v>
      </c>
      <c r="D17" s="42">
        <v>100.4</v>
      </c>
      <c r="E17" s="42">
        <v>37.0</v>
      </c>
      <c r="F17" s="43">
        <f t="shared" si="5"/>
        <v>147.7</v>
      </c>
      <c r="G17" s="44">
        <v>0.0</v>
      </c>
      <c r="H17" s="42">
        <v>0.0</v>
      </c>
      <c r="I17" s="42">
        <v>0.0</v>
      </c>
      <c r="J17" s="42">
        <v>18.0</v>
      </c>
      <c r="K17" s="45">
        <f t="shared" si="6"/>
        <v>18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10.3</v>
      </c>
      <c r="S17" s="48">
        <f t="shared" si="16"/>
        <v>100.4</v>
      </c>
      <c r="T17" s="48">
        <f t="shared" si="16"/>
        <v>55</v>
      </c>
      <c r="U17" s="47">
        <f t="shared" si="9"/>
        <v>165.7</v>
      </c>
      <c r="V17" s="39"/>
    </row>
    <row r="18" ht="15.0" customHeight="1">
      <c r="A18" s="40" t="s">
        <v>26</v>
      </c>
      <c r="B18" s="41">
        <v>1.2</v>
      </c>
      <c r="C18" s="42">
        <v>28.6</v>
      </c>
      <c r="D18" s="42">
        <v>147.8</v>
      </c>
      <c r="E18" s="42">
        <v>124.9</v>
      </c>
      <c r="F18" s="43">
        <f t="shared" si="5"/>
        <v>302.5</v>
      </c>
      <c r="G18" s="44">
        <v>0.0</v>
      </c>
      <c r="H18" s="42">
        <v>0.0</v>
      </c>
      <c r="I18" s="42">
        <v>3.3</v>
      </c>
      <c r="J18" s="42">
        <v>14.5</v>
      </c>
      <c r="K18" s="45">
        <f t="shared" si="6"/>
        <v>17.8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1.2</v>
      </c>
      <c r="R18" s="48">
        <f t="shared" si="17"/>
        <v>28.6</v>
      </c>
      <c r="S18" s="48">
        <f t="shared" si="17"/>
        <v>151.1</v>
      </c>
      <c r="T18" s="48">
        <f t="shared" si="17"/>
        <v>139.4</v>
      </c>
      <c r="U18" s="47">
        <f t="shared" si="9"/>
        <v>320.3</v>
      </c>
      <c r="V18" s="39"/>
    </row>
    <row r="19" ht="15.0" customHeight="1">
      <c r="A19" s="40" t="s">
        <v>27</v>
      </c>
      <c r="B19" s="41">
        <v>5.7</v>
      </c>
      <c r="C19" s="42">
        <v>23.1</v>
      </c>
      <c r="D19" s="42">
        <v>61.7</v>
      </c>
      <c r="E19" s="42">
        <v>0.0</v>
      </c>
      <c r="F19" s="43">
        <f t="shared" si="5"/>
        <v>90.5</v>
      </c>
      <c r="G19" s="44">
        <v>0.0</v>
      </c>
      <c r="H19" s="42">
        <v>0.0</v>
      </c>
      <c r="I19" s="42">
        <v>0.0</v>
      </c>
      <c r="J19" s="42">
        <v>0.0</v>
      </c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5.7</v>
      </c>
      <c r="R19" s="48">
        <f t="shared" si="18"/>
        <v>23.1</v>
      </c>
      <c r="S19" s="48">
        <f t="shared" si="18"/>
        <v>61.7</v>
      </c>
      <c r="T19" s="48">
        <f t="shared" si="18"/>
        <v>0</v>
      </c>
      <c r="U19" s="47">
        <f t="shared" si="9"/>
        <v>90.5</v>
      </c>
      <c r="V19" s="39"/>
    </row>
    <row r="20" ht="15.0" customHeight="1">
      <c r="A20" s="40" t="s">
        <v>28</v>
      </c>
      <c r="B20" s="41">
        <v>0.0</v>
      </c>
      <c r="C20" s="42">
        <v>7.0</v>
      </c>
      <c r="D20" s="42">
        <v>48.8</v>
      </c>
      <c r="E20" s="42">
        <v>0.0</v>
      </c>
      <c r="F20" s="43">
        <f t="shared" si="5"/>
        <v>55.8</v>
      </c>
      <c r="G20" s="44">
        <v>0.0</v>
      </c>
      <c r="H20" s="42">
        <v>0.0</v>
      </c>
      <c r="I20" s="42">
        <v>74.0</v>
      </c>
      <c r="J20" s="42">
        <v>0.0</v>
      </c>
      <c r="K20" s="45">
        <f t="shared" si="6"/>
        <v>74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7</v>
      </c>
      <c r="S20" s="48">
        <f t="shared" si="19"/>
        <v>122.8</v>
      </c>
      <c r="T20" s="48">
        <f t="shared" si="19"/>
        <v>0</v>
      </c>
      <c r="U20" s="47">
        <f t="shared" si="9"/>
        <v>129.8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9.29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7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0</v>
      </c>
      <c r="C9" s="32">
        <f t="shared" si="1"/>
        <v>0</v>
      </c>
      <c r="D9" s="32">
        <f t="shared" si="1"/>
        <v>0</v>
      </c>
      <c r="E9" s="32">
        <f t="shared" si="1"/>
        <v>0</v>
      </c>
      <c r="F9" s="33">
        <f t="shared" ref="F9:F21" si="5">SUM(B9:E9)</f>
        <v>0</v>
      </c>
      <c r="G9" s="34">
        <f t="shared" ref="G9:J9" si="2">SUM(G10:G21)</f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5">
        <f t="shared" ref="K9:K21" si="6">SUM(G9:J9)</f>
        <v>0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2">
        <f t="shared" ref="U9:U21" si="9">SUM(Q9:T9)</f>
        <v>0</v>
      </c>
      <c r="V9" s="39"/>
    </row>
    <row r="10" ht="15.0" customHeight="1">
      <c r="A10" s="40" t="s">
        <v>18</v>
      </c>
      <c r="B10" s="46"/>
      <c r="C10" s="47"/>
      <c r="D10" s="47"/>
      <c r="E10" s="47"/>
      <c r="F10" s="43">
        <f t="shared" si="5"/>
        <v>0</v>
      </c>
      <c r="G10" s="48"/>
      <c r="H10" s="47"/>
      <c r="I10" s="47"/>
      <c r="J10" s="47"/>
      <c r="K10" s="45">
        <f t="shared" si="6"/>
        <v>0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0</v>
      </c>
      <c r="S10" s="48">
        <f t="shared" si="8"/>
        <v>0</v>
      </c>
      <c r="T10" s="48">
        <f t="shared" si="8"/>
        <v>0</v>
      </c>
      <c r="U10" s="47">
        <f t="shared" si="9"/>
        <v>0</v>
      </c>
      <c r="V10" s="39"/>
    </row>
    <row r="11" ht="15.0" customHeight="1">
      <c r="A11" s="40" t="s">
        <v>19</v>
      </c>
      <c r="B11" s="46"/>
      <c r="C11" s="47"/>
      <c r="D11" s="47"/>
      <c r="E11" s="47"/>
      <c r="F11" s="43">
        <f t="shared" si="5"/>
        <v>0</v>
      </c>
      <c r="G11" s="48"/>
      <c r="H11" s="47"/>
      <c r="I11" s="47"/>
      <c r="J11" s="47"/>
      <c r="K11" s="45">
        <f t="shared" si="6"/>
        <v>0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0</v>
      </c>
      <c r="T11" s="48">
        <f t="shared" si="10"/>
        <v>0</v>
      </c>
      <c r="U11" s="47">
        <f t="shared" si="9"/>
        <v>0</v>
      </c>
      <c r="V11" s="39"/>
    </row>
    <row r="12" ht="15.0" customHeight="1">
      <c r="A12" s="40" t="s">
        <v>20</v>
      </c>
      <c r="B12" s="46"/>
      <c r="C12" s="47"/>
      <c r="D12" s="47"/>
      <c r="E12" s="47"/>
      <c r="F12" s="43">
        <f t="shared" si="5"/>
        <v>0</v>
      </c>
      <c r="G12" s="48"/>
      <c r="H12" s="47"/>
      <c r="I12" s="47"/>
      <c r="J12" s="47"/>
      <c r="K12" s="45">
        <f t="shared" si="6"/>
        <v>0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0</v>
      </c>
      <c r="R12" s="48">
        <f t="shared" si="11"/>
        <v>0</v>
      </c>
      <c r="S12" s="48">
        <f t="shared" si="11"/>
        <v>0</v>
      </c>
      <c r="T12" s="48">
        <f t="shared" si="11"/>
        <v>0</v>
      </c>
      <c r="U12" s="47">
        <f t="shared" si="9"/>
        <v>0</v>
      </c>
      <c r="V12" s="39"/>
    </row>
    <row r="13" ht="15.0" customHeight="1">
      <c r="A13" s="40" t="s">
        <v>21</v>
      </c>
      <c r="B13" s="46"/>
      <c r="C13" s="47"/>
      <c r="D13" s="47"/>
      <c r="E13" s="47"/>
      <c r="F13" s="43">
        <f t="shared" si="5"/>
        <v>0</v>
      </c>
      <c r="G13" s="48"/>
      <c r="H13" s="47"/>
      <c r="I13" s="47"/>
      <c r="J13" s="47"/>
      <c r="K13" s="45">
        <f t="shared" si="6"/>
        <v>0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0</v>
      </c>
      <c r="T13" s="48">
        <f t="shared" si="12"/>
        <v>0</v>
      </c>
      <c r="U13" s="47">
        <f t="shared" si="9"/>
        <v>0</v>
      </c>
      <c r="V13" s="39"/>
    </row>
    <row r="14" ht="15.0" customHeight="1">
      <c r="A14" s="40" t="s">
        <v>22</v>
      </c>
      <c r="B14" s="46"/>
      <c r="C14" s="47"/>
      <c r="D14" s="47"/>
      <c r="E14" s="47"/>
      <c r="F14" s="43">
        <f t="shared" si="5"/>
        <v>0</v>
      </c>
      <c r="G14" s="48"/>
      <c r="H14" s="47"/>
      <c r="I14" s="47"/>
      <c r="J14" s="47"/>
      <c r="K14" s="45">
        <f t="shared" si="6"/>
        <v>0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0</v>
      </c>
      <c r="S14" s="48">
        <f t="shared" si="13"/>
        <v>0</v>
      </c>
      <c r="T14" s="48">
        <f t="shared" si="13"/>
        <v>0</v>
      </c>
      <c r="U14" s="47">
        <f t="shared" si="9"/>
        <v>0</v>
      </c>
      <c r="V14" s="39"/>
    </row>
    <row r="15" ht="15.0" customHeight="1">
      <c r="A15" s="40" t="s">
        <v>23</v>
      </c>
      <c r="B15" s="46"/>
      <c r="C15" s="47"/>
      <c r="D15" s="47"/>
      <c r="E15" s="47"/>
      <c r="F15" s="43">
        <f t="shared" si="5"/>
        <v>0</v>
      </c>
      <c r="G15" s="48"/>
      <c r="H15" s="47"/>
      <c r="I15" s="47"/>
      <c r="J15" s="47"/>
      <c r="K15" s="45">
        <f t="shared" si="6"/>
        <v>0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0</v>
      </c>
      <c r="R15" s="48">
        <f t="shared" si="14"/>
        <v>0</v>
      </c>
      <c r="S15" s="48">
        <f t="shared" si="14"/>
        <v>0</v>
      </c>
      <c r="T15" s="48">
        <f t="shared" si="14"/>
        <v>0</v>
      </c>
      <c r="U15" s="47">
        <f t="shared" si="9"/>
        <v>0</v>
      </c>
      <c r="V15" s="39"/>
    </row>
    <row r="16" ht="15.0" customHeight="1">
      <c r="A16" s="40" t="s">
        <v>24</v>
      </c>
      <c r="B16" s="46"/>
      <c r="C16" s="47"/>
      <c r="D16" s="47"/>
      <c r="E16" s="47"/>
      <c r="F16" s="43">
        <f t="shared" si="5"/>
        <v>0</v>
      </c>
      <c r="G16" s="48"/>
      <c r="H16" s="47"/>
      <c r="I16" s="47"/>
      <c r="J16" s="47"/>
      <c r="K16" s="45">
        <f t="shared" si="6"/>
        <v>0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0</v>
      </c>
      <c r="T16" s="48">
        <f t="shared" si="15"/>
        <v>0</v>
      </c>
      <c r="U16" s="47">
        <f t="shared" si="9"/>
        <v>0</v>
      </c>
      <c r="V16" s="39"/>
    </row>
    <row r="17" ht="15.0" customHeight="1">
      <c r="A17" s="40" t="s">
        <v>25</v>
      </c>
      <c r="B17" s="46"/>
      <c r="C17" s="47"/>
      <c r="D17" s="47"/>
      <c r="E17" s="47"/>
      <c r="F17" s="43">
        <f t="shared" si="5"/>
        <v>0</v>
      </c>
      <c r="G17" s="48"/>
      <c r="H17" s="47"/>
      <c r="I17" s="47"/>
      <c r="J17" s="47"/>
      <c r="K17" s="45">
        <f t="shared" si="6"/>
        <v>0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0</v>
      </c>
      <c r="S17" s="48">
        <f t="shared" si="16"/>
        <v>0</v>
      </c>
      <c r="T17" s="48">
        <f t="shared" si="16"/>
        <v>0</v>
      </c>
      <c r="U17" s="47">
        <f t="shared" si="9"/>
        <v>0</v>
      </c>
      <c r="V17" s="39"/>
    </row>
    <row r="18" ht="15.0" customHeight="1">
      <c r="A18" s="40" t="s">
        <v>26</v>
      </c>
      <c r="B18" s="46"/>
      <c r="C18" s="47"/>
      <c r="D18" s="47"/>
      <c r="E18" s="47"/>
      <c r="F18" s="43">
        <f t="shared" si="5"/>
        <v>0</v>
      </c>
      <c r="G18" s="48"/>
      <c r="H18" s="47"/>
      <c r="I18" s="47"/>
      <c r="J18" s="47"/>
      <c r="K18" s="45">
        <f t="shared" si="6"/>
        <v>0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0</v>
      </c>
      <c r="R18" s="48">
        <f t="shared" si="17"/>
        <v>0</v>
      </c>
      <c r="S18" s="48">
        <f t="shared" si="17"/>
        <v>0</v>
      </c>
      <c r="T18" s="48">
        <f t="shared" si="17"/>
        <v>0</v>
      </c>
      <c r="U18" s="47">
        <f t="shared" si="9"/>
        <v>0</v>
      </c>
      <c r="V18" s="39"/>
    </row>
    <row r="19" ht="15.0" customHeight="1">
      <c r="A19" s="40" t="s">
        <v>27</v>
      </c>
      <c r="B19" s="46"/>
      <c r="C19" s="47"/>
      <c r="D19" s="47"/>
      <c r="E19" s="47"/>
      <c r="F19" s="43">
        <f t="shared" si="5"/>
        <v>0</v>
      </c>
      <c r="G19" s="48"/>
      <c r="H19" s="47"/>
      <c r="I19" s="47"/>
      <c r="J19" s="47"/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0</v>
      </c>
      <c r="R19" s="48">
        <f t="shared" si="18"/>
        <v>0</v>
      </c>
      <c r="S19" s="48">
        <f t="shared" si="18"/>
        <v>0</v>
      </c>
      <c r="T19" s="48">
        <f t="shared" si="18"/>
        <v>0</v>
      </c>
      <c r="U19" s="47">
        <f t="shared" si="9"/>
        <v>0</v>
      </c>
      <c r="V19" s="39"/>
    </row>
    <row r="20" ht="15.0" customHeight="1">
      <c r="A20" s="40" t="s">
        <v>28</v>
      </c>
      <c r="B20" s="46"/>
      <c r="C20" s="47"/>
      <c r="D20" s="47"/>
      <c r="E20" s="47"/>
      <c r="F20" s="43">
        <f t="shared" si="5"/>
        <v>0</v>
      </c>
      <c r="G20" s="48"/>
      <c r="H20" s="47"/>
      <c r="I20" s="47"/>
      <c r="J20" s="47"/>
      <c r="K20" s="45">
        <f t="shared" si="6"/>
        <v>0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7">
        <f t="shared" si="9"/>
        <v>0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9.29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7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0</v>
      </c>
      <c r="C9" s="32">
        <f t="shared" si="1"/>
        <v>0</v>
      </c>
      <c r="D9" s="32">
        <f t="shared" si="1"/>
        <v>0</v>
      </c>
      <c r="E9" s="32">
        <f t="shared" si="1"/>
        <v>0</v>
      </c>
      <c r="F9" s="33">
        <f t="shared" ref="F9:F21" si="5">SUM(B9:E9)</f>
        <v>0</v>
      </c>
      <c r="G9" s="34">
        <f t="shared" ref="G9:J9" si="2">SUM(G10:G21)</f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5">
        <f t="shared" ref="K9:K21" si="6">SUM(G9:J9)</f>
        <v>0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2">
        <f t="shared" ref="U9:U21" si="9">SUM(Q9:T9)</f>
        <v>0</v>
      </c>
      <c r="V9" s="39"/>
    </row>
    <row r="10" ht="15.0" customHeight="1">
      <c r="A10" s="40" t="s">
        <v>18</v>
      </c>
      <c r="B10" s="46"/>
      <c r="C10" s="47"/>
      <c r="D10" s="47"/>
      <c r="E10" s="47"/>
      <c r="F10" s="43">
        <f t="shared" si="5"/>
        <v>0</v>
      </c>
      <c r="G10" s="48"/>
      <c r="H10" s="47"/>
      <c r="I10" s="47"/>
      <c r="J10" s="47"/>
      <c r="K10" s="45">
        <f t="shared" si="6"/>
        <v>0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0</v>
      </c>
      <c r="S10" s="48">
        <f t="shared" si="8"/>
        <v>0</v>
      </c>
      <c r="T10" s="48">
        <f t="shared" si="8"/>
        <v>0</v>
      </c>
      <c r="U10" s="47">
        <f t="shared" si="9"/>
        <v>0</v>
      </c>
      <c r="V10" s="39"/>
    </row>
    <row r="11" ht="15.0" customHeight="1">
      <c r="A11" s="40" t="s">
        <v>19</v>
      </c>
      <c r="B11" s="46"/>
      <c r="C11" s="47"/>
      <c r="D11" s="47"/>
      <c r="E11" s="47"/>
      <c r="F11" s="43">
        <f t="shared" si="5"/>
        <v>0</v>
      </c>
      <c r="G11" s="48"/>
      <c r="H11" s="47"/>
      <c r="I11" s="47"/>
      <c r="J11" s="47"/>
      <c r="K11" s="45">
        <f t="shared" si="6"/>
        <v>0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0</v>
      </c>
      <c r="T11" s="48">
        <f t="shared" si="10"/>
        <v>0</v>
      </c>
      <c r="U11" s="47">
        <f t="shared" si="9"/>
        <v>0</v>
      </c>
      <c r="V11" s="39"/>
    </row>
    <row r="12" ht="15.0" customHeight="1">
      <c r="A12" s="40" t="s">
        <v>20</v>
      </c>
      <c r="B12" s="46"/>
      <c r="C12" s="47"/>
      <c r="D12" s="47"/>
      <c r="E12" s="47"/>
      <c r="F12" s="43">
        <f t="shared" si="5"/>
        <v>0</v>
      </c>
      <c r="G12" s="48"/>
      <c r="H12" s="47"/>
      <c r="I12" s="47"/>
      <c r="J12" s="47"/>
      <c r="K12" s="45">
        <f t="shared" si="6"/>
        <v>0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0</v>
      </c>
      <c r="R12" s="48">
        <f t="shared" si="11"/>
        <v>0</v>
      </c>
      <c r="S12" s="48">
        <f t="shared" si="11"/>
        <v>0</v>
      </c>
      <c r="T12" s="48">
        <f t="shared" si="11"/>
        <v>0</v>
      </c>
      <c r="U12" s="47">
        <f t="shared" si="9"/>
        <v>0</v>
      </c>
      <c r="V12" s="39"/>
    </row>
    <row r="13" ht="15.0" customHeight="1">
      <c r="A13" s="40" t="s">
        <v>21</v>
      </c>
      <c r="B13" s="46"/>
      <c r="C13" s="47"/>
      <c r="D13" s="47"/>
      <c r="E13" s="47"/>
      <c r="F13" s="43">
        <f t="shared" si="5"/>
        <v>0</v>
      </c>
      <c r="G13" s="48"/>
      <c r="H13" s="47"/>
      <c r="I13" s="47"/>
      <c r="J13" s="47"/>
      <c r="K13" s="45">
        <f t="shared" si="6"/>
        <v>0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0</v>
      </c>
      <c r="T13" s="48">
        <f t="shared" si="12"/>
        <v>0</v>
      </c>
      <c r="U13" s="47">
        <f t="shared" si="9"/>
        <v>0</v>
      </c>
      <c r="V13" s="39"/>
    </row>
    <row r="14" ht="15.0" customHeight="1">
      <c r="A14" s="40" t="s">
        <v>22</v>
      </c>
      <c r="B14" s="46"/>
      <c r="C14" s="47"/>
      <c r="D14" s="47"/>
      <c r="E14" s="47"/>
      <c r="F14" s="43">
        <f t="shared" si="5"/>
        <v>0</v>
      </c>
      <c r="G14" s="48"/>
      <c r="H14" s="47"/>
      <c r="I14" s="47"/>
      <c r="J14" s="47"/>
      <c r="K14" s="45">
        <f t="shared" si="6"/>
        <v>0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0</v>
      </c>
      <c r="S14" s="48">
        <f t="shared" si="13"/>
        <v>0</v>
      </c>
      <c r="T14" s="48">
        <f t="shared" si="13"/>
        <v>0</v>
      </c>
      <c r="U14" s="47">
        <f t="shared" si="9"/>
        <v>0</v>
      </c>
      <c r="V14" s="39"/>
    </row>
    <row r="15" ht="15.0" customHeight="1">
      <c r="A15" s="40" t="s">
        <v>23</v>
      </c>
      <c r="B15" s="46"/>
      <c r="C15" s="47"/>
      <c r="D15" s="47"/>
      <c r="E15" s="47"/>
      <c r="F15" s="43">
        <f t="shared" si="5"/>
        <v>0</v>
      </c>
      <c r="G15" s="48"/>
      <c r="H15" s="47"/>
      <c r="I15" s="47"/>
      <c r="J15" s="47"/>
      <c r="K15" s="45">
        <f t="shared" si="6"/>
        <v>0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0</v>
      </c>
      <c r="R15" s="48">
        <f t="shared" si="14"/>
        <v>0</v>
      </c>
      <c r="S15" s="48">
        <f t="shared" si="14"/>
        <v>0</v>
      </c>
      <c r="T15" s="48">
        <f t="shared" si="14"/>
        <v>0</v>
      </c>
      <c r="U15" s="47">
        <f t="shared" si="9"/>
        <v>0</v>
      </c>
      <c r="V15" s="39"/>
    </row>
    <row r="16" ht="15.0" customHeight="1">
      <c r="A16" s="40" t="s">
        <v>24</v>
      </c>
      <c r="B16" s="46"/>
      <c r="C16" s="47"/>
      <c r="D16" s="47"/>
      <c r="E16" s="47"/>
      <c r="F16" s="43">
        <f t="shared" si="5"/>
        <v>0</v>
      </c>
      <c r="G16" s="48"/>
      <c r="H16" s="47"/>
      <c r="I16" s="47"/>
      <c r="J16" s="47"/>
      <c r="K16" s="45">
        <f t="shared" si="6"/>
        <v>0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0</v>
      </c>
      <c r="T16" s="48">
        <f t="shared" si="15"/>
        <v>0</v>
      </c>
      <c r="U16" s="47">
        <f t="shared" si="9"/>
        <v>0</v>
      </c>
      <c r="V16" s="39"/>
    </row>
    <row r="17" ht="15.0" customHeight="1">
      <c r="A17" s="40" t="s">
        <v>25</v>
      </c>
      <c r="B17" s="46"/>
      <c r="C17" s="47"/>
      <c r="D17" s="47"/>
      <c r="E17" s="47"/>
      <c r="F17" s="43">
        <f t="shared" si="5"/>
        <v>0</v>
      </c>
      <c r="G17" s="48"/>
      <c r="H17" s="47"/>
      <c r="I17" s="47"/>
      <c r="J17" s="47"/>
      <c r="K17" s="45">
        <f t="shared" si="6"/>
        <v>0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0</v>
      </c>
      <c r="S17" s="48">
        <f t="shared" si="16"/>
        <v>0</v>
      </c>
      <c r="T17" s="48">
        <f t="shared" si="16"/>
        <v>0</v>
      </c>
      <c r="U17" s="47">
        <f t="shared" si="9"/>
        <v>0</v>
      </c>
      <c r="V17" s="39"/>
    </row>
    <row r="18" ht="15.0" customHeight="1">
      <c r="A18" s="40" t="s">
        <v>26</v>
      </c>
      <c r="B18" s="46"/>
      <c r="C18" s="47"/>
      <c r="D18" s="47"/>
      <c r="E18" s="47"/>
      <c r="F18" s="43">
        <f t="shared" si="5"/>
        <v>0</v>
      </c>
      <c r="G18" s="48"/>
      <c r="H18" s="47"/>
      <c r="I18" s="47"/>
      <c r="J18" s="47"/>
      <c r="K18" s="45">
        <f t="shared" si="6"/>
        <v>0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0</v>
      </c>
      <c r="R18" s="48">
        <f t="shared" si="17"/>
        <v>0</v>
      </c>
      <c r="S18" s="48">
        <f t="shared" si="17"/>
        <v>0</v>
      </c>
      <c r="T18" s="48">
        <f t="shared" si="17"/>
        <v>0</v>
      </c>
      <c r="U18" s="47">
        <f t="shared" si="9"/>
        <v>0</v>
      </c>
      <c r="V18" s="39"/>
    </row>
    <row r="19" ht="15.0" customHeight="1">
      <c r="A19" s="40" t="s">
        <v>27</v>
      </c>
      <c r="B19" s="46"/>
      <c r="C19" s="47"/>
      <c r="D19" s="47"/>
      <c r="E19" s="47"/>
      <c r="F19" s="43">
        <f t="shared" si="5"/>
        <v>0</v>
      </c>
      <c r="G19" s="48"/>
      <c r="H19" s="47"/>
      <c r="I19" s="47"/>
      <c r="J19" s="47"/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0</v>
      </c>
      <c r="R19" s="48">
        <f t="shared" si="18"/>
        <v>0</v>
      </c>
      <c r="S19" s="48">
        <f t="shared" si="18"/>
        <v>0</v>
      </c>
      <c r="T19" s="48">
        <f t="shared" si="18"/>
        <v>0</v>
      </c>
      <c r="U19" s="47">
        <f t="shared" si="9"/>
        <v>0</v>
      </c>
      <c r="V19" s="39"/>
    </row>
    <row r="20" ht="15.0" customHeight="1">
      <c r="A20" s="40" t="s">
        <v>28</v>
      </c>
      <c r="B20" s="46"/>
      <c r="C20" s="47"/>
      <c r="D20" s="47"/>
      <c r="E20" s="47"/>
      <c r="F20" s="43">
        <f t="shared" si="5"/>
        <v>0</v>
      </c>
      <c r="G20" s="48"/>
      <c r="H20" s="47"/>
      <c r="I20" s="47"/>
      <c r="J20" s="47"/>
      <c r="K20" s="45">
        <f t="shared" si="6"/>
        <v>0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7">
        <f t="shared" si="9"/>
        <v>0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9.29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7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0</v>
      </c>
      <c r="C9" s="32">
        <f t="shared" si="1"/>
        <v>0</v>
      </c>
      <c r="D9" s="32">
        <f t="shared" si="1"/>
        <v>0</v>
      </c>
      <c r="E9" s="32">
        <f t="shared" si="1"/>
        <v>0</v>
      </c>
      <c r="F9" s="33">
        <f t="shared" ref="F9:F21" si="5">SUM(B9:E9)</f>
        <v>0</v>
      </c>
      <c r="G9" s="34">
        <f t="shared" ref="G9:J9" si="2">SUM(G10:G21)</f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5">
        <f t="shared" ref="K9:K21" si="6">SUM(G9:J9)</f>
        <v>0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2">
        <f t="shared" ref="U9:U21" si="9">SUM(Q9:T9)</f>
        <v>0</v>
      </c>
      <c r="V9" s="39"/>
    </row>
    <row r="10" ht="15.0" customHeight="1">
      <c r="A10" s="40" t="s">
        <v>18</v>
      </c>
      <c r="B10" s="46"/>
      <c r="C10" s="47"/>
      <c r="D10" s="47"/>
      <c r="E10" s="47"/>
      <c r="F10" s="43">
        <f t="shared" si="5"/>
        <v>0</v>
      </c>
      <c r="G10" s="48"/>
      <c r="H10" s="47"/>
      <c r="I10" s="47"/>
      <c r="J10" s="47"/>
      <c r="K10" s="45">
        <f t="shared" si="6"/>
        <v>0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0</v>
      </c>
      <c r="S10" s="48">
        <f t="shared" si="8"/>
        <v>0</v>
      </c>
      <c r="T10" s="48">
        <f t="shared" si="8"/>
        <v>0</v>
      </c>
      <c r="U10" s="47">
        <f t="shared" si="9"/>
        <v>0</v>
      </c>
      <c r="V10" s="39"/>
    </row>
    <row r="11" ht="15.0" customHeight="1">
      <c r="A11" s="40" t="s">
        <v>19</v>
      </c>
      <c r="B11" s="46"/>
      <c r="C11" s="47"/>
      <c r="D11" s="47"/>
      <c r="E11" s="47"/>
      <c r="F11" s="43">
        <f t="shared" si="5"/>
        <v>0</v>
      </c>
      <c r="G11" s="48"/>
      <c r="H11" s="47"/>
      <c r="I11" s="47"/>
      <c r="J11" s="47"/>
      <c r="K11" s="45">
        <f t="shared" si="6"/>
        <v>0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0</v>
      </c>
      <c r="T11" s="48">
        <f t="shared" si="10"/>
        <v>0</v>
      </c>
      <c r="U11" s="47">
        <f t="shared" si="9"/>
        <v>0</v>
      </c>
      <c r="V11" s="39"/>
    </row>
    <row r="12" ht="15.0" customHeight="1">
      <c r="A12" s="40" t="s">
        <v>20</v>
      </c>
      <c r="B12" s="46"/>
      <c r="C12" s="47"/>
      <c r="D12" s="47"/>
      <c r="E12" s="47"/>
      <c r="F12" s="43">
        <f t="shared" si="5"/>
        <v>0</v>
      </c>
      <c r="G12" s="48"/>
      <c r="H12" s="47"/>
      <c r="I12" s="47"/>
      <c r="J12" s="47"/>
      <c r="K12" s="45">
        <f t="shared" si="6"/>
        <v>0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0</v>
      </c>
      <c r="R12" s="48">
        <f t="shared" si="11"/>
        <v>0</v>
      </c>
      <c r="S12" s="48">
        <f t="shared" si="11"/>
        <v>0</v>
      </c>
      <c r="T12" s="48">
        <f t="shared" si="11"/>
        <v>0</v>
      </c>
      <c r="U12" s="47">
        <f t="shared" si="9"/>
        <v>0</v>
      </c>
      <c r="V12" s="39"/>
    </row>
    <row r="13" ht="15.0" customHeight="1">
      <c r="A13" s="40" t="s">
        <v>21</v>
      </c>
      <c r="B13" s="46"/>
      <c r="C13" s="47"/>
      <c r="D13" s="47"/>
      <c r="E13" s="47"/>
      <c r="F13" s="43">
        <f t="shared" si="5"/>
        <v>0</v>
      </c>
      <c r="G13" s="48"/>
      <c r="H13" s="47"/>
      <c r="I13" s="47"/>
      <c r="J13" s="47"/>
      <c r="K13" s="45">
        <f t="shared" si="6"/>
        <v>0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0</v>
      </c>
      <c r="T13" s="48">
        <f t="shared" si="12"/>
        <v>0</v>
      </c>
      <c r="U13" s="47">
        <f t="shared" si="9"/>
        <v>0</v>
      </c>
      <c r="V13" s="39"/>
    </row>
    <row r="14" ht="15.0" customHeight="1">
      <c r="A14" s="40" t="s">
        <v>22</v>
      </c>
      <c r="B14" s="46"/>
      <c r="C14" s="47"/>
      <c r="D14" s="47"/>
      <c r="E14" s="47"/>
      <c r="F14" s="43">
        <f t="shared" si="5"/>
        <v>0</v>
      </c>
      <c r="G14" s="48"/>
      <c r="H14" s="47"/>
      <c r="I14" s="47"/>
      <c r="J14" s="47"/>
      <c r="K14" s="45">
        <f t="shared" si="6"/>
        <v>0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0</v>
      </c>
      <c r="S14" s="48">
        <f t="shared" si="13"/>
        <v>0</v>
      </c>
      <c r="T14" s="48">
        <f t="shared" si="13"/>
        <v>0</v>
      </c>
      <c r="U14" s="47">
        <f t="shared" si="9"/>
        <v>0</v>
      </c>
      <c r="V14" s="39"/>
    </row>
    <row r="15" ht="15.0" customHeight="1">
      <c r="A15" s="40" t="s">
        <v>23</v>
      </c>
      <c r="B15" s="46"/>
      <c r="C15" s="47"/>
      <c r="D15" s="47"/>
      <c r="E15" s="47"/>
      <c r="F15" s="43">
        <f t="shared" si="5"/>
        <v>0</v>
      </c>
      <c r="G15" s="48"/>
      <c r="H15" s="47"/>
      <c r="I15" s="47"/>
      <c r="J15" s="47"/>
      <c r="K15" s="45">
        <f t="shared" si="6"/>
        <v>0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0</v>
      </c>
      <c r="R15" s="48">
        <f t="shared" si="14"/>
        <v>0</v>
      </c>
      <c r="S15" s="48">
        <f t="shared" si="14"/>
        <v>0</v>
      </c>
      <c r="T15" s="48">
        <f t="shared" si="14"/>
        <v>0</v>
      </c>
      <c r="U15" s="47">
        <f t="shared" si="9"/>
        <v>0</v>
      </c>
      <c r="V15" s="39"/>
    </row>
    <row r="16" ht="15.0" customHeight="1">
      <c r="A16" s="40" t="s">
        <v>24</v>
      </c>
      <c r="B16" s="46"/>
      <c r="C16" s="47"/>
      <c r="D16" s="47"/>
      <c r="E16" s="47"/>
      <c r="F16" s="43">
        <f t="shared" si="5"/>
        <v>0</v>
      </c>
      <c r="G16" s="48"/>
      <c r="H16" s="47"/>
      <c r="I16" s="47"/>
      <c r="J16" s="47"/>
      <c r="K16" s="45">
        <f t="shared" si="6"/>
        <v>0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0</v>
      </c>
      <c r="T16" s="48">
        <f t="shared" si="15"/>
        <v>0</v>
      </c>
      <c r="U16" s="47">
        <f t="shared" si="9"/>
        <v>0</v>
      </c>
      <c r="V16" s="39"/>
    </row>
    <row r="17" ht="15.0" customHeight="1">
      <c r="A17" s="40" t="s">
        <v>25</v>
      </c>
      <c r="B17" s="46"/>
      <c r="C17" s="47"/>
      <c r="D17" s="47"/>
      <c r="E17" s="47"/>
      <c r="F17" s="43">
        <f t="shared" si="5"/>
        <v>0</v>
      </c>
      <c r="G17" s="48"/>
      <c r="H17" s="47"/>
      <c r="I17" s="47"/>
      <c r="J17" s="47"/>
      <c r="K17" s="45">
        <f t="shared" si="6"/>
        <v>0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0</v>
      </c>
      <c r="S17" s="48">
        <f t="shared" si="16"/>
        <v>0</v>
      </c>
      <c r="T17" s="48">
        <f t="shared" si="16"/>
        <v>0</v>
      </c>
      <c r="U17" s="47">
        <f t="shared" si="9"/>
        <v>0</v>
      </c>
      <c r="V17" s="39"/>
    </row>
    <row r="18" ht="15.0" customHeight="1">
      <c r="A18" s="40" t="s">
        <v>26</v>
      </c>
      <c r="B18" s="46"/>
      <c r="C18" s="47"/>
      <c r="D18" s="47"/>
      <c r="E18" s="47"/>
      <c r="F18" s="43">
        <f t="shared" si="5"/>
        <v>0</v>
      </c>
      <c r="G18" s="48"/>
      <c r="H18" s="47"/>
      <c r="I18" s="47"/>
      <c r="J18" s="47"/>
      <c r="K18" s="45">
        <f t="shared" si="6"/>
        <v>0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0</v>
      </c>
      <c r="R18" s="48">
        <f t="shared" si="17"/>
        <v>0</v>
      </c>
      <c r="S18" s="48">
        <f t="shared" si="17"/>
        <v>0</v>
      </c>
      <c r="T18" s="48">
        <f t="shared" si="17"/>
        <v>0</v>
      </c>
      <c r="U18" s="47">
        <f t="shared" si="9"/>
        <v>0</v>
      </c>
      <c r="V18" s="39"/>
    </row>
    <row r="19" ht="15.0" customHeight="1">
      <c r="A19" s="40" t="s">
        <v>27</v>
      </c>
      <c r="B19" s="46"/>
      <c r="C19" s="47"/>
      <c r="D19" s="47"/>
      <c r="E19" s="47"/>
      <c r="F19" s="43">
        <f t="shared" si="5"/>
        <v>0</v>
      </c>
      <c r="G19" s="48"/>
      <c r="H19" s="47"/>
      <c r="I19" s="47"/>
      <c r="J19" s="47"/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0</v>
      </c>
      <c r="R19" s="48">
        <f t="shared" si="18"/>
        <v>0</v>
      </c>
      <c r="S19" s="48">
        <f t="shared" si="18"/>
        <v>0</v>
      </c>
      <c r="T19" s="48">
        <f t="shared" si="18"/>
        <v>0</v>
      </c>
      <c r="U19" s="47">
        <f t="shared" si="9"/>
        <v>0</v>
      </c>
      <c r="V19" s="39"/>
    </row>
    <row r="20" ht="15.0" customHeight="1">
      <c r="A20" s="40" t="s">
        <v>28</v>
      </c>
      <c r="B20" s="46"/>
      <c r="C20" s="47"/>
      <c r="D20" s="47"/>
      <c r="E20" s="47"/>
      <c r="F20" s="43">
        <f t="shared" si="5"/>
        <v>0</v>
      </c>
      <c r="G20" s="48"/>
      <c r="H20" s="47"/>
      <c r="I20" s="47"/>
      <c r="J20" s="47"/>
      <c r="K20" s="45">
        <f t="shared" si="6"/>
        <v>0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7">
        <f t="shared" si="9"/>
        <v>0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9.29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7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0</v>
      </c>
      <c r="C9" s="32">
        <f t="shared" si="1"/>
        <v>0</v>
      </c>
      <c r="D9" s="32">
        <f t="shared" si="1"/>
        <v>0</v>
      </c>
      <c r="E9" s="32">
        <f t="shared" si="1"/>
        <v>0</v>
      </c>
      <c r="F9" s="33">
        <f t="shared" ref="F9:F21" si="5">SUM(B9:E9)</f>
        <v>0</v>
      </c>
      <c r="G9" s="34">
        <f t="shared" ref="G9:J9" si="2">SUM(G10:G21)</f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5">
        <f t="shared" ref="K9:K21" si="6">SUM(G9:J9)</f>
        <v>0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2">
        <f t="shared" ref="U9:U21" si="9">SUM(Q9:T9)</f>
        <v>0</v>
      </c>
      <c r="V9" s="39"/>
    </row>
    <row r="10" ht="15.0" customHeight="1">
      <c r="A10" s="40" t="s">
        <v>18</v>
      </c>
      <c r="B10" s="46"/>
      <c r="C10" s="47"/>
      <c r="D10" s="47"/>
      <c r="E10" s="47"/>
      <c r="F10" s="43">
        <f t="shared" si="5"/>
        <v>0</v>
      </c>
      <c r="G10" s="48"/>
      <c r="H10" s="47"/>
      <c r="I10" s="47"/>
      <c r="J10" s="47"/>
      <c r="K10" s="45">
        <f t="shared" si="6"/>
        <v>0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0</v>
      </c>
      <c r="S10" s="48">
        <f t="shared" si="8"/>
        <v>0</v>
      </c>
      <c r="T10" s="48">
        <f t="shared" si="8"/>
        <v>0</v>
      </c>
      <c r="U10" s="47">
        <f t="shared" si="9"/>
        <v>0</v>
      </c>
      <c r="V10" s="39"/>
    </row>
    <row r="11" ht="15.0" customHeight="1">
      <c r="A11" s="40" t="s">
        <v>19</v>
      </c>
      <c r="B11" s="46"/>
      <c r="C11" s="47"/>
      <c r="D11" s="47"/>
      <c r="E11" s="47"/>
      <c r="F11" s="43">
        <f t="shared" si="5"/>
        <v>0</v>
      </c>
      <c r="G11" s="48"/>
      <c r="H11" s="47"/>
      <c r="I11" s="47"/>
      <c r="J11" s="47"/>
      <c r="K11" s="45">
        <f t="shared" si="6"/>
        <v>0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0</v>
      </c>
      <c r="T11" s="48">
        <f t="shared" si="10"/>
        <v>0</v>
      </c>
      <c r="U11" s="47">
        <f t="shared" si="9"/>
        <v>0</v>
      </c>
      <c r="V11" s="39"/>
    </row>
    <row r="12" ht="15.0" customHeight="1">
      <c r="A12" s="40" t="s">
        <v>20</v>
      </c>
      <c r="B12" s="46"/>
      <c r="C12" s="47"/>
      <c r="D12" s="47"/>
      <c r="E12" s="47"/>
      <c r="F12" s="43">
        <f t="shared" si="5"/>
        <v>0</v>
      </c>
      <c r="G12" s="48"/>
      <c r="H12" s="47"/>
      <c r="I12" s="47"/>
      <c r="J12" s="47"/>
      <c r="K12" s="45">
        <f t="shared" si="6"/>
        <v>0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0</v>
      </c>
      <c r="R12" s="48">
        <f t="shared" si="11"/>
        <v>0</v>
      </c>
      <c r="S12" s="48">
        <f t="shared" si="11"/>
        <v>0</v>
      </c>
      <c r="T12" s="48">
        <f t="shared" si="11"/>
        <v>0</v>
      </c>
      <c r="U12" s="47">
        <f t="shared" si="9"/>
        <v>0</v>
      </c>
      <c r="V12" s="39"/>
    </row>
    <row r="13" ht="15.0" customHeight="1">
      <c r="A13" s="40" t="s">
        <v>21</v>
      </c>
      <c r="B13" s="46"/>
      <c r="C13" s="47"/>
      <c r="D13" s="47"/>
      <c r="E13" s="47"/>
      <c r="F13" s="43">
        <f t="shared" si="5"/>
        <v>0</v>
      </c>
      <c r="G13" s="48"/>
      <c r="H13" s="47"/>
      <c r="I13" s="47"/>
      <c r="J13" s="47"/>
      <c r="K13" s="45">
        <f t="shared" si="6"/>
        <v>0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0</v>
      </c>
      <c r="T13" s="48">
        <f t="shared" si="12"/>
        <v>0</v>
      </c>
      <c r="U13" s="47">
        <f t="shared" si="9"/>
        <v>0</v>
      </c>
      <c r="V13" s="39"/>
    </row>
    <row r="14" ht="15.0" customHeight="1">
      <c r="A14" s="40" t="s">
        <v>22</v>
      </c>
      <c r="B14" s="46"/>
      <c r="C14" s="47"/>
      <c r="D14" s="47"/>
      <c r="E14" s="47"/>
      <c r="F14" s="43">
        <f t="shared" si="5"/>
        <v>0</v>
      </c>
      <c r="G14" s="48"/>
      <c r="H14" s="47"/>
      <c r="I14" s="47"/>
      <c r="J14" s="47"/>
      <c r="K14" s="45">
        <f t="shared" si="6"/>
        <v>0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0</v>
      </c>
      <c r="S14" s="48">
        <f t="shared" si="13"/>
        <v>0</v>
      </c>
      <c r="T14" s="48">
        <f t="shared" si="13"/>
        <v>0</v>
      </c>
      <c r="U14" s="47">
        <f t="shared" si="9"/>
        <v>0</v>
      </c>
      <c r="V14" s="39"/>
    </row>
    <row r="15" ht="15.0" customHeight="1">
      <c r="A15" s="40" t="s">
        <v>23</v>
      </c>
      <c r="B15" s="46"/>
      <c r="C15" s="47"/>
      <c r="D15" s="47"/>
      <c r="E15" s="47"/>
      <c r="F15" s="43">
        <f t="shared" si="5"/>
        <v>0</v>
      </c>
      <c r="G15" s="48"/>
      <c r="H15" s="47"/>
      <c r="I15" s="47"/>
      <c r="J15" s="47"/>
      <c r="K15" s="45">
        <f t="shared" si="6"/>
        <v>0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0</v>
      </c>
      <c r="R15" s="48">
        <f t="shared" si="14"/>
        <v>0</v>
      </c>
      <c r="S15" s="48">
        <f t="shared" si="14"/>
        <v>0</v>
      </c>
      <c r="T15" s="48">
        <f t="shared" si="14"/>
        <v>0</v>
      </c>
      <c r="U15" s="47">
        <f t="shared" si="9"/>
        <v>0</v>
      </c>
      <c r="V15" s="39"/>
    </row>
    <row r="16" ht="15.0" customHeight="1">
      <c r="A16" s="40" t="s">
        <v>24</v>
      </c>
      <c r="B16" s="46"/>
      <c r="C16" s="47"/>
      <c r="D16" s="47"/>
      <c r="E16" s="47"/>
      <c r="F16" s="43">
        <f t="shared" si="5"/>
        <v>0</v>
      </c>
      <c r="G16" s="48"/>
      <c r="H16" s="47"/>
      <c r="I16" s="47"/>
      <c r="J16" s="47"/>
      <c r="K16" s="45">
        <f t="shared" si="6"/>
        <v>0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0</v>
      </c>
      <c r="T16" s="48">
        <f t="shared" si="15"/>
        <v>0</v>
      </c>
      <c r="U16" s="47">
        <f t="shared" si="9"/>
        <v>0</v>
      </c>
      <c r="V16" s="39"/>
    </row>
    <row r="17" ht="15.0" customHeight="1">
      <c r="A17" s="40" t="s">
        <v>25</v>
      </c>
      <c r="B17" s="46"/>
      <c r="C17" s="47"/>
      <c r="D17" s="47"/>
      <c r="E17" s="47"/>
      <c r="F17" s="43">
        <f t="shared" si="5"/>
        <v>0</v>
      </c>
      <c r="G17" s="48"/>
      <c r="H17" s="47"/>
      <c r="I17" s="47"/>
      <c r="J17" s="47"/>
      <c r="K17" s="45">
        <f t="shared" si="6"/>
        <v>0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0</v>
      </c>
      <c r="S17" s="48">
        <f t="shared" si="16"/>
        <v>0</v>
      </c>
      <c r="T17" s="48">
        <f t="shared" si="16"/>
        <v>0</v>
      </c>
      <c r="U17" s="47">
        <f t="shared" si="9"/>
        <v>0</v>
      </c>
      <c r="V17" s="39"/>
    </row>
    <row r="18" ht="15.0" customHeight="1">
      <c r="A18" s="40" t="s">
        <v>26</v>
      </c>
      <c r="B18" s="46"/>
      <c r="C18" s="47"/>
      <c r="D18" s="47"/>
      <c r="E18" s="47"/>
      <c r="F18" s="43">
        <f t="shared" si="5"/>
        <v>0</v>
      </c>
      <c r="G18" s="48"/>
      <c r="H18" s="47"/>
      <c r="I18" s="47"/>
      <c r="J18" s="47"/>
      <c r="K18" s="45">
        <f t="shared" si="6"/>
        <v>0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0</v>
      </c>
      <c r="R18" s="48">
        <f t="shared" si="17"/>
        <v>0</v>
      </c>
      <c r="S18" s="48">
        <f t="shared" si="17"/>
        <v>0</v>
      </c>
      <c r="T18" s="48">
        <f t="shared" si="17"/>
        <v>0</v>
      </c>
      <c r="U18" s="47">
        <f t="shared" si="9"/>
        <v>0</v>
      </c>
      <c r="V18" s="39"/>
    </row>
    <row r="19" ht="15.0" customHeight="1">
      <c r="A19" s="40" t="s">
        <v>27</v>
      </c>
      <c r="B19" s="46"/>
      <c r="C19" s="47"/>
      <c r="D19" s="47"/>
      <c r="E19" s="47"/>
      <c r="F19" s="43">
        <f t="shared" si="5"/>
        <v>0</v>
      </c>
      <c r="G19" s="48"/>
      <c r="H19" s="47"/>
      <c r="I19" s="47"/>
      <c r="J19" s="47"/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0</v>
      </c>
      <c r="R19" s="48">
        <f t="shared" si="18"/>
        <v>0</v>
      </c>
      <c r="S19" s="48">
        <f t="shared" si="18"/>
        <v>0</v>
      </c>
      <c r="T19" s="48">
        <f t="shared" si="18"/>
        <v>0</v>
      </c>
      <c r="U19" s="47">
        <f t="shared" si="9"/>
        <v>0</v>
      </c>
      <c r="V19" s="39"/>
    </row>
    <row r="20" ht="15.0" customHeight="1">
      <c r="A20" s="40" t="s">
        <v>28</v>
      </c>
      <c r="B20" s="46"/>
      <c r="C20" s="47"/>
      <c r="D20" s="47"/>
      <c r="E20" s="47"/>
      <c r="F20" s="43">
        <f t="shared" si="5"/>
        <v>0</v>
      </c>
      <c r="G20" s="48"/>
      <c r="H20" s="47"/>
      <c r="I20" s="47"/>
      <c r="J20" s="47"/>
      <c r="K20" s="45">
        <f t="shared" si="6"/>
        <v>0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7">
        <f t="shared" si="9"/>
        <v>0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8" width="12.57"/>
    <col customWidth="1" min="9" max="9" width="19.29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7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4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" t="s">
        <v>3</v>
      </c>
      <c r="B5" s="6" t="s">
        <v>4</v>
      </c>
      <c r="C5" s="7"/>
      <c r="D5" s="7"/>
      <c r="E5" s="7"/>
      <c r="F5" s="8"/>
      <c r="G5" s="9" t="s">
        <v>5</v>
      </c>
      <c r="H5" s="7"/>
      <c r="I5" s="7"/>
      <c r="J5" s="7"/>
      <c r="K5" s="10"/>
      <c r="L5" s="6" t="s">
        <v>6</v>
      </c>
      <c r="M5" s="7"/>
      <c r="N5" s="7"/>
      <c r="O5" s="7"/>
      <c r="P5" s="8"/>
      <c r="Q5" s="9" t="s">
        <v>7</v>
      </c>
      <c r="R5" s="7"/>
      <c r="S5" s="7"/>
      <c r="T5" s="7"/>
      <c r="U5" s="10"/>
      <c r="V5" s="11" t="s">
        <v>8</v>
      </c>
    </row>
    <row r="6" ht="57.0" customHeight="1">
      <c r="A6" s="12"/>
      <c r="B6" s="13" t="s">
        <v>9</v>
      </c>
      <c r="C6" s="14" t="s">
        <v>10</v>
      </c>
      <c r="D6" s="14" t="s">
        <v>11</v>
      </c>
      <c r="E6" s="14" t="s">
        <v>12</v>
      </c>
      <c r="F6" s="15" t="s">
        <v>13</v>
      </c>
      <c r="G6" s="16" t="s">
        <v>14</v>
      </c>
      <c r="H6" s="14" t="s">
        <v>15</v>
      </c>
      <c r="I6" s="14" t="s">
        <v>16</v>
      </c>
      <c r="J6" s="14" t="s">
        <v>12</v>
      </c>
      <c r="K6" s="17" t="s">
        <v>13</v>
      </c>
      <c r="L6" s="16" t="s">
        <v>14</v>
      </c>
      <c r="M6" s="14" t="s">
        <v>15</v>
      </c>
      <c r="N6" s="14" t="s">
        <v>11</v>
      </c>
      <c r="O6" s="14" t="s">
        <v>12</v>
      </c>
      <c r="P6" s="15" t="s">
        <v>13</v>
      </c>
      <c r="Q6" s="16" t="s">
        <v>14</v>
      </c>
      <c r="R6" s="14" t="s">
        <v>15</v>
      </c>
      <c r="S6" s="14" t="s">
        <v>11</v>
      </c>
      <c r="T6" s="14" t="s">
        <v>12</v>
      </c>
      <c r="U6" s="14" t="s">
        <v>13</v>
      </c>
      <c r="V6" s="18"/>
    </row>
    <row r="7" ht="15.0" customHeight="1">
      <c r="A7" s="19"/>
      <c r="B7" s="20"/>
      <c r="C7" s="21"/>
      <c r="D7" s="21"/>
      <c r="E7" s="21"/>
      <c r="F7" s="18"/>
      <c r="G7" s="22"/>
      <c r="H7" s="21"/>
      <c r="I7" s="21"/>
      <c r="J7" s="21"/>
      <c r="K7" s="23"/>
      <c r="L7" s="22"/>
      <c r="M7" s="21"/>
      <c r="N7" s="21"/>
      <c r="O7" s="21"/>
      <c r="P7" s="18"/>
      <c r="Q7" s="22"/>
      <c r="R7" s="21"/>
      <c r="S7" s="21"/>
      <c r="T7" s="21"/>
      <c r="U7" s="21"/>
      <c r="V7" s="18"/>
    </row>
    <row r="8" ht="31.5" customHeight="1">
      <c r="A8" s="24"/>
      <c r="B8" s="25"/>
      <c r="C8" s="26"/>
      <c r="D8" s="26"/>
      <c r="E8" s="26"/>
      <c r="F8" s="27"/>
      <c r="G8" s="28"/>
      <c r="H8" s="26"/>
      <c r="I8" s="26"/>
      <c r="J8" s="26"/>
      <c r="K8" s="29"/>
      <c r="L8" s="28"/>
      <c r="M8" s="26"/>
      <c r="N8" s="26"/>
      <c r="O8" s="26"/>
      <c r="P8" s="27"/>
      <c r="Q8" s="28"/>
      <c r="R8" s="26"/>
      <c r="S8" s="26"/>
      <c r="T8" s="26"/>
      <c r="U8" s="26"/>
      <c r="V8" s="27"/>
    </row>
    <row r="9" ht="15.0" customHeight="1">
      <c r="A9" s="30" t="s">
        <v>17</v>
      </c>
      <c r="B9" s="31">
        <f t="shared" ref="B9:E9" si="1">SUM(B10:B21)</f>
        <v>0</v>
      </c>
      <c r="C9" s="32">
        <f t="shared" si="1"/>
        <v>0</v>
      </c>
      <c r="D9" s="32">
        <f t="shared" si="1"/>
        <v>0</v>
      </c>
      <c r="E9" s="32">
        <f t="shared" si="1"/>
        <v>0</v>
      </c>
      <c r="F9" s="33">
        <f t="shared" ref="F9:F21" si="5">SUM(B9:E9)</f>
        <v>0</v>
      </c>
      <c r="G9" s="34">
        <f t="shared" ref="G9:J9" si="2">SUM(G10:G21)</f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5">
        <f t="shared" ref="K9:K21" si="6">SUM(G9:J9)</f>
        <v>0</v>
      </c>
      <c r="L9" s="36">
        <f t="shared" ref="L9:O9" si="3">SUM(L10:L21)</f>
        <v>0</v>
      </c>
      <c r="M9" s="37">
        <f t="shared" si="3"/>
        <v>0</v>
      </c>
      <c r="N9" s="37">
        <f t="shared" si="3"/>
        <v>0</v>
      </c>
      <c r="O9" s="37">
        <f t="shared" si="3"/>
        <v>0</v>
      </c>
      <c r="P9" s="33">
        <f t="shared" ref="P9:P21" si="7">SUM(L9:O9)</f>
        <v>0</v>
      </c>
      <c r="Q9" s="38">
        <f t="shared" ref="Q9:T9" si="4">SUM(Q10:Q21)</f>
        <v>0</v>
      </c>
      <c r="R9" s="37">
        <f t="shared" si="4"/>
        <v>0</v>
      </c>
      <c r="S9" s="37">
        <f t="shared" si="4"/>
        <v>0</v>
      </c>
      <c r="T9" s="37">
        <f t="shared" si="4"/>
        <v>0</v>
      </c>
      <c r="U9" s="32">
        <f t="shared" ref="U9:U21" si="9">SUM(Q9:T9)</f>
        <v>0</v>
      </c>
      <c r="V9" s="39"/>
    </row>
    <row r="10" ht="15.0" customHeight="1">
      <c r="A10" s="40" t="s">
        <v>18</v>
      </c>
      <c r="B10" s="46"/>
      <c r="C10" s="47"/>
      <c r="D10" s="47"/>
      <c r="E10" s="47"/>
      <c r="F10" s="43">
        <f t="shared" si="5"/>
        <v>0</v>
      </c>
      <c r="G10" s="48"/>
      <c r="H10" s="47"/>
      <c r="I10" s="47"/>
      <c r="J10" s="47"/>
      <c r="K10" s="45">
        <f t="shared" si="6"/>
        <v>0</v>
      </c>
      <c r="L10" s="46"/>
      <c r="M10" s="47"/>
      <c r="N10" s="47"/>
      <c r="O10" s="47"/>
      <c r="P10" s="43">
        <f t="shared" si="7"/>
        <v>0</v>
      </c>
      <c r="Q10" s="48">
        <f t="shared" ref="Q10:T10" si="8">B10+G10+L10</f>
        <v>0</v>
      </c>
      <c r="R10" s="48">
        <f t="shared" si="8"/>
        <v>0</v>
      </c>
      <c r="S10" s="48">
        <f t="shared" si="8"/>
        <v>0</v>
      </c>
      <c r="T10" s="48">
        <f t="shared" si="8"/>
        <v>0</v>
      </c>
      <c r="U10" s="47">
        <f t="shared" si="9"/>
        <v>0</v>
      </c>
      <c r="V10" s="39"/>
    </row>
    <row r="11" ht="15.0" customHeight="1">
      <c r="A11" s="40" t="s">
        <v>19</v>
      </c>
      <c r="B11" s="46"/>
      <c r="C11" s="47"/>
      <c r="D11" s="47"/>
      <c r="E11" s="47"/>
      <c r="F11" s="43">
        <f t="shared" si="5"/>
        <v>0</v>
      </c>
      <c r="G11" s="48"/>
      <c r="H11" s="47"/>
      <c r="I11" s="47"/>
      <c r="J11" s="47"/>
      <c r="K11" s="45">
        <f t="shared" si="6"/>
        <v>0</v>
      </c>
      <c r="L11" s="46"/>
      <c r="M11" s="47"/>
      <c r="N11" s="47"/>
      <c r="O11" s="47"/>
      <c r="P11" s="43">
        <f t="shared" si="7"/>
        <v>0</v>
      </c>
      <c r="Q11" s="48">
        <f t="shared" ref="Q11:T11" si="10">B11+G11+L11</f>
        <v>0</v>
      </c>
      <c r="R11" s="48">
        <f t="shared" si="10"/>
        <v>0</v>
      </c>
      <c r="S11" s="48">
        <f t="shared" si="10"/>
        <v>0</v>
      </c>
      <c r="T11" s="48">
        <f t="shared" si="10"/>
        <v>0</v>
      </c>
      <c r="U11" s="47">
        <f t="shared" si="9"/>
        <v>0</v>
      </c>
      <c r="V11" s="39"/>
    </row>
    <row r="12" ht="15.0" customHeight="1">
      <c r="A12" s="40" t="s">
        <v>20</v>
      </c>
      <c r="B12" s="46"/>
      <c r="C12" s="47"/>
      <c r="D12" s="47"/>
      <c r="E12" s="47"/>
      <c r="F12" s="43">
        <f t="shared" si="5"/>
        <v>0</v>
      </c>
      <c r="G12" s="48"/>
      <c r="H12" s="47"/>
      <c r="I12" s="47"/>
      <c r="J12" s="47"/>
      <c r="K12" s="45">
        <f t="shared" si="6"/>
        <v>0</v>
      </c>
      <c r="L12" s="46"/>
      <c r="M12" s="47"/>
      <c r="N12" s="47"/>
      <c r="O12" s="47"/>
      <c r="P12" s="43">
        <f t="shared" si="7"/>
        <v>0</v>
      </c>
      <c r="Q12" s="48">
        <f t="shared" ref="Q12:T12" si="11">B12+G12+L12</f>
        <v>0</v>
      </c>
      <c r="R12" s="48">
        <f t="shared" si="11"/>
        <v>0</v>
      </c>
      <c r="S12" s="48">
        <f t="shared" si="11"/>
        <v>0</v>
      </c>
      <c r="T12" s="48">
        <f t="shared" si="11"/>
        <v>0</v>
      </c>
      <c r="U12" s="47">
        <f t="shared" si="9"/>
        <v>0</v>
      </c>
      <c r="V12" s="39"/>
    </row>
    <row r="13" ht="15.0" customHeight="1">
      <c r="A13" s="40" t="s">
        <v>21</v>
      </c>
      <c r="B13" s="46"/>
      <c r="C13" s="47"/>
      <c r="D13" s="47"/>
      <c r="E13" s="47"/>
      <c r="F13" s="43">
        <f t="shared" si="5"/>
        <v>0</v>
      </c>
      <c r="G13" s="48"/>
      <c r="H13" s="47"/>
      <c r="I13" s="47"/>
      <c r="J13" s="47"/>
      <c r="K13" s="45">
        <f t="shared" si="6"/>
        <v>0</v>
      </c>
      <c r="L13" s="46"/>
      <c r="M13" s="47"/>
      <c r="N13" s="47"/>
      <c r="O13" s="47"/>
      <c r="P13" s="43">
        <f t="shared" si="7"/>
        <v>0</v>
      </c>
      <c r="Q13" s="48">
        <f t="shared" ref="Q13:T13" si="12">B13+G13+L13</f>
        <v>0</v>
      </c>
      <c r="R13" s="48">
        <f t="shared" si="12"/>
        <v>0</v>
      </c>
      <c r="S13" s="48">
        <f t="shared" si="12"/>
        <v>0</v>
      </c>
      <c r="T13" s="48">
        <f t="shared" si="12"/>
        <v>0</v>
      </c>
      <c r="U13" s="47">
        <f t="shared" si="9"/>
        <v>0</v>
      </c>
      <c r="V13" s="39"/>
    </row>
    <row r="14" ht="15.0" customHeight="1">
      <c r="A14" s="40" t="s">
        <v>22</v>
      </c>
      <c r="B14" s="46"/>
      <c r="C14" s="47"/>
      <c r="D14" s="47"/>
      <c r="E14" s="47"/>
      <c r="F14" s="43">
        <f t="shared" si="5"/>
        <v>0</v>
      </c>
      <c r="G14" s="48"/>
      <c r="H14" s="47"/>
      <c r="I14" s="47"/>
      <c r="J14" s="47"/>
      <c r="K14" s="45">
        <f t="shared" si="6"/>
        <v>0</v>
      </c>
      <c r="L14" s="46"/>
      <c r="M14" s="47"/>
      <c r="N14" s="47"/>
      <c r="O14" s="47"/>
      <c r="P14" s="43">
        <f t="shared" si="7"/>
        <v>0</v>
      </c>
      <c r="Q14" s="48">
        <f t="shared" ref="Q14:T14" si="13">B14+G14+L14</f>
        <v>0</v>
      </c>
      <c r="R14" s="48">
        <f t="shared" si="13"/>
        <v>0</v>
      </c>
      <c r="S14" s="48">
        <f t="shared" si="13"/>
        <v>0</v>
      </c>
      <c r="T14" s="48">
        <f t="shared" si="13"/>
        <v>0</v>
      </c>
      <c r="U14" s="47">
        <f t="shared" si="9"/>
        <v>0</v>
      </c>
      <c r="V14" s="39"/>
    </row>
    <row r="15" ht="15.0" customHeight="1">
      <c r="A15" s="40" t="s">
        <v>23</v>
      </c>
      <c r="B15" s="46"/>
      <c r="C15" s="47"/>
      <c r="D15" s="47"/>
      <c r="E15" s="47"/>
      <c r="F15" s="43">
        <f t="shared" si="5"/>
        <v>0</v>
      </c>
      <c r="G15" s="48"/>
      <c r="H15" s="47"/>
      <c r="I15" s="47"/>
      <c r="J15" s="47"/>
      <c r="K15" s="45">
        <f t="shared" si="6"/>
        <v>0</v>
      </c>
      <c r="L15" s="46"/>
      <c r="M15" s="47"/>
      <c r="N15" s="47"/>
      <c r="O15" s="47"/>
      <c r="P15" s="43">
        <f t="shared" si="7"/>
        <v>0</v>
      </c>
      <c r="Q15" s="48">
        <f t="shared" ref="Q15:T15" si="14">B15+G15+L15</f>
        <v>0</v>
      </c>
      <c r="R15" s="48">
        <f t="shared" si="14"/>
        <v>0</v>
      </c>
      <c r="S15" s="48">
        <f t="shared" si="14"/>
        <v>0</v>
      </c>
      <c r="T15" s="48">
        <f t="shared" si="14"/>
        <v>0</v>
      </c>
      <c r="U15" s="47">
        <f t="shared" si="9"/>
        <v>0</v>
      </c>
      <c r="V15" s="39"/>
    </row>
    <row r="16" ht="15.0" customHeight="1">
      <c r="A16" s="40" t="s">
        <v>24</v>
      </c>
      <c r="B16" s="46"/>
      <c r="C16" s="47"/>
      <c r="D16" s="47"/>
      <c r="E16" s="47"/>
      <c r="F16" s="43">
        <f t="shared" si="5"/>
        <v>0</v>
      </c>
      <c r="G16" s="48"/>
      <c r="H16" s="47"/>
      <c r="I16" s="47"/>
      <c r="J16" s="47"/>
      <c r="K16" s="45">
        <f t="shared" si="6"/>
        <v>0</v>
      </c>
      <c r="L16" s="46"/>
      <c r="M16" s="47"/>
      <c r="N16" s="47"/>
      <c r="O16" s="47"/>
      <c r="P16" s="43">
        <f t="shared" si="7"/>
        <v>0</v>
      </c>
      <c r="Q16" s="48">
        <f t="shared" ref="Q16:T16" si="15">B16+G16+L16</f>
        <v>0</v>
      </c>
      <c r="R16" s="48">
        <f t="shared" si="15"/>
        <v>0</v>
      </c>
      <c r="S16" s="48">
        <f t="shared" si="15"/>
        <v>0</v>
      </c>
      <c r="T16" s="48">
        <f t="shared" si="15"/>
        <v>0</v>
      </c>
      <c r="U16" s="47">
        <f t="shared" si="9"/>
        <v>0</v>
      </c>
      <c r="V16" s="39"/>
    </row>
    <row r="17" ht="15.0" customHeight="1">
      <c r="A17" s="40" t="s">
        <v>25</v>
      </c>
      <c r="B17" s="46"/>
      <c r="C17" s="47"/>
      <c r="D17" s="47"/>
      <c r="E17" s="47"/>
      <c r="F17" s="43">
        <f t="shared" si="5"/>
        <v>0</v>
      </c>
      <c r="G17" s="48"/>
      <c r="H17" s="47"/>
      <c r="I17" s="47"/>
      <c r="J17" s="47"/>
      <c r="K17" s="45">
        <f t="shared" si="6"/>
        <v>0</v>
      </c>
      <c r="L17" s="46"/>
      <c r="M17" s="47"/>
      <c r="N17" s="47"/>
      <c r="O17" s="47"/>
      <c r="P17" s="43">
        <f t="shared" si="7"/>
        <v>0</v>
      </c>
      <c r="Q17" s="48">
        <f t="shared" ref="Q17:T17" si="16">B17+G17+L17</f>
        <v>0</v>
      </c>
      <c r="R17" s="48">
        <f t="shared" si="16"/>
        <v>0</v>
      </c>
      <c r="S17" s="48">
        <f t="shared" si="16"/>
        <v>0</v>
      </c>
      <c r="T17" s="48">
        <f t="shared" si="16"/>
        <v>0</v>
      </c>
      <c r="U17" s="47">
        <f t="shared" si="9"/>
        <v>0</v>
      </c>
      <c r="V17" s="39"/>
    </row>
    <row r="18" ht="15.0" customHeight="1">
      <c r="A18" s="40" t="s">
        <v>26</v>
      </c>
      <c r="B18" s="46"/>
      <c r="C18" s="47"/>
      <c r="D18" s="47"/>
      <c r="E18" s="47"/>
      <c r="F18" s="43">
        <f t="shared" si="5"/>
        <v>0</v>
      </c>
      <c r="G18" s="48"/>
      <c r="H18" s="47"/>
      <c r="I18" s="47"/>
      <c r="J18" s="47"/>
      <c r="K18" s="45">
        <f t="shared" si="6"/>
        <v>0</v>
      </c>
      <c r="L18" s="46"/>
      <c r="M18" s="47"/>
      <c r="N18" s="47"/>
      <c r="O18" s="47"/>
      <c r="P18" s="43">
        <f t="shared" si="7"/>
        <v>0</v>
      </c>
      <c r="Q18" s="48">
        <f t="shared" ref="Q18:T18" si="17">B18+G18+L18</f>
        <v>0</v>
      </c>
      <c r="R18" s="48">
        <f t="shared" si="17"/>
        <v>0</v>
      </c>
      <c r="S18" s="48">
        <f t="shared" si="17"/>
        <v>0</v>
      </c>
      <c r="T18" s="48">
        <f t="shared" si="17"/>
        <v>0</v>
      </c>
      <c r="U18" s="47">
        <f t="shared" si="9"/>
        <v>0</v>
      </c>
      <c r="V18" s="39"/>
    </row>
    <row r="19" ht="15.0" customHeight="1">
      <c r="A19" s="40" t="s">
        <v>27</v>
      </c>
      <c r="B19" s="46"/>
      <c r="C19" s="47"/>
      <c r="D19" s="47"/>
      <c r="E19" s="47"/>
      <c r="F19" s="43">
        <f t="shared" si="5"/>
        <v>0</v>
      </c>
      <c r="G19" s="48"/>
      <c r="H19" s="47"/>
      <c r="I19" s="47"/>
      <c r="J19" s="47"/>
      <c r="K19" s="45">
        <f t="shared" si="6"/>
        <v>0</v>
      </c>
      <c r="L19" s="46"/>
      <c r="M19" s="47"/>
      <c r="N19" s="47"/>
      <c r="O19" s="47"/>
      <c r="P19" s="43">
        <f t="shared" si="7"/>
        <v>0</v>
      </c>
      <c r="Q19" s="48">
        <f t="shared" ref="Q19:T19" si="18">B19+G19+L19</f>
        <v>0</v>
      </c>
      <c r="R19" s="48">
        <f t="shared" si="18"/>
        <v>0</v>
      </c>
      <c r="S19" s="48">
        <f t="shared" si="18"/>
        <v>0</v>
      </c>
      <c r="T19" s="48">
        <f t="shared" si="18"/>
        <v>0</v>
      </c>
      <c r="U19" s="47">
        <f t="shared" si="9"/>
        <v>0</v>
      </c>
      <c r="V19" s="39"/>
    </row>
    <row r="20" ht="15.0" customHeight="1">
      <c r="A20" s="40" t="s">
        <v>28</v>
      </c>
      <c r="B20" s="46"/>
      <c r="C20" s="47"/>
      <c r="D20" s="47"/>
      <c r="E20" s="47"/>
      <c r="F20" s="43">
        <f t="shared" si="5"/>
        <v>0</v>
      </c>
      <c r="G20" s="48"/>
      <c r="H20" s="47"/>
      <c r="I20" s="47"/>
      <c r="J20" s="47"/>
      <c r="K20" s="45">
        <f t="shared" si="6"/>
        <v>0</v>
      </c>
      <c r="L20" s="46"/>
      <c r="M20" s="47"/>
      <c r="N20" s="47"/>
      <c r="O20" s="47"/>
      <c r="P20" s="43">
        <f t="shared" si="7"/>
        <v>0</v>
      </c>
      <c r="Q20" s="48">
        <f t="shared" ref="Q20:T20" si="19">B20+G20+L20</f>
        <v>0</v>
      </c>
      <c r="R20" s="48">
        <f t="shared" si="19"/>
        <v>0</v>
      </c>
      <c r="S20" s="48">
        <f t="shared" si="19"/>
        <v>0</v>
      </c>
      <c r="T20" s="48">
        <f t="shared" si="19"/>
        <v>0</v>
      </c>
      <c r="U20" s="47">
        <f t="shared" si="9"/>
        <v>0</v>
      </c>
      <c r="V20" s="39"/>
    </row>
    <row r="21" ht="15.0" customHeight="1">
      <c r="A21" s="49"/>
      <c r="B21" s="50"/>
      <c r="C21" s="51"/>
      <c r="D21" s="51"/>
      <c r="E21" s="51"/>
      <c r="F21" s="52">
        <f t="shared" si="5"/>
        <v>0</v>
      </c>
      <c r="G21" s="53"/>
      <c r="H21" s="51"/>
      <c r="I21" s="51"/>
      <c r="J21" s="51"/>
      <c r="K21" s="54">
        <f t="shared" si="6"/>
        <v>0</v>
      </c>
      <c r="L21" s="50"/>
      <c r="M21" s="51"/>
      <c r="N21" s="51"/>
      <c r="O21" s="51"/>
      <c r="P21" s="52">
        <f t="shared" si="7"/>
        <v>0</v>
      </c>
      <c r="Q21" s="53">
        <f t="shared" ref="Q21:T21" si="20">B21+G21+L21</f>
        <v>0</v>
      </c>
      <c r="R21" s="53">
        <f t="shared" si="20"/>
        <v>0</v>
      </c>
      <c r="S21" s="53">
        <f t="shared" si="20"/>
        <v>0</v>
      </c>
      <c r="T21" s="53">
        <f t="shared" si="20"/>
        <v>0</v>
      </c>
      <c r="U21" s="51">
        <f t="shared" si="9"/>
        <v>0</v>
      </c>
      <c r="V21" s="55"/>
    </row>
    <row r="22" ht="15.0" customHeight="1">
      <c r="A22" s="2" t="s">
        <v>29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A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3808</v>
      </c>
      <c r="C9" s="70">
        <f t="shared" si="1"/>
        <v>15970</v>
      </c>
      <c r="D9" s="70">
        <f t="shared" si="1"/>
        <v>37561</v>
      </c>
      <c r="E9" s="70">
        <f t="shared" si="1"/>
        <v>43531</v>
      </c>
      <c r="F9" s="71">
        <f t="shared" si="1"/>
        <v>100870</v>
      </c>
      <c r="G9" s="70">
        <f t="shared" si="1"/>
        <v>2384</v>
      </c>
      <c r="H9" s="70">
        <f t="shared" si="1"/>
        <v>12170</v>
      </c>
      <c r="I9" s="70">
        <f t="shared" si="1"/>
        <v>26204</v>
      </c>
      <c r="J9" s="70">
        <f t="shared" si="1"/>
        <v>15435</v>
      </c>
      <c r="K9" s="71">
        <f t="shared" si="1"/>
        <v>56193</v>
      </c>
      <c r="L9" s="70">
        <f t="shared" si="1"/>
        <v>147</v>
      </c>
      <c r="M9" s="70">
        <f t="shared" si="1"/>
        <v>285</v>
      </c>
      <c r="N9" s="70">
        <f t="shared" si="1"/>
        <v>1871</v>
      </c>
      <c r="O9" s="70">
        <f t="shared" si="1"/>
        <v>2284</v>
      </c>
      <c r="P9" s="71">
        <f t="shared" si="1"/>
        <v>4587</v>
      </c>
      <c r="Q9" s="70">
        <f t="shared" si="1"/>
        <v>6339</v>
      </c>
      <c r="R9" s="70">
        <f t="shared" si="1"/>
        <v>28483</v>
      </c>
      <c r="S9" s="70">
        <f t="shared" si="1"/>
        <v>66485</v>
      </c>
      <c r="T9" s="70">
        <f t="shared" si="1"/>
        <v>61731</v>
      </c>
      <c r="U9" s="71">
        <f t="shared" si="1"/>
        <v>163038</v>
      </c>
      <c r="V9" s="2"/>
    </row>
    <row r="10" ht="15.75" customHeight="1">
      <c r="A10" s="72" t="s">
        <v>49</v>
      </c>
      <c r="B10" s="73">
        <f t="shared" ref="B10:U10" si="2">SUM(B11:B16)</f>
        <v>6</v>
      </c>
      <c r="C10" s="73">
        <f t="shared" si="2"/>
        <v>364</v>
      </c>
      <c r="D10" s="73">
        <f t="shared" si="2"/>
        <v>647</v>
      </c>
      <c r="E10" s="73">
        <f t="shared" si="2"/>
        <v>124</v>
      </c>
      <c r="F10" s="73">
        <f t="shared" si="2"/>
        <v>1141</v>
      </c>
      <c r="G10" s="73">
        <f t="shared" si="2"/>
        <v>14</v>
      </c>
      <c r="H10" s="73">
        <f t="shared" si="2"/>
        <v>459</v>
      </c>
      <c r="I10" s="73">
        <f t="shared" si="2"/>
        <v>351</v>
      </c>
      <c r="J10" s="73">
        <f t="shared" si="2"/>
        <v>146</v>
      </c>
      <c r="K10" s="73">
        <f t="shared" si="2"/>
        <v>970</v>
      </c>
      <c r="L10" s="73">
        <f t="shared" si="2"/>
        <v>0</v>
      </c>
      <c r="M10" s="73">
        <f t="shared" si="2"/>
        <v>0</v>
      </c>
      <c r="N10" s="73">
        <f t="shared" si="2"/>
        <v>103</v>
      </c>
      <c r="O10" s="73">
        <f t="shared" si="2"/>
        <v>26</v>
      </c>
      <c r="P10" s="73">
        <f t="shared" si="2"/>
        <v>129</v>
      </c>
      <c r="Q10" s="73">
        <f t="shared" si="2"/>
        <v>20</v>
      </c>
      <c r="R10" s="73">
        <f t="shared" si="2"/>
        <v>823</v>
      </c>
      <c r="S10" s="73">
        <f t="shared" si="2"/>
        <v>1101</v>
      </c>
      <c r="T10" s="73">
        <f t="shared" si="2"/>
        <v>296</v>
      </c>
      <c r="U10" s="73">
        <f t="shared" si="2"/>
        <v>2240</v>
      </c>
      <c r="V10" s="2"/>
    </row>
    <row r="11" ht="15.0" customHeight="1">
      <c r="A11" s="74" t="s">
        <v>50</v>
      </c>
      <c r="B11" s="75">
        <v>5.0</v>
      </c>
      <c r="C11" s="75">
        <v>53.0</v>
      </c>
      <c r="D11" s="75">
        <v>233.0</v>
      </c>
      <c r="E11" s="75">
        <v>3.0</v>
      </c>
      <c r="F11" s="76">
        <f t="shared" ref="F11:F16" si="4">SUM(B11:E11)</f>
        <v>294</v>
      </c>
      <c r="G11" s="75">
        <v>13.0</v>
      </c>
      <c r="H11" s="75">
        <v>147.0</v>
      </c>
      <c r="I11" s="75">
        <v>73.0</v>
      </c>
      <c r="J11" s="75">
        <v>21.0</v>
      </c>
      <c r="K11" s="76">
        <f t="shared" ref="K11:K16" si="5">SUM(G11:J11)</f>
        <v>254</v>
      </c>
      <c r="L11" s="75"/>
      <c r="M11" s="75"/>
      <c r="N11" s="75">
        <v>75.0</v>
      </c>
      <c r="O11" s="75"/>
      <c r="P11" s="76">
        <f t="shared" ref="P11:P16" si="6">SUM(L11:O11)</f>
        <v>75</v>
      </c>
      <c r="Q11" s="75">
        <f t="shared" ref="Q11:T11" si="3">SUM(B11,G11,L11)</f>
        <v>18</v>
      </c>
      <c r="R11" s="75">
        <f t="shared" si="3"/>
        <v>200</v>
      </c>
      <c r="S11" s="75">
        <f t="shared" si="3"/>
        <v>381</v>
      </c>
      <c r="T11" s="75">
        <f t="shared" si="3"/>
        <v>24</v>
      </c>
      <c r="U11" s="76">
        <f t="shared" ref="U11:U16" si="8">SUM(Q11:T11)</f>
        <v>623</v>
      </c>
      <c r="V11" s="2"/>
    </row>
    <row r="12" ht="15.0" customHeight="1">
      <c r="A12" s="74" t="s">
        <v>51</v>
      </c>
      <c r="B12" s="77"/>
      <c r="C12" s="77">
        <v>2.0</v>
      </c>
      <c r="D12" s="77">
        <v>6.0</v>
      </c>
      <c r="E12" s="77">
        <v>33.0</v>
      </c>
      <c r="F12" s="78">
        <f t="shared" si="4"/>
        <v>41</v>
      </c>
      <c r="G12" s="77"/>
      <c r="H12" s="77"/>
      <c r="I12" s="77">
        <v>13.0</v>
      </c>
      <c r="J12" s="77">
        <v>2.0</v>
      </c>
      <c r="K12" s="78">
        <f t="shared" si="5"/>
        <v>15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2</v>
      </c>
      <c r="S12" s="77">
        <f t="shared" si="7"/>
        <v>19</v>
      </c>
      <c r="T12" s="77">
        <f t="shared" si="7"/>
        <v>35</v>
      </c>
      <c r="U12" s="78">
        <f t="shared" si="8"/>
        <v>56</v>
      </c>
      <c r="V12" s="2"/>
    </row>
    <row r="13" ht="15.0" customHeight="1">
      <c r="A13" s="74" t="s">
        <v>52</v>
      </c>
      <c r="B13" s="77">
        <v>1.0</v>
      </c>
      <c r="C13" s="77">
        <v>14.0</v>
      </c>
      <c r="D13" s="77">
        <v>45.0</v>
      </c>
      <c r="E13" s="77">
        <v>28.0</v>
      </c>
      <c r="F13" s="78">
        <f t="shared" si="4"/>
        <v>88</v>
      </c>
      <c r="G13" s="77"/>
      <c r="H13" s="77">
        <v>78.0</v>
      </c>
      <c r="I13" s="77">
        <v>29.0</v>
      </c>
      <c r="J13" s="77">
        <v>6.0</v>
      </c>
      <c r="K13" s="78">
        <f t="shared" si="5"/>
        <v>113</v>
      </c>
      <c r="L13" s="77"/>
      <c r="M13" s="77"/>
      <c r="N13" s="77">
        <v>3.0</v>
      </c>
      <c r="O13" s="77">
        <v>26.0</v>
      </c>
      <c r="P13" s="78">
        <f t="shared" si="6"/>
        <v>29</v>
      </c>
      <c r="Q13" s="77">
        <f t="shared" ref="Q13:T13" si="9">SUM(B13,G13,L13)</f>
        <v>1</v>
      </c>
      <c r="R13" s="77">
        <f t="shared" si="9"/>
        <v>92</v>
      </c>
      <c r="S13" s="77">
        <f t="shared" si="9"/>
        <v>77</v>
      </c>
      <c r="T13" s="77">
        <f t="shared" si="9"/>
        <v>60</v>
      </c>
      <c r="U13" s="78">
        <f t="shared" si="8"/>
        <v>230</v>
      </c>
      <c r="V13" s="2"/>
    </row>
    <row r="14" ht="15.0" customHeight="1">
      <c r="A14" s="74" t="s">
        <v>53</v>
      </c>
      <c r="B14" s="77"/>
      <c r="C14" s="77"/>
      <c r="D14" s="77">
        <v>146.0</v>
      </c>
      <c r="E14" s="77">
        <v>60.0</v>
      </c>
      <c r="F14" s="78">
        <f t="shared" si="4"/>
        <v>206</v>
      </c>
      <c r="G14" s="77"/>
      <c r="H14" s="77"/>
      <c r="I14" s="77">
        <v>140.0</v>
      </c>
      <c r="J14" s="77">
        <v>47.0</v>
      </c>
      <c r="K14" s="78">
        <f t="shared" si="5"/>
        <v>187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286</v>
      </c>
      <c r="T14" s="77">
        <f t="shared" si="10"/>
        <v>107</v>
      </c>
      <c r="U14" s="78">
        <f t="shared" si="8"/>
        <v>393</v>
      </c>
      <c r="V14" s="2"/>
    </row>
    <row r="15" ht="15.0" customHeight="1">
      <c r="A15" s="74" t="s">
        <v>54</v>
      </c>
      <c r="B15" s="77"/>
      <c r="C15" s="77">
        <v>190.0</v>
      </c>
      <c r="D15" s="77">
        <v>201.0</v>
      </c>
      <c r="E15" s="77"/>
      <c r="F15" s="78">
        <f t="shared" si="4"/>
        <v>391</v>
      </c>
      <c r="G15" s="77"/>
      <c r="H15" s="77"/>
      <c r="I15" s="77">
        <v>33.0</v>
      </c>
      <c r="J15" s="77">
        <v>70.0</v>
      </c>
      <c r="K15" s="78">
        <f t="shared" si="5"/>
        <v>103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190</v>
      </c>
      <c r="S15" s="77">
        <f t="shared" si="11"/>
        <v>234</v>
      </c>
      <c r="T15" s="77">
        <f t="shared" si="11"/>
        <v>70</v>
      </c>
      <c r="U15" s="78">
        <f t="shared" si="8"/>
        <v>494</v>
      </c>
      <c r="V15" s="2"/>
    </row>
    <row r="16" ht="15.75" customHeight="1">
      <c r="A16" s="74" t="s">
        <v>55</v>
      </c>
      <c r="B16" s="77"/>
      <c r="C16" s="77">
        <v>105.0</v>
      </c>
      <c r="D16" s="77">
        <v>16.0</v>
      </c>
      <c r="E16" s="77"/>
      <c r="F16" s="78">
        <f t="shared" si="4"/>
        <v>121</v>
      </c>
      <c r="G16" s="77">
        <v>1.0</v>
      </c>
      <c r="H16" s="77">
        <v>234.0</v>
      </c>
      <c r="I16" s="77">
        <v>63.0</v>
      </c>
      <c r="J16" s="77"/>
      <c r="K16" s="78">
        <f t="shared" si="5"/>
        <v>298</v>
      </c>
      <c r="L16" s="77"/>
      <c r="M16" s="77"/>
      <c r="N16" s="77">
        <v>25.0</v>
      </c>
      <c r="O16" s="77"/>
      <c r="P16" s="78">
        <f t="shared" si="6"/>
        <v>25</v>
      </c>
      <c r="Q16" s="77">
        <f t="shared" ref="Q16:T16" si="12">SUM(B16,G16,L16)</f>
        <v>1</v>
      </c>
      <c r="R16" s="77">
        <f t="shared" si="12"/>
        <v>339</v>
      </c>
      <c r="S16" s="77">
        <f t="shared" si="12"/>
        <v>104</v>
      </c>
      <c r="T16" s="77">
        <f t="shared" si="12"/>
        <v>0</v>
      </c>
      <c r="U16" s="78">
        <f t="shared" si="8"/>
        <v>444</v>
      </c>
      <c r="V16" s="2"/>
    </row>
    <row r="17" ht="15.75" customHeight="1">
      <c r="A17" s="72" t="s">
        <v>56</v>
      </c>
      <c r="B17" s="73">
        <f t="shared" ref="B17:Q17" si="13">SUM(B18:B28)</f>
        <v>0</v>
      </c>
      <c r="C17" s="73">
        <f t="shared" si="13"/>
        <v>3525</v>
      </c>
      <c r="D17" s="73">
        <f t="shared" si="13"/>
        <v>15559</v>
      </c>
      <c r="E17" s="73">
        <f t="shared" si="13"/>
        <v>14802</v>
      </c>
      <c r="F17" s="73">
        <f t="shared" si="13"/>
        <v>33886</v>
      </c>
      <c r="G17" s="73">
        <f t="shared" si="13"/>
        <v>0</v>
      </c>
      <c r="H17" s="73">
        <f t="shared" si="13"/>
        <v>5944</v>
      </c>
      <c r="I17" s="73">
        <f t="shared" si="13"/>
        <v>18499</v>
      </c>
      <c r="J17" s="73">
        <f t="shared" si="13"/>
        <v>5801</v>
      </c>
      <c r="K17" s="73">
        <f t="shared" si="13"/>
        <v>30244</v>
      </c>
      <c r="L17" s="73">
        <f t="shared" si="13"/>
        <v>0</v>
      </c>
      <c r="M17" s="73">
        <f t="shared" si="13"/>
        <v>129</v>
      </c>
      <c r="N17" s="73">
        <f t="shared" si="13"/>
        <v>1534</v>
      </c>
      <c r="O17" s="73">
        <f t="shared" si="13"/>
        <v>647</v>
      </c>
      <c r="P17" s="73">
        <f t="shared" si="13"/>
        <v>2310</v>
      </c>
      <c r="Q17" s="73">
        <f t="shared" si="13"/>
        <v>0</v>
      </c>
      <c r="R17" s="73">
        <f>R18+R19+R20+R21+R22+R23+R24+R25+R26+R27+R28</f>
        <v>9598</v>
      </c>
      <c r="S17" s="73">
        <f t="shared" ref="S17:U17" si="14">SUM(S18:S28)</f>
        <v>35592</v>
      </c>
      <c r="T17" s="73">
        <f t="shared" si="14"/>
        <v>21250</v>
      </c>
      <c r="U17" s="73">
        <f t="shared" si="14"/>
        <v>66440</v>
      </c>
      <c r="V17" s="2"/>
    </row>
    <row r="18" ht="15.0" customHeight="1">
      <c r="A18" s="74" t="s">
        <v>57</v>
      </c>
      <c r="B18" s="75"/>
      <c r="C18" s="75">
        <v>210.0</v>
      </c>
      <c r="D18" s="75">
        <v>439.0</v>
      </c>
      <c r="E18" s="75">
        <v>373.0</v>
      </c>
      <c r="F18" s="76">
        <f t="shared" ref="F18:F28" si="16">SUM(B18:E18)</f>
        <v>1022</v>
      </c>
      <c r="G18" s="75"/>
      <c r="H18" s="75">
        <v>383.0</v>
      </c>
      <c r="I18" s="75">
        <v>509.0</v>
      </c>
      <c r="J18" s="75">
        <v>646.0</v>
      </c>
      <c r="K18" s="76">
        <f t="shared" ref="K18:K28" si="17">SUM(G18:J18)</f>
        <v>1538</v>
      </c>
      <c r="L18" s="75"/>
      <c r="M18" s="75"/>
      <c r="N18" s="75">
        <v>61.0</v>
      </c>
      <c r="O18" s="75">
        <v>38.0</v>
      </c>
      <c r="P18" s="76">
        <f t="shared" ref="P18:P28" si="18">SUM(L18:O18)</f>
        <v>99</v>
      </c>
      <c r="Q18" s="75">
        <f t="shared" ref="Q18:T18" si="15">B18+G18+L18</f>
        <v>0</v>
      </c>
      <c r="R18" s="75">
        <f t="shared" si="15"/>
        <v>593</v>
      </c>
      <c r="S18" s="75">
        <f t="shared" si="15"/>
        <v>1009</v>
      </c>
      <c r="T18" s="75">
        <f t="shared" si="15"/>
        <v>1057</v>
      </c>
      <c r="U18" s="76">
        <f t="shared" ref="U18:U28" si="20">SUM(Q18:T18)</f>
        <v>2659</v>
      </c>
      <c r="V18" s="2"/>
    </row>
    <row r="19" ht="15.0" customHeight="1">
      <c r="A19" s="74" t="s">
        <v>58</v>
      </c>
      <c r="B19" s="77"/>
      <c r="C19" s="77"/>
      <c r="D19" s="75">
        <v>898.0</v>
      </c>
      <c r="E19" s="75">
        <v>2705.0</v>
      </c>
      <c r="F19" s="76">
        <f t="shared" si="16"/>
        <v>3603</v>
      </c>
      <c r="G19" s="77"/>
      <c r="H19" s="77">
        <v>538.0</v>
      </c>
      <c r="I19" s="77">
        <v>105.0</v>
      </c>
      <c r="J19" s="77">
        <v>176.0</v>
      </c>
      <c r="K19" s="76">
        <f t="shared" si="17"/>
        <v>819</v>
      </c>
      <c r="L19" s="77"/>
      <c r="M19" s="77"/>
      <c r="N19" s="77">
        <v>183.0</v>
      </c>
      <c r="O19" s="77">
        <v>104.0</v>
      </c>
      <c r="P19" s="76">
        <f t="shared" si="18"/>
        <v>287</v>
      </c>
      <c r="Q19" s="75">
        <f t="shared" ref="Q19:T19" si="19">B19+G19+L19</f>
        <v>0</v>
      </c>
      <c r="R19" s="75">
        <f t="shared" si="19"/>
        <v>538</v>
      </c>
      <c r="S19" s="75">
        <f t="shared" si="19"/>
        <v>1186</v>
      </c>
      <c r="T19" s="75">
        <f t="shared" si="19"/>
        <v>2985</v>
      </c>
      <c r="U19" s="78">
        <f t="shared" si="20"/>
        <v>4709</v>
      </c>
      <c r="V19" s="2"/>
    </row>
    <row r="20" ht="15.0" customHeight="1">
      <c r="A20" s="74" t="s">
        <v>59</v>
      </c>
      <c r="B20" s="77"/>
      <c r="C20" s="77"/>
      <c r="D20" s="77">
        <v>90.0</v>
      </c>
      <c r="E20" s="77">
        <v>102.0</v>
      </c>
      <c r="F20" s="76">
        <f t="shared" si="16"/>
        <v>192</v>
      </c>
      <c r="G20" s="77"/>
      <c r="H20" s="77">
        <v>157.0</v>
      </c>
      <c r="I20" s="77">
        <v>299.0</v>
      </c>
      <c r="J20" s="77">
        <v>8.0</v>
      </c>
      <c r="K20" s="76">
        <f t="shared" si="17"/>
        <v>464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157</v>
      </c>
      <c r="S20" s="75">
        <f t="shared" si="21"/>
        <v>389</v>
      </c>
      <c r="T20" s="75">
        <f t="shared" si="21"/>
        <v>110</v>
      </c>
      <c r="U20" s="78">
        <f t="shared" si="20"/>
        <v>656</v>
      </c>
      <c r="V20" s="2"/>
    </row>
    <row r="21" ht="15.0" customHeight="1">
      <c r="A21" s="74" t="s">
        <v>60</v>
      </c>
      <c r="B21" s="77"/>
      <c r="C21" s="77">
        <v>184.0</v>
      </c>
      <c r="D21" s="77">
        <v>654.0</v>
      </c>
      <c r="E21" s="77">
        <v>216.0</v>
      </c>
      <c r="F21" s="76">
        <f t="shared" si="16"/>
        <v>1054</v>
      </c>
      <c r="G21" s="77"/>
      <c r="H21" s="77">
        <v>98.0</v>
      </c>
      <c r="I21" s="77">
        <v>136.0</v>
      </c>
      <c r="J21" s="77"/>
      <c r="K21" s="76">
        <f t="shared" si="17"/>
        <v>234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282</v>
      </c>
      <c r="S21" s="75">
        <f t="shared" si="22"/>
        <v>790</v>
      </c>
      <c r="T21" s="75">
        <f t="shared" si="22"/>
        <v>216</v>
      </c>
      <c r="U21" s="78">
        <f t="shared" si="20"/>
        <v>1288</v>
      </c>
      <c r="V21" s="2"/>
    </row>
    <row r="22" ht="15.0" customHeight="1">
      <c r="A22" s="74" t="s">
        <v>61</v>
      </c>
      <c r="B22" s="77"/>
      <c r="C22" s="77">
        <v>299.0</v>
      </c>
      <c r="D22" s="77">
        <v>2189.0</v>
      </c>
      <c r="E22" s="77">
        <v>265.0</v>
      </c>
      <c r="F22" s="76">
        <f t="shared" si="16"/>
        <v>2753</v>
      </c>
      <c r="G22" s="77"/>
      <c r="H22" s="77">
        <v>1708.0</v>
      </c>
      <c r="I22" s="77">
        <v>2687.0</v>
      </c>
      <c r="J22" s="77">
        <v>16.0</v>
      </c>
      <c r="K22" s="76">
        <f t="shared" si="17"/>
        <v>4411</v>
      </c>
      <c r="L22" s="77"/>
      <c r="M22" s="77">
        <v>88.0</v>
      </c>
      <c r="N22" s="77">
        <v>244.0</v>
      </c>
      <c r="O22" s="77"/>
      <c r="P22" s="76">
        <f t="shared" si="18"/>
        <v>332</v>
      </c>
      <c r="Q22" s="75">
        <f t="shared" ref="Q22:T22" si="23">B22+G22+L22</f>
        <v>0</v>
      </c>
      <c r="R22" s="75">
        <f t="shared" si="23"/>
        <v>2095</v>
      </c>
      <c r="S22" s="75">
        <f t="shared" si="23"/>
        <v>5120</v>
      </c>
      <c r="T22" s="75">
        <f t="shared" si="23"/>
        <v>281</v>
      </c>
      <c r="U22" s="78">
        <f t="shared" si="20"/>
        <v>7496</v>
      </c>
      <c r="V22" s="2"/>
    </row>
    <row r="23" ht="15.0" customHeight="1">
      <c r="A23" s="74" t="s">
        <v>62</v>
      </c>
      <c r="B23" s="77"/>
      <c r="C23" s="77">
        <v>980.0</v>
      </c>
      <c r="D23" s="77">
        <v>321.0</v>
      </c>
      <c r="E23" s="77">
        <v>232.0</v>
      </c>
      <c r="F23" s="76">
        <f t="shared" si="16"/>
        <v>1533</v>
      </c>
      <c r="G23" s="77"/>
      <c r="H23" s="77">
        <v>535.0</v>
      </c>
      <c r="I23" s="77">
        <v>240.0</v>
      </c>
      <c r="J23" s="77">
        <v>184.0</v>
      </c>
      <c r="K23" s="76">
        <f t="shared" si="17"/>
        <v>959</v>
      </c>
      <c r="L23" s="77"/>
      <c r="M23" s="77">
        <v>41.0</v>
      </c>
      <c r="N23" s="77">
        <v>2.0</v>
      </c>
      <c r="O23" s="77">
        <v>6.0</v>
      </c>
      <c r="P23" s="76">
        <f t="shared" si="18"/>
        <v>49</v>
      </c>
      <c r="Q23" s="75">
        <f t="shared" ref="Q23:T23" si="24">B23+G23+L23</f>
        <v>0</v>
      </c>
      <c r="R23" s="75">
        <f t="shared" si="24"/>
        <v>1556</v>
      </c>
      <c r="S23" s="75">
        <f t="shared" si="24"/>
        <v>563</v>
      </c>
      <c r="T23" s="75">
        <f t="shared" si="24"/>
        <v>422</v>
      </c>
      <c r="U23" s="78">
        <f t="shared" si="20"/>
        <v>2541</v>
      </c>
      <c r="V23" s="2"/>
    </row>
    <row r="24" ht="15.0" customHeight="1">
      <c r="A24" s="74" t="s">
        <v>63</v>
      </c>
      <c r="B24" s="79"/>
      <c r="C24" s="79"/>
      <c r="D24" s="77">
        <v>1572.0</v>
      </c>
      <c r="E24" s="77">
        <v>146.0</v>
      </c>
      <c r="F24" s="76">
        <f t="shared" si="16"/>
        <v>1718</v>
      </c>
      <c r="G24" s="77"/>
      <c r="H24" s="77"/>
      <c r="I24" s="77">
        <v>486.0</v>
      </c>
      <c r="J24" s="77">
        <v>998.0</v>
      </c>
      <c r="K24" s="76">
        <f t="shared" si="17"/>
        <v>1484</v>
      </c>
      <c r="L24" s="77"/>
      <c r="M24" s="77"/>
      <c r="N24" s="77">
        <v>275.0</v>
      </c>
      <c r="O24" s="77"/>
      <c r="P24" s="76">
        <f t="shared" si="18"/>
        <v>275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2333</v>
      </c>
      <c r="T24" s="75">
        <f t="shared" si="25"/>
        <v>1144</v>
      </c>
      <c r="U24" s="78">
        <f t="shared" si="20"/>
        <v>3477</v>
      </c>
      <c r="V24" s="2"/>
    </row>
    <row r="25" ht="15.0" customHeight="1">
      <c r="A25" s="74" t="s">
        <v>17</v>
      </c>
      <c r="B25" s="75"/>
      <c r="C25" s="75"/>
      <c r="D25" s="77">
        <v>394.0</v>
      </c>
      <c r="E25" s="77">
        <v>4774.0</v>
      </c>
      <c r="F25" s="76">
        <f t="shared" si="16"/>
        <v>5168</v>
      </c>
      <c r="G25" s="75"/>
      <c r="H25" s="75"/>
      <c r="I25" s="75">
        <v>391.0</v>
      </c>
      <c r="J25" s="75">
        <v>1542.0</v>
      </c>
      <c r="K25" s="76">
        <f t="shared" si="17"/>
        <v>1933</v>
      </c>
      <c r="L25" s="75"/>
      <c r="M25" s="75"/>
      <c r="N25" s="75">
        <v>45.0</v>
      </c>
      <c r="O25" s="75">
        <v>107.0</v>
      </c>
      <c r="P25" s="76">
        <f t="shared" si="18"/>
        <v>152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830</v>
      </c>
      <c r="T25" s="75">
        <f t="shared" si="26"/>
        <v>6423</v>
      </c>
      <c r="U25" s="76">
        <f t="shared" si="20"/>
        <v>7253</v>
      </c>
      <c r="V25" s="2"/>
    </row>
    <row r="26" ht="15.0" customHeight="1">
      <c r="A26" s="74" t="s">
        <v>64</v>
      </c>
      <c r="B26" s="77"/>
      <c r="C26" s="77">
        <v>882.0</v>
      </c>
      <c r="D26" s="80">
        <v>3170.0</v>
      </c>
      <c r="E26" s="75">
        <v>2564.0</v>
      </c>
      <c r="F26" s="76">
        <f t="shared" si="16"/>
        <v>6616</v>
      </c>
      <c r="G26" s="77"/>
      <c r="H26" s="77">
        <v>837.0</v>
      </c>
      <c r="I26" s="77">
        <v>4207.0</v>
      </c>
      <c r="J26" s="77">
        <v>1774.0</v>
      </c>
      <c r="K26" s="76">
        <f t="shared" si="17"/>
        <v>6818</v>
      </c>
      <c r="L26" s="77"/>
      <c r="M26" s="77"/>
      <c r="N26" s="77">
        <v>323.0</v>
      </c>
      <c r="O26" s="77">
        <v>80.0</v>
      </c>
      <c r="P26" s="76">
        <f t="shared" si="18"/>
        <v>403</v>
      </c>
      <c r="Q26" s="75">
        <f t="shared" ref="Q26:T26" si="27">B26+G26+L26</f>
        <v>0</v>
      </c>
      <c r="R26" s="75">
        <f t="shared" si="27"/>
        <v>1719</v>
      </c>
      <c r="S26" s="75">
        <f t="shared" si="27"/>
        <v>7700</v>
      </c>
      <c r="T26" s="75">
        <f t="shared" si="27"/>
        <v>4418</v>
      </c>
      <c r="U26" s="78">
        <f t="shared" si="20"/>
        <v>13837</v>
      </c>
      <c r="V26" s="2"/>
    </row>
    <row r="27" ht="15.0" customHeight="1">
      <c r="A27" s="74" t="s">
        <v>65</v>
      </c>
      <c r="B27" s="77"/>
      <c r="C27" s="77"/>
      <c r="D27" s="77">
        <v>3954.0</v>
      </c>
      <c r="E27" s="77">
        <v>2776.0</v>
      </c>
      <c r="F27" s="76">
        <f t="shared" si="16"/>
        <v>6730</v>
      </c>
      <c r="G27" s="77"/>
      <c r="H27" s="77"/>
      <c r="I27" s="77">
        <v>6960.0</v>
      </c>
      <c r="J27" s="77"/>
      <c r="K27" s="76">
        <f t="shared" si="17"/>
        <v>6960</v>
      </c>
      <c r="L27" s="77"/>
      <c r="M27" s="77"/>
      <c r="N27" s="77">
        <v>401.0</v>
      </c>
      <c r="O27" s="77">
        <v>54.0</v>
      </c>
      <c r="P27" s="76">
        <f t="shared" si="18"/>
        <v>455</v>
      </c>
      <c r="Q27" s="75">
        <f t="shared" ref="Q27:T27" si="28">B27+G27+L27</f>
        <v>0</v>
      </c>
      <c r="R27" s="75">
        <f t="shared" si="28"/>
        <v>0</v>
      </c>
      <c r="S27" s="75">
        <f t="shared" si="28"/>
        <v>11315</v>
      </c>
      <c r="T27" s="75">
        <f t="shared" si="28"/>
        <v>2830</v>
      </c>
      <c r="U27" s="78">
        <f t="shared" si="20"/>
        <v>14145</v>
      </c>
      <c r="V27" s="2"/>
    </row>
    <row r="28" ht="15.75" customHeight="1">
      <c r="A28" s="74" t="s">
        <v>54</v>
      </c>
      <c r="B28" s="77"/>
      <c r="C28" s="77">
        <v>970.0</v>
      </c>
      <c r="D28" s="77">
        <v>1878.0</v>
      </c>
      <c r="E28" s="77">
        <v>649.0</v>
      </c>
      <c r="F28" s="76">
        <f t="shared" si="16"/>
        <v>3497</v>
      </c>
      <c r="G28" s="77"/>
      <c r="H28" s="77">
        <v>1688.0</v>
      </c>
      <c r="I28" s="77">
        <v>2479.0</v>
      </c>
      <c r="J28" s="77">
        <v>457.0</v>
      </c>
      <c r="K28" s="76">
        <f t="shared" si="17"/>
        <v>4624</v>
      </c>
      <c r="L28" s="77"/>
      <c r="M28" s="77"/>
      <c r="N28" s="77"/>
      <c r="O28" s="77">
        <v>258.0</v>
      </c>
      <c r="P28" s="76">
        <f t="shared" si="18"/>
        <v>258</v>
      </c>
      <c r="Q28" s="75">
        <f t="shared" ref="Q28:T28" si="29">B28+G28+L28</f>
        <v>0</v>
      </c>
      <c r="R28" s="75">
        <f t="shared" si="29"/>
        <v>2658</v>
      </c>
      <c r="S28" s="75">
        <f t="shared" si="29"/>
        <v>4357</v>
      </c>
      <c r="T28" s="75">
        <f t="shared" si="29"/>
        <v>1364</v>
      </c>
      <c r="U28" s="78">
        <f t="shared" si="20"/>
        <v>8379</v>
      </c>
      <c r="V28" s="2"/>
    </row>
    <row r="29" ht="15.75" customHeight="1">
      <c r="A29" s="72" t="s">
        <v>66</v>
      </c>
      <c r="B29" s="73">
        <f t="shared" ref="B29:U29" si="30">SUM(B30:B44)</f>
        <v>351</v>
      </c>
      <c r="C29" s="73">
        <f t="shared" si="30"/>
        <v>2390</v>
      </c>
      <c r="D29" s="73">
        <f t="shared" si="30"/>
        <v>11462</v>
      </c>
      <c r="E29" s="73">
        <f t="shared" si="30"/>
        <v>18813</v>
      </c>
      <c r="F29" s="81">
        <f t="shared" si="30"/>
        <v>33016</v>
      </c>
      <c r="G29" s="73">
        <f t="shared" si="30"/>
        <v>0</v>
      </c>
      <c r="H29" s="73">
        <f t="shared" si="30"/>
        <v>260</v>
      </c>
      <c r="I29" s="73">
        <f t="shared" si="30"/>
        <v>2734</v>
      </c>
      <c r="J29" s="73">
        <f t="shared" si="30"/>
        <v>4949</v>
      </c>
      <c r="K29" s="81">
        <f t="shared" si="30"/>
        <v>7943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78</v>
      </c>
      <c r="P29" s="81">
        <f t="shared" si="30"/>
        <v>78</v>
      </c>
      <c r="Q29" s="73">
        <f t="shared" si="30"/>
        <v>351</v>
      </c>
      <c r="R29" s="73">
        <f t="shared" si="30"/>
        <v>2650</v>
      </c>
      <c r="S29" s="73">
        <f t="shared" si="30"/>
        <v>14457</v>
      </c>
      <c r="T29" s="73">
        <f t="shared" si="30"/>
        <v>23840</v>
      </c>
      <c r="U29" s="81">
        <f t="shared" si="30"/>
        <v>41298</v>
      </c>
      <c r="V29" s="2"/>
    </row>
    <row r="30" ht="15.0" customHeight="1">
      <c r="A30" s="74" t="s">
        <v>67</v>
      </c>
      <c r="B30" s="75">
        <v>10.0</v>
      </c>
      <c r="C30" s="75"/>
      <c r="D30" s="75">
        <v>147.0</v>
      </c>
      <c r="E30" s="75">
        <v>593.0</v>
      </c>
      <c r="F30" s="76">
        <f t="shared" ref="F30:F44" si="32">SUM(B30:E30)</f>
        <v>750</v>
      </c>
      <c r="G30" s="75"/>
      <c r="H30" s="75"/>
      <c r="I30" s="75">
        <v>146.0</v>
      </c>
      <c r="J30" s="75">
        <v>515.0</v>
      </c>
      <c r="K30" s="76">
        <f t="shared" ref="K30:K44" si="33">SUM(G30:J30)</f>
        <v>661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10</v>
      </c>
      <c r="R30" s="75">
        <f t="shared" si="31"/>
        <v>0</v>
      </c>
      <c r="S30" s="75">
        <f t="shared" si="31"/>
        <v>293</v>
      </c>
      <c r="T30" s="75">
        <f t="shared" si="31"/>
        <v>1108</v>
      </c>
      <c r="U30" s="76">
        <f t="shared" ref="U30:U44" si="36">SUM(Q30:T30)</f>
        <v>1411</v>
      </c>
      <c r="V30" s="2"/>
    </row>
    <row r="31" ht="15.0" customHeight="1">
      <c r="A31" s="74" t="s">
        <v>68</v>
      </c>
      <c r="B31" s="77"/>
      <c r="C31" s="77">
        <v>274.0</v>
      </c>
      <c r="D31" s="77">
        <v>825.0</v>
      </c>
      <c r="E31" s="77">
        <v>2003.0</v>
      </c>
      <c r="F31" s="76">
        <f t="shared" si="32"/>
        <v>3102</v>
      </c>
      <c r="G31" s="77"/>
      <c r="H31" s="77"/>
      <c r="I31" s="77">
        <v>69.0</v>
      </c>
      <c r="J31" s="77">
        <v>45.0</v>
      </c>
      <c r="K31" s="76">
        <f t="shared" si="33"/>
        <v>114</v>
      </c>
      <c r="L31" s="77"/>
      <c r="M31" s="77"/>
      <c r="N31" s="77"/>
      <c r="O31" s="77">
        <v>78.0</v>
      </c>
      <c r="P31" s="78">
        <f t="shared" si="34"/>
        <v>78</v>
      </c>
      <c r="Q31" s="77">
        <f t="shared" ref="Q31:T31" si="35">SUM(B31,G31,L31)</f>
        <v>0</v>
      </c>
      <c r="R31" s="77">
        <f t="shared" si="35"/>
        <v>274</v>
      </c>
      <c r="S31" s="77">
        <f t="shared" si="35"/>
        <v>894</v>
      </c>
      <c r="T31" s="77">
        <f t="shared" si="35"/>
        <v>2126</v>
      </c>
      <c r="U31" s="78">
        <f t="shared" si="36"/>
        <v>3294</v>
      </c>
      <c r="V31" s="2"/>
    </row>
    <row r="32" ht="15.0" customHeight="1">
      <c r="A32" s="74" t="s">
        <v>69</v>
      </c>
      <c r="B32" s="77">
        <v>215.0</v>
      </c>
      <c r="C32" s="77"/>
      <c r="D32" s="77">
        <v>750.0</v>
      </c>
      <c r="E32" s="77">
        <v>3889.0</v>
      </c>
      <c r="F32" s="76">
        <f t="shared" si="32"/>
        <v>4854</v>
      </c>
      <c r="G32" s="77"/>
      <c r="H32" s="77"/>
      <c r="I32" s="77"/>
      <c r="J32" s="77">
        <v>587.0</v>
      </c>
      <c r="K32" s="76">
        <f t="shared" si="33"/>
        <v>587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215</v>
      </c>
      <c r="R32" s="77">
        <f t="shared" si="37"/>
        <v>0</v>
      </c>
      <c r="S32" s="77">
        <f t="shared" si="37"/>
        <v>750</v>
      </c>
      <c r="T32" s="77">
        <f t="shared" si="37"/>
        <v>4476</v>
      </c>
      <c r="U32" s="78">
        <f t="shared" si="36"/>
        <v>5441</v>
      </c>
      <c r="V32" s="2"/>
    </row>
    <row r="33" ht="15.0" customHeight="1">
      <c r="A33" s="74" t="s">
        <v>70</v>
      </c>
      <c r="B33" s="77"/>
      <c r="C33" s="77">
        <v>1719.0</v>
      </c>
      <c r="D33" s="77">
        <v>231.0</v>
      </c>
      <c r="E33" s="77">
        <v>10.0</v>
      </c>
      <c r="F33" s="76">
        <f t="shared" si="32"/>
        <v>1960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1719</v>
      </c>
      <c r="S33" s="77">
        <f t="shared" si="38"/>
        <v>231</v>
      </c>
      <c r="T33" s="77">
        <f t="shared" si="38"/>
        <v>10</v>
      </c>
      <c r="U33" s="78">
        <f t="shared" si="36"/>
        <v>1960</v>
      </c>
      <c r="V33" s="2"/>
    </row>
    <row r="34" ht="15.0" customHeight="1">
      <c r="A34" s="74" t="s">
        <v>71</v>
      </c>
      <c r="B34" s="77">
        <v>20.0</v>
      </c>
      <c r="C34" s="77">
        <v>36.0</v>
      </c>
      <c r="D34" s="77">
        <v>748.0</v>
      </c>
      <c r="E34" s="77">
        <v>1767.0</v>
      </c>
      <c r="F34" s="76">
        <f t="shared" si="32"/>
        <v>2571</v>
      </c>
      <c r="G34" s="77"/>
      <c r="H34" s="77">
        <v>38.0</v>
      </c>
      <c r="I34" s="77">
        <v>794.0</v>
      </c>
      <c r="J34" s="77">
        <v>1944.0</v>
      </c>
      <c r="K34" s="76">
        <f t="shared" si="33"/>
        <v>2776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20</v>
      </c>
      <c r="R34" s="77">
        <f t="shared" si="39"/>
        <v>74</v>
      </c>
      <c r="S34" s="77">
        <f t="shared" si="39"/>
        <v>1542</v>
      </c>
      <c r="T34" s="77">
        <f t="shared" si="39"/>
        <v>3711</v>
      </c>
      <c r="U34" s="78">
        <f t="shared" si="36"/>
        <v>5347</v>
      </c>
      <c r="V34" s="2"/>
    </row>
    <row r="35" ht="15.0" customHeight="1">
      <c r="A35" s="74" t="s">
        <v>72</v>
      </c>
      <c r="B35" s="77"/>
      <c r="C35" s="77"/>
      <c r="D35" s="77">
        <v>2000.0</v>
      </c>
      <c r="E35" s="77">
        <v>499.0</v>
      </c>
      <c r="F35" s="76">
        <f t="shared" si="32"/>
        <v>2499</v>
      </c>
      <c r="G35" s="77"/>
      <c r="H35" s="77"/>
      <c r="I35" s="77">
        <v>90.0</v>
      </c>
      <c r="J35" s="77">
        <v>23.0</v>
      </c>
      <c r="K35" s="76">
        <f t="shared" si="33"/>
        <v>113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2090</v>
      </c>
      <c r="T35" s="77">
        <f t="shared" si="40"/>
        <v>522</v>
      </c>
      <c r="U35" s="78">
        <f t="shared" si="36"/>
        <v>2612</v>
      </c>
      <c r="V35" s="2"/>
    </row>
    <row r="36" ht="15.0" customHeight="1">
      <c r="A36" s="74" t="s">
        <v>73</v>
      </c>
      <c r="B36" s="77">
        <v>106.0</v>
      </c>
      <c r="C36" s="77"/>
      <c r="D36" s="77">
        <v>704.0</v>
      </c>
      <c r="E36" s="77">
        <v>437.0</v>
      </c>
      <c r="F36" s="76">
        <f t="shared" si="32"/>
        <v>1247</v>
      </c>
      <c r="G36" s="77"/>
      <c r="H36" s="77"/>
      <c r="I36" s="77">
        <v>261.0</v>
      </c>
      <c r="J36" s="77"/>
      <c r="K36" s="76">
        <f t="shared" si="33"/>
        <v>261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106</v>
      </c>
      <c r="R36" s="77">
        <f t="shared" si="41"/>
        <v>0</v>
      </c>
      <c r="S36" s="77">
        <f t="shared" si="41"/>
        <v>965</v>
      </c>
      <c r="T36" s="77">
        <f t="shared" si="41"/>
        <v>437</v>
      </c>
      <c r="U36" s="78">
        <f t="shared" si="36"/>
        <v>1508</v>
      </c>
      <c r="V36" s="2"/>
    </row>
    <row r="37" ht="15.0" customHeight="1">
      <c r="A37" s="74" t="s">
        <v>74</v>
      </c>
      <c r="B37" s="77"/>
      <c r="C37" s="77"/>
      <c r="D37" s="77">
        <v>2400.0</v>
      </c>
      <c r="E37" s="77">
        <v>2638.0</v>
      </c>
      <c r="F37" s="76">
        <f t="shared" si="32"/>
        <v>5038</v>
      </c>
      <c r="G37" s="77"/>
      <c r="H37" s="77">
        <v>210.0</v>
      </c>
      <c r="I37" s="77">
        <v>562.0</v>
      </c>
      <c r="J37" s="77">
        <v>989.0</v>
      </c>
      <c r="K37" s="76">
        <f t="shared" si="33"/>
        <v>1761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0</v>
      </c>
      <c r="R37" s="77">
        <f t="shared" si="42"/>
        <v>210</v>
      </c>
      <c r="S37" s="77">
        <f t="shared" ref="S37:S41" si="44">SUM(D37,I36,N37)</f>
        <v>2661</v>
      </c>
      <c r="T37" s="77">
        <f t="shared" ref="T37:T41" si="45">SUM(E37,J37,O37)</f>
        <v>3627</v>
      </c>
      <c r="U37" s="78">
        <f t="shared" si="36"/>
        <v>6498</v>
      </c>
      <c r="V37" s="2"/>
    </row>
    <row r="38" ht="15.0" customHeight="1">
      <c r="A38" s="74" t="s">
        <v>75</v>
      </c>
      <c r="B38" s="77"/>
      <c r="C38" s="77"/>
      <c r="D38" s="77">
        <v>1202.0</v>
      </c>
      <c r="E38" s="77">
        <v>1998.0</v>
      </c>
      <c r="F38" s="76">
        <f t="shared" si="32"/>
        <v>3200</v>
      </c>
      <c r="G38" s="77"/>
      <c r="H38" s="77"/>
      <c r="I38" s="77">
        <v>319.0</v>
      </c>
      <c r="J38" s="77">
        <v>130.0</v>
      </c>
      <c r="K38" s="76">
        <f t="shared" si="33"/>
        <v>449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1764</v>
      </c>
      <c r="T38" s="77">
        <f t="shared" si="45"/>
        <v>2128</v>
      </c>
      <c r="U38" s="78">
        <f t="shared" si="36"/>
        <v>3892</v>
      </c>
      <c r="V38" s="2"/>
    </row>
    <row r="39" ht="15.0" customHeight="1">
      <c r="A39" s="74" t="s">
        <v>76</v>
      </c>
      <c r="B39" s="77"/>
      <c r="C39" s="77"/>
      <c r="D39" s="77">
        <v>300.0</v>
      </c>
      <c r="E39" s="77">
        <v>977.0</v>
      </c>
      <c r="F39" s="76">
        <f t="shared" si="32"/>
        <v>1277</v>
      </c>
      <c r="G39" s="77"/>
      <c r="H39" s="77"/>
      <c r="I39" s="77">
        <v>43.0</v>
      </c>
      <c r="J39" s="77">
        <v>181.0</v>
      </c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619</v>
      </c>
      <c r="T39" s="77">
        <f t="shared" si="45"/>
        <v>1158</v>
      </c>
      <c r="U39" s="78">
        <f t="shared" si="36"/>
        <v>1777</v>
      </c>
      <c r="V39" s="2"/>
    </row>
    <row r="40" ht="15.0" customHeight="1">
      <c r="A40" s="74" t="s">
        <v>77</v>
      </c>
      <c r="B40" s="77"/>
      <c r="C40" s="77"/>
      <c r="D40" s="77">
        <v>3.0</v>
      </c>
      <c r="E40" s="77">
        <v>3.0</v>
      </c>
      <c r="F40" s="76">
        <f t="shared" si="32"/>
        <v>6</v>
      </c>
      <c r="G40" s="77"/>
      <c r="H40" s="77"/>
      <c r="I40" s="77">
        <v>9.0</v>
      </c>
      <c r="J40" s="77">
        <v>4.0</v>
      </c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46</v>
      </c>
      <c r="T40" s="77">
        <f t="shared" si="45"/>
        <v>7</v>
      </c>
      <c r="U40" s="78">
        <f t="shared" si="36"/>
        <v>53</v>
      </c>
      <c r="V40" s="2"/>
    </row>
    <row r="41" ht="15.0" customHeight="1">
      <c r="A41" s="74" t="s">
        <v>78</v>
      </c>
      <c r="B41" s="77"/>
      <c r="C41" s="77"/>
      <c r="D41" s="77"/>
      <c r="E41" s="77">
        <v>2188.0</v>
      </c>
      <c r="F41" s="76">
        <f t="shared" si="32"/>
        <v>2188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9</v>
      </c>
      <c r="T41" s="77">
        <f t="shared" si="45"/>
        <v>2188</v>
      </c>
      <c r="U41" s="78">
        <f t="shared" si="36"/>
        <v>2197</v>
      </c>
      <c r="V41" s="2"/>
    </row>
    <row r="42" ht="15.0" customHeight="1">
      <c r="A42" s="74" t="s">
        <v>79</v>
      </c>
      <c r="B42" s="77"/>
      <c r="C42" s="77"/>
      <c r="D42" s="77"/>
      <c r="E42" s="77">
        <v>86.0</v>
      </c>
      <c r="F42" s="76">
        <f t="shared" si="32"/>
        <v>86</v>
      </c>
      <c r="G42" s="77"/>
      <c r="H42" s="77"/>
      <c r="I42" s="77"/>
      <c r="J42" s="77">
        <v>79.0</v>
      </c>
      <c r="K42" s="76">
        <f t="shared" si="33"/>
        <v>79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0</v>
      </c>
      <c r="T42" s="77">
        <f t="shared" si="49"/>
        <v>165</v>
      </c>
      <c r="U42" s="78">
        <f t="shared" si="36"/>
        <v>165</v>
      </c>
      <c r="V42" s="2"/>
    </row>
    <row r="43" ht="15.0" customHeight="1">
      <c r="A43" s="74" t="s">
        <v>80</v>
      </c>
      <c r="B43" s="77"/>
      <c r="C43" s="77"/>
      <c r="D43" s="77"/>
      <c r="E43" s="77">
        <v>99.0</v>
      </c>
      <c r="F43" s="76">
        <f t="shared" si="32"/>
        <v>99</v>
      </c>
      <c r="G43" s="77"/>
      <c r="H43" s="77"/>
      <c r="I43" s="77"/>
      <c r="J43" s="77">
        <v>92.0</v>
      </c>
      <c r="K43" s="76">
        <f t="shared" si="33"/>
        <v>92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0</v>
      </c>
      <c r="T43" s="77">
        <f t="shared" si="50"/>
        <v>191</v>
      </c>
      <c r="U43" s="78">
        <f t="shared" si="36"/>
        <v>191</v>
      </c>
      <c r="V43" s="2"/>
    </row>
    <row r="44" ht="15.75" customHeight="1">
      <c r="A44" s="74" t="s">
        <v>81</v>
      </c>
      <c r="B44" s="77"/>
      <c r="C44" s="77">
        <v>361.0</v>
      </c>
      <c r="D44" s="77">
        <v>2152.0</v>
      </c>
      <c r="E44" s="77">
        <v>1626.0</v>
      </c>
      <c r="F44" s="76">
        <f t="shared" si="32"/>
        <v>4139</v>
      </c>
      <c r="G44" s="77"/>
      <c r="H44" s="77">
        <v>12.0</v>
      </c>
      <c r="I44" s="77">
        <v>441.0</v>
      </c>
      <c r="J44" s="77">
        <v>360.0</v>
      </c>
      <c r="K44" s="76">
        <f t="shared" si="33"/>
        <v>813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373</v>
      </c>
      <c r="S44" s="77">
        <f t="shared" si="51"/>
        <v>2593</v>
      </c>
      <c r="T44" s="77">
        <f t="shared" si="51"/>
        <v>1986</v>
      </c>
      <c r="U44" s="78">
        <f t="shared" si="36"/>
        <v>4952</v>
      </c>
      <c r="V44" s="2"/>
    </row>
    <row r="45" ht="15.75" customHeight="1">
      <c r="A45" s="72" t="s">
        <v>82</v>
      </c>
      <c r="B45" s="73">
        <f t="shared" ref="B45:U45" si="52">SUM(B46:B63)</f>
        <v>3451</v>
      </c>
      <c r="C45" s="73">
        <f t="shared" si="52"/>
        <v>8802</v>
      </c>
      <c r="D45" s="73">
        <f t="shared" si="52"/>
        <v>8438</v>
      </c>
      <c r="E45" s="73">
        <f t="shared" si="52"/>
        <v>9268</v>
      </c>
      <c r="F45" s="81">
        <f t="shared" si="52"/>
        <v>29959</v>
      </c>
      <c r="G45" s="73">
        <f t="shared" si="52"/>
        <v>2370</v>
      </c>
      <c r="H45" s="73">
        <f t="shared" si="52"/>
        <v>4902</v>
      </c>
      <c r="I45" s="73">
        <f t="shared" si="52"/>
        <v>3020</v>
      </c>
      <c r="J45" s="73">
        <f t="shared" si="52"/>
        <v>4267</v>
      </c>
      <c r="K45" s="81">
        <f t="shared" si="52"/>
        <v>14559</v>
      </c>
      <c r="L45" s="73">
        <f t="shared" si="52"/>
        <v>147</v>
      </c>
      <c r="M45" s="73">
        <f t="shared" si="52"/>
        <v>156</v>
      </c>
      <c r="N45" s="73">
        <f t="shared" si="52"/>
        <v>234</v>
      </c>
      <c r="O45" s="73">
        <f t="shared" si="52"/>
        <v>1533</v>
      </c>
      <c r="P45" s="81">
        <f t="shared" si="52"/>
        <v>2070</v>
      </c>
      <c r="Q45" s="73">
        <f t="shared" si="52"/>
        <v>5968</v>
      </c>
      <c r="R45" s="73">
        <f t="shared" si="52"/>
        <v>13860</v>
      </c>
      <c r="S45" s="73">
        <f t="shared" si="52"/>
        <v>12220</v>
      </c>
      <c r="T45" s="73">
        <f t="shared" si="52"/>
        <v>15549</v>
      </c>
      <c r="U45" s="73">
        <f t="shared" si="52"/>
        <v>47597</v>
      </c>
      <c r="V45" s="2"/>
    </row>
    <row r="46" ht="15.0" customHeight="1">
      <c r="A46" s="74" t="s">
        <v>83</v>
      </c>
      <c r="B46" s="75">
        <v>495.0</v>
      </c>
      <c r="C46" s="75">
        <v>1230.0</v>
      </c>
      <c r="D46" s="75">
        <v>490.0</v>
      </c>
      <c r="E46" s="75">
        <v>120.0</v>
      </c>
      <c r="F46" s="76">
        <f t="shared" ref="F46:F63" si="54">SUM(B46:E46)</f>
        <v>2335</v>
      </c>
      <c r="G46" s="75">
        <v>465.0</v>
      </c>
      <c r="H46" s="75">
        <v>150.0</v>
      </c>
      <c r="I46" s="75"/>
      <c r="J46" s="75"/>
      <c r="K46" s="76">
        <f t="shared" ref="K46:K63" si="55">SUM(G46:J46)</f>
        <v>615</v>
      </c>
      <c r="L46" s="75">
        <v>90.0</v>
      </c>
      <c r="M46" s="75"/>
      <c r="N46" s="75"/>
      <c r="O46" s="75"/>
      <c r="P46" s="76">
        <f t="shared" ref="P46:P63" si="56">SUM(L46:O46)</f>
        <v>90</v>
      </c>
      <c r="Q46" s="75">
        <f t="shared" ref="Q46:T46" si="53">SUM(B46,G46,L46)</f>
        <v>1050</v>
      </c>
      <c r="R46" s="75">
        <f t="shared" si="53"/>
        <v>1380</v>
      </c>
      <c r="S46" s="75">
        <f t="shared" si="53"/>
        <v>490</v>
      </c>
      <c r="T46" s="75">
        <f t="shared" si="53"/>
        <v>120</v>
      </c>
      <c r="U46" s="76">
        <f t="shared" ref="U46:U63" si="58">SUM(Q46:T46)</f>
        <v>3040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564.0</v>
      </c>
      <c r="C49" s="77">
        <v>602.0</v>
      </c>
      <c r="D49" s="77">
        <v>1557.0</v>
      </c>
      <c r="E49" s="77"/>
      <c r="F49" s="76">
        <f t="shared" si="54"/>
        <v>2723</v>
      </c>
      <c r="G49" s="77">
        <v>115.0</v>
      </c>
      <c r="H49" s="77">
        <v>265.0</v>
      </c>
      <c r="I49" s="77">
        <v>544.0</v>
      </c>
      <c r="J49" s="77"/>
      <c r="K49" s="76">
        <f t="shared" si="55"/>
        <v>924</v>
      </c>
      <c r="L49" s="77">
        <v>12.0</v>
      </c>
      <c r="M49" s="77">
        <v>44.0</v>
      </c>
      <c r="N49" s="77">
        <v>99.0</v>
      </c>
      <c r="O49" s="77"/>
      <c r="P49" s="76">
        <f t="shared" si="56"/>
        <v>155</v>
      </c>
      <c r="Q49" s="75">
        <f t="shared" ref="Q49:T49" si="60">SUM(B49,G49,L49)</f>
        <v>691</v>
      </c>
      <c r="R49" s="75">
        <f t="shared" si="60"/>
        <v>911</v>
      </c>
      <c r="S49" s="75">
        <f t="shared" si="60"/>
        <v>2200</v>
      </c>
      <c r="T49" s="75">
        <f t="shared" si="60"/>
        <v>0</v>
      </c>
      <c r="U49" s="78">
        <f t="shared" si="58"/>
        <v>3802</v>
      </c>
      <c r="V49" s="2"/>
    </row>
    <row r="50" ht="15.0" customHeight="1">
      <c r="A50" s="74" t="s">
        <v>87</v>
      </c>
      <c r="B50" s="77">
        <v>119.0</v>
      </c>
      <c r="C50" s="77">
        <v>1543.0</v>
      </c>
      <c r="D50" s="77">
        <v>635.0</v>
      </c>
      <c r="E50" s="77">
        <v>1815.0</v>
      </c>
      <c r="F50" s="76">
        <f t="shared" si="54"/>
        <v>4112</v>
      </c>
      <c r="G50" s="77"/>
      <c r="H50" s="77">
        <v>1574.0</v>
      </c>
      <c r="I50" s="77">
        <v>60.0</v>
      </c>
      <c r="J50" s="77">
        <v>179.0</v>
      </c>
      <c r="K50" s="76">
        <f t="shared" si="55"/>
        <v>1813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119</v>
      </c>
      <c r="R50" s="75">
        <f t="shared" si="61"/>
        <v>3117</v>
      </c>
      <c r="S50" s="75">
        <f t="shared" si="61"/>
        <v>695</v>
      </c>
      <c r="T50" s="75">
        <f t="shared" si="61"/>
        <v>1994</v>
      </c>
      <c r="U50" s="78">
        <f t="shared" si="58"/>
        <v>5925</v>
      </c>
      <c r="V50" s="2"/>
    </row>
    <row r="51" ht="15.0" customHeight="1">
      <c r="A51" s="74" t="s">
        <v>88</v>
      </c>
      <c r="B51" s="77"/>
      <c r="C51" s="77">
        <v>94.0</v>
      </c>
      <c r="D51" s="77">
        <v>102.0</v>
      </c>
      <c r="E51" s="77">
        <v>18.0</v>
      </c>
      <c r="F51" s="76">
        <f t="shared" si="54"/>
        <v>214</v>
      </c>
      <c r="G51" s="77"/>
      <c r="H51" s="77">
        <v>129.0</v>
      </c>
      <c r="I51" s="77">
        <v>77.0</v>
      </c>
      <c r="J51" s="82">
        <v>11.0</v>
      </c>
      <c r="K51" s="76">
        <f t="shared" si="55"/>
        <v>217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0</v>
      </c>
      <c r="R51" s="75">
        <f t="shared" si="62"/>
        <v>223</v>
      </c>
      <c r="S51" s="75">
        <f t="shared" ref="S51:T51" si="63">SUM(D51,I56,N51)</f>
        <v>707</v>
      </c>
      <c r="T51" s="75">
        <f t="shared" si="63"/>
        <v>510</v>
      </c>
      <c r="U51" s="78">
        <f t="shared" si="58"/>
        <v>1440</v>
      </c>
      <c r="V51" s="2"/>
    </row>
    <row r="52" ht="15.0" customHeight="1">
      <c r="A52" s="83" t="s">
        <v>89</v>
      </c>
      <c r="B52" s="84">
        <v>5.0</v>
      </c>
      <c r="C52" s="84">
        <v>218.0</v>
      </c>
      <c r="D52" s="84">
        <v>1032.0</v>
      </c>
      <c r="E52" s="84">
        <v>325.0</v>
      </c>
      <c r="F52" s="85">
        <f t="shared" si="54"/>
        <v>1580</v>
      </c>
      <c r="G52" s="84"/>
      <c r="H52" s="84">
        <v>17.0</v>
      </c>
      <c r="I52" s="84">
        <v>79.0</v>
      </c>
      <c r="J52" s="84">
        <v>358.0</v>
      </c>
      <c r="K52" s="85">
        <f t="shared" si="55"/>
        <v>454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5</v>
      </c>
      <c r="R52" s="86">
        <f t="shared" si="64"/>
        <v>235</v>
      </c>
      <c r="S52" s="86">
        <f t="shared" si="64"/>
        <v>1111</v>
      </c>
      <c r="T52" s="86">
        <f t="shared" si="64"/>
        <v>683</v>
      </c>
      <c r="U52" s="87">
        <f t="shared" si="58"/>
        <v>2034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/>
      <c r="C53" s="77">
        <v>16.0</v>
      </c>
      <c r="D53" s="77">
        <v>3.0</v>
      </c>
      <c r="E53" s="77"/>
      <c r="F53" s="76">
        <f t="shared" si="54"/>
        <v>19</v>
      </c>
      <c r="G53" s="77"/>
      <c r="H53" s="77">
        <v>28.0</v>
      </c>
      <c r="I53" s="77">
        <v>9.0</v>
      </c>
      <c r="J53" s="77"/>
      <c r="K53" s="76">
        <f t="shared" si="55"/>
        <v>37</v>
      </c>
      <c r="L53" s="77"/>
      <c r="M53" s="77"/>
      <c r="N53" s="77">
        <v>95.0</v>
      </c>
      <c r="O53" s="77">
        <v>66.0</v>
      </c>
      <c r="P53" s="76">
        <f t="shared" si="56"/>
        <v>161</v>
      </c>
      <c r="Q53" s="75">
        <f t="shared" ref="Q53:T53" si="65">SUM(B53,G53,L53)</f>
        <v>0</v>
      </c>
      <c r="R53" s="75">
        <f t="shared" si="65"/>
        <v>44</v>
      </c>
      <c r="S53" s="86">
        <f t="shared" si="65"/>
        <v>107</v>
      </c>
      <c r="T53" s="86">
        <f t="shared" si="65"/>
        <v>66</v>
      </c>
      <c r="U53" s="78">
        <f t="shared" si="58"/>
        <v>217</v>
      </c>
      <c r="V53" s="2"/>
    </row>
    <row r="54" ht="15.0" customHeight="1">
      <c r="A54" s="74" t="s">
        <v>91</v>
      </c>
      <c r="B54" s="77">
        <v>231.0</v>
      </c>
      <c r="C54" s="77">
        <v>1176.0</v>
      </c>
      <c r="D54" s="77">
        <v>827.0</v>
      </c>
      <c r="E54" s="77">
        <v>504.0</v>
      </c>
      <c r="F54" s="76">
        <f t="shared" si="54"/>
        <v>2738</v>
      </c>
      <c r="G54" s="77">
        <v>100.0</v>
      </c>
      <c r="H54" s="77">
        <v>479.0</v>
      </c>
      <c r="I54" s="77">
        <v>497.0</v>
      </c>
      <c r="J54" s="77">
        <v>81.0</v>
      </c>
      <c r="K54" s="76">
        <f t="shared" si="55"/>
        <v>1157</v>
      </c>
      <c r="L54" s="77"/>
      <c r="M54" s="77"/>
      <c r="N54" s="77"/>
      <c r="O54" s="77">
        <v>709.0</v>
      </c>
      <c r="P54" s="76">
        <f t="shared" si="56"/>
        <v>709</v>
      </c>
      <c r="Q54" s="75">
        <f t="shared" ref="Q54:T54" si="66">SUM(B54,G54,L54)</f>
        <v>331</v>
      </c>
      <c r="R54" s="75">
        <f t="shared" si="66"/>
        <v>1655</v>
      </c>
      <c r="S54" s="86">
        <f t="shared" si="66"/>
        <v>1324</v>
      </c>
      <c r="T54" s="86">
        <f t="shared" si="66"/>
        <v>1294</v>
      </c>
      <c r="U54" s="78">
        <f t="shared" si="58"/>
        <v>4604</v>
      </c>
      <c r="V54" s="2"/>
    </row>
    <row r="55" ht="15.0" customHeight="1">
      <c r="A55" s="74" t="s">
        <v>92</v>
      </c>
      <c r="B55" s="77"/>
      <c r="C55" s="77"/>
      <c r="D55" s="77"/>
      <c r="E55" s="77"/>
      <c r="F55" s="76">
        <f t="shared" si="54"/>
        <v>0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0</v>
      </c>
      <c r="U55" s="78">
        <f t="shared" si="58"/>
        <v>0</v>
      </c>
      <c r="V55" s="2"/>
    </row>
    <row r="56" ht="15.0" customHeight="1">
      <c r="A56" s="74" t="s">
        <v>93</v>
      </c>
      <c r="B56" s="77">
        <v>103.0</v>
      </c>
      <c r="C56" s="77">
        <v>194.0</v>
      </c>
      <c r="D56" s="77">
        <v>212.0</v>
      </c>
      <c r="E56" s="77">
        <v>220.0</v>
      </c>
      <c r="F56" s="76">
        <f t="shared" si="54"/>
        <v>729</v>
      </c>
      <c r="G56" s="77">
        <v>409.0</v>
      </c>
      <c r="H56" s="77">
        <v>390.0</v>
      </c>
      <c r="I56" s="77">
        <v>605.0</v>
      </c>
      <c r="J56" s="77">
        <v>492.0</v>
      </c>
      <c r="K56" s="76">
        <f t="shared" si="55"/>
        <v>1896</v>
      </c>
      <c r="L56" s="90"/>
      <c r="M56" s="90"/>
      <c r="N56" s="90"/>
      <c r="O56" s="90">
        <v>168.0</v>
      </c>
      <c r="P56" s="76">
        <f t="shared" si="56"/>
        <v>168</v>
      </c>
      <c r="Q56" s="75">
        <f t="shared" ref="Q56:T56" si="68">SUM(B56,G56,L56)</f>
        <v>512</v>
      </c>
      <c r="R56" s="75">
        <f t="shared" si="68"/>
        <v>584</v>
      </c>
      <c r="S56" s="86">
        <f t="shared" si="68"/>
        <v>817</v>
      </c>
      <c r="T56" s="86">
        <f t="shared" si="68"/>
        <v>880</v>
      </c>
      <c r="U56" s="91">
        <f t="shared" si="58"/>
        <v>2793</v>
      </c>
      <c r="V56" s="2"/>
    </row>
    <row r="57" ht="15.0" customHeight="1">
      <c r="A57" s="74" t="s">
        <v>94</v>
      </c>
      <c r="B57" s="77">
        <v>898.0</v>
      </c>
      <c r="C57" s="77">
        <v>1873.0</v>
      </c>
      <c r="D57" s="77">
        <v>2715.0</v>
      </c>
      <c r="E57" s="77">
        <v>1905.0</v>
      </c>
      <c r="F57" s="76">
        <f t="shared" si="54"/>
        <v>7391</v>
      </c>
      <c r="G57" s="77">
        <v>20.0</v>
      </c>
      <c r="H57" s="77"/>
      <c r="I57" s="77"/>
      <c r="J57" s="2"/>
      <c r="K57" s="76">
        <f t="shared" si="55"/>
        <v>20</v>
      </c>
      <c r="L57" s="77">
        <v>30.0</v>
      </c>
      <c r="M57" s="77">
        <v>70.0</v>
      </c>
      <c r="N57" s="77">
        <v>20.0</v>
      </c>
      <c r="O57" s="77">
        <v>20.0</v>
      </c>
      <c r="P57" s="76">
        <f t="shared" si="56"/>
        <v>140</v>
      </c>
      <c r="Q57" s="75">
        <f t="shared" ref="Q57:T57" si="69">SUM(B57,G57,L57)</f>
        <v>948</v>
      </c>
      <c r="R57" s="75">
        <f t="shared" si="69"/>
        <v>1943</v>
      </c>
      <c r="S57" s="86">
        <f t="shared" si="69"/>
        <v>2735</v>
      </c>
      <c r="T57" s="86">
        <f t="shared" si="69"/>
        <v>1925</v>
      </c>
      <c r="U57" s="91">
        <f t="shared" si="58"/>
        <v>7551</v>
      </c>
      <c r="V57" s="2"/>
    </row>
    <row r="58" ht="15.0" customHeight="1">
      <c r="A58" s="74" t="s">
        <v>95</v>
      </c>
      <c r="B58" s="77">
        <v>45.0</v>
      </c>
      <c r="C58" s="77">
        <v>240.0</v>
      </c>
      <c r="D58" s="77">
        <v>295.0</v>
      </c>
      <c r="E58" s="77">
        <v>70.0</v>
      </c>
      <c r="F58" s="76">
        <f t="shared" si="54"/>
        <v>650</v>
      </c>
      <c r="G58" s="77">
        <v>26.0</v>
      </c>
      <c r="H58" s="77">
        <v>90.0</v>
      </c>
      <c r="I58" s="77">
        <v>11.0</v>
      </c>
      <c r="J58" s="77">
        <v>14.0</v>
      </c>
      <c r="K58" s="76">
        <f t="shared" si="55"/>
        <v>141</v>
      </c>
      <c r="L58" s="77">
        <v>15.0</v>
      </c>
      <c r="M58" s="77">
        <v>42.0</v>
      </c>
      <c r="N58" s="77">
        <v>20.0</v>
      </c>
      <c r="O58" s="77">
        <v>234.0</v>
      </c>
      <c r="P58" s="76">
        <f t="shared" si="56"/>
        <v>311</v>
      </c>
      <c r="Q58" s="75">
        <f t="shared" ref="Q58:T58" si="70">SUM(B58,G58,L58)</f>
        <v>86</v>
      </c>
      <c r="R58" s="75">
        <f t="shared" si="70"/>
        <v>372</v>
      </c>
      <c r="S58" s="75">
        <f t="shared" si="70"/>
        <v>326</v>
      </c>
      <c r="T58" s="86">
        <f t="shared" si="70"/>
        <v>318</v>
      </c>
      <c r="U58" s="91">
        <f t="shared" si="58"/>
        <v>1102</v>
      </c>
      <c r="V58" s="2"/>
    </row>
    <row r="59" ht="15.0" customHeight="1">
      <c r="A59" s="74" t="s">
        <v>96</v>
      </c>
      <c r="B59" s="77"/>
      <c r="C59" s="77"/>
      <c r="D59" s="77">
        <v>5.0</v>
      </c>
      <c r="E59" s="77">
        <v>1034.0</v>
      </c>
      <c r="F59" s="76">
        <f t="shared" si="54"/>
        <v>1039</v>
      </c>
      <c r="G59" s="82"/>
      <c r="H59" s="82">
        <v>5.0</v>
      </c>
      <c r="I59" s="82">
        <v>507.0</v>
      </c>
      <c r="J59" s="82">
        <v>1078.0</v>
      </c>
      <c r="K59" s="76">
        <f t="shared" si="55"/>
        <v>1590</v>
      </c>
      <c r="L59" s="77"/>
      <c r="M59" s="77"/>
      <c r="N59" s="77"/>
      <c r="O59" s="77">
        <v>200.0</v>
      </c>
      <c r="P59" s="76">
        <f t="shared" si="56"/>
        <v>200</v>
      </c>
      <c r="Q59" s="75">
        <f t="shared" ref="Q59:T59" si="71">SUM(B59,G59,L59)</f>
        <v>0</v>
      </c>
      <c r="R59" s="75">
        <f t="shared" si="71"/>
        <v>5</v>
      </c>
      <c r="S59" s="75">
        <f t="shared" si="71"/>
        <v>512</v>
      </c>
      <c r="T59" s="75">
        <f t="shared" si="71"/>
        <v>2312</v>
      </c>
      <c r="U59" s="91">
        <f t="shared" si="58"/>
        <v>2829</v>
      </c>
      <c r="V59" s="2"/>
    </row>
    <row r="60" ht="15.0" customHeight="1">
      <c r="A60" s="74" t="s">
        <v>17</v>
      </c>
      <c r="B60" s="77">
        <v>428.0</v>
      </c>
      <c r="C60" s="77">
        <v>250.0</v>
      </c>
      <c r="D60" s="77"/>
      <c r="E60" s="77">
        <v>2225.0</v>
      </c>
      <c r="F60" s="76">
        <f t="shared" si="54"/>
        <v>2903</v>
      </c>
      <c r="G60" s="77"/>
      <c r="H60" s="77"/>
      <c r="I60" s="77"/>
      <c r="J60" s="77">
        <v>1769.0</v>
      </c>
      <c r="K60" s="76">
        <f t="shared" si="55"/>
        <v>1769</v>
      </c>
      <c r="L60" s="77"/>
      <c r="M60" s="77"/>
      <c r="N60" s="77"/>
      <c r="O60" s="77">
        <v>126.0</v>
      </c>
      <c r="P60" s="76">
        <f t="shared" si="56"/>
        <v>126</v>
      </c>
      <c r="Q60" s="75">
        <f t="shared" ref="Q60:T60" si="72">SUM(B60,G60,L60)</f>
        <v>428</v>
      </c>
      <c r="R60" s="75">
        <f t="shared" si="72"/>
        <v>250</v>
      </c>
      <c r="S60" s="75">
        <f t="shared" si="72"/>
        <v>0</v>
      </c>
      <c r="T60" s="75">
        <f t="shared" si="72"/>
        <v>4120</v>
      </c>
      <c r="U60" s="78">
        <f t="shared" si="58"/>
        <v>4798</v>
      </c>
      <c r="V60" s="2"/>
    </row>
    <row r="61" ht="15.0" customHeight="1">
      <c r="A61" s="74" t="s">
        <v>78</v>
      </c>
      <c r="B61" s="80">
        <v>563.0</v>
      </c>
      <c r="C61" s="80">
        <v>239.0</v>
      </c>
      <c r="D61" s="80">
        <v>285.0</v>
      </c>
      <c r="E61" s="80"/>
      <c r="F61" s="76">
        <f t="shared" si="54"/>
        <v>1087</v>
      </c>
      <c r="G61" s="77">
        <v>1235.0</v>
      </c>
      <c r="H61" s="77">
        <v>387.0</v>
      </c>
      <c r="I61" s="77">
        <v>573.0</v>
      </c>
      <c r="J61" s="77"/>
      <c r="K61" s="76">
        <f t="shared" si="55"/>
        <v>2195</v>
      </c>
      <c r="L61" s="77"/>
      <c r="M61" s="77"/>
      <c r="N61" s="77"/>
      <c r="O61" s="77">
        <v>10.0</v>
      </c>
      <c r="P61" s="76">
        <f t="shared" si="56"/>
        <v>10</v>
      </c>
      <c r="Q61" s="75">
        <f t="shared" ref="Q61:T61" si="73">SUM(B61,G61,L61)</f>
        <v>1798</v>
      </c>
      <c r="R61" s="75">
        <f t="shared" si="73"/>
        <v>626</v>
      </c>
      <c r="S61" s="75">
        <f t="shared" si="73"/>
        <v>858</v>
      </c>
      <c r="T61" s="75">
        <f t="shared" si="73"/>
        <v>10</v>
      </c>
      <c r="U61" s="78">
        <f t="shared" si="58"/>
        <v>3292</v>
      </c>
      <c r="V61" s="2"/>
    </row>
    <row r="62" ht="15.0" customHeight="1">
      <c r="A62" s="74" t="s">
        <v>97</v>
      </c>
      <c r="B62" s="77"/>
      <c r="C62" s="77">
        <v>72.0</v>
      </c>
      <c r="D62" s="77">
        <v>115.0</v>
      </c>
      <c r="E62" s="77">
        <v>1032.0</v>
      </c>
      <c r="F62" s="76">
        <f t="shared" si="54"/>
        <v>1219</v>
      </c>
      <c r="G62" s="77"/>
      <c r="H62" s="77">
        <v>20.0</v>
      </c>
      <c r="I62" s="77">
        <v>58.0</v>
      </c>
      <c r="J62" s="77">
        <v>285.0</v>
      </c>
      <c r="K62" s="76">
        <f t="shared" si="55"/>
        <v>363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0</v>
      </c>
      <c r="R62" s="75">
        <f t="shared" si="74"/>
        <v>92</v>
      </c>
      <c r="S62" s="75">
        <f t="shared" si="74"/>
        <v>173</v>
      </c>
      <c r="T62" s="75">
        <f t="shared" si="74"/>
        <v>1317</v>
      </c>
      <c r="U62" s="78">
        <f t="shared" si="58"/>
        <v>1582</v>
      </c>
      <c r="V62" s="2"/>
    </row>
    <row r="63" ht="15.75" customHeight="1">
      <c r="A63" s="74" t="s">
        <v>98</v>
      </c>
      <c r="B63" s="77"/>
      <c r="C63" s="77">
        <v>1055.0</v>
      </c>
      <c r="D63" s="77">
        <v>165.0</v>
      </c>
      <c r="E63" s="77"/>
      <c r="F63" s="76">
        <f t="shared" si="54"/>
        <v>1220</v>
      </c>
      <c r="G63" s="77"/>
      <c r="H63" s="77">
        <v>1368.0</v>
      </c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0</v>
      </c>
      <c r="R63" s="75">
        <f t="shared" si="75"/>
        <v>2423</v>
      </c>
      <c r="S63" s="75">
        <f t="shared" si="75"/>
        <v>165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6">SUM(C65:C78)</f>
        <v>889</v>
      </c>
      <c r="D64" s="73">
        <f t="shared" si="76"/>
        <v>1455</v>
      </c>
      <c r="E64" s="73">
        <f t="shared" si="76"/>
        <v>524</v>
      </c>
      <c r="F64" s="73">
        <f t="shared" si="76"/>
        <v>2868</v>
      </c>
      <c r="G64" s="73">
        <f t="shared" si="76"/>
        <v>0</v>
      </c>
      <c r="H64" s="73">
        <f t="shared" si="76"/>
        <v>605</v>
      </c>
      <c r="I64" s="73">
        <f t="shared" si="76"/>
        <v>1600</v>
      </c>
      <c r="J64" s="73">
        <f t="shared" si="76"/>
        <v>272</v>
      </c>
      <c r="K64" s="73">
        <f t="shared" si="76"/>
        <v>2477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0</v>
      </c>
      <c r="R64" s="73">
        <f t="shared" si="77"/>
        <v>1552</v>
      </c>
      <c r="S64" s="73">
        <f t="shared" si="77"/>
        <v>3115</v>
      </c>
      <c r="T64" s="73">
        <f t="shared" si="77"/>
        <v>796</v>
      </c>
      <c r="U64" s="73">
        <f t="shared" si="77"/>
        <v>5463</v>
      </c>
      <c r="V64" s="2"/>
    </row>
    <row r="65" ht="15.0" customHeight="1">
      <c r="A65" s="74" t="s">
        <v>100</v>
      </c>
      <c r="B65" s="75"/>
      <c r="C65" s="75">
        <v>50.0</v>
      </c>
      <c r="D65" s="75">
        <v>14.0</v>
      </c>
      <c r="E65" s="75">
        <v>48.0</v>
      </c>
      <c r="F65" s="76">
        <f t="shared" ref="F65:F79" si="79">SUM(B65:E65)</f>
        <v>112</v>
      </c>
      <c r="G65" s="75"/>
      <c r="H65" s="75">
        <v>15.0</v>
      </c>
      <c r="I65" s="75">
        <v>192.0</v>
      </c>
      <c r="J65" s="75">
        <v>9.0</v>
      </c>
      <c r="K65" s="76">
        <f t="shared" ref="K65:K79" si="80">SUM(G65:J65)</f>
        <v>216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0</v>
      </c>
      <c r="R65" s="75">
        <f t="shared" si="78"/>
        <v>65</v>
      </c>
      <c r="S65" s="75">
        <f t="shared" si="78"/>
        <v>206</v>
      </c>
      <c r="T65" s="75">
        <f t="shared" si="78"/>
        <v>57</v>
      </c>
      <c r="U65" s="76">
        <f t="shared" ref="U65:U79" si="83">SUM(Q65:T65)</f>
        <v>328</v>
      </c>
      <c r="V65" s="2"/>
    </row>
    <row r="66" ht="15.0" customHeight="1">
      <c r="A66" s="74" t="s">
        <v>101</v>
      </c>
      <c r="B66" s="77"/>
      <c r="C66" s="77">
        <v>113.0</v>
      </c>
      <c r="D66" s="77">
        <v>341.0</v>
      </c>
      <c r="E66" s="77">
        <v>20.0</v>
      </c>
      <c r="F66" s="76">
        <f t="shared" si="79"/>
        <v>474</v>
      </c>
      <c r="G66" s="77"/>
      <c r="H66" s="77"/>
      <c r="I66" s="77">
        <v>73.0</v>
      </c>
      <c r="J66" s="77">
        <v>8.0</v>
      </c>
      <c r="K66" s="76">
        <f t="shared" si="80"/>
        <v>81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0</v>
      </c>
      <c r="R66" s="75">
        <f t="shared" si="82"/>
        <v>113</v>
      </c>
      <c r="S66" s="75">
        <f t="shared" si="82"/>
        <v>414</v>
      </c>
      <c r="T66" s="75">
        <f t="shared" si="82"/>
        <v>28</v>
      </c>
      <c r="U66" s="76">
        <f t="shared" si="83"/>
        <v>555</v>
      </c>
      <c r="V66" s="2"/>
    </row>
    <row r="67" ht="15.0" customHeight="1">
      <c r="A67" s="74" t="s">
        <v>102</v>
      </c>
      <c r="B67" s="77"/>
      <c r="C67" s="77">
        <v>11.0</v>
      </c>
      <c r="D67" s="77">
        <v>38.0</v>
      </c>
      <c r="E67" s="77">
        <v>12.0</v>
      </c>
      <c r="F67" s="76">
        <f t="shared" si="79"/>
        <v>61</v>
      </c>
      <c r="G67" s="77"/>
      <c r="H67" s="77">
        <v>5.0</v>
      </c>
      <c r="I67" s="77">
        <v>45.0</v>
      </c>
      <c r="J67" s="77">
        <v>3.0</v>
      </c>
      <c r="K67" s="76">
        <f t="shared" si="80"/>
        <v>53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0</v>
      </c>
      <c r="R67" s="75">
        <f t="shared" si="84"/>
        <v>16</v>
      </c>
      <c r="S67" s="75">
        <f t="shared" si="84"/>
        <v>83</v>
      </c>
      <c r="T67" s="75">
        <f t="shared" si="84"/>
        <v>15</v>
      </c>
      <c r="U67" s="76">
        <f t="shared" si="83"/>
        <v>114</v>
      </c>
      <c r="V67" s="2"/>
    </row>
    <row r="68" ht="15.0" customHeight="1">
      <c r="A68" s="74" t="s">
        <v>103</v>
      </c>
      <c r="B68" s="77"/>
      <c r="C68" s="77">
        <v>20.0</v>
      </c>
      <c r="D68" s="77">
        <v>30.0</v>
      </c>
      <c r="E68" s="77">
        <v>11.0</v>
      </c>
      <c r="F68" s="76">
        <f t="shared" si="79"/>
        <v>61</v>
      </c>
      <c r="G68" s="77"/>
      <c r="H68" s="77">
        <v>20.0</v>
      </c>
      <c r="I68" s="77">
        <v>125.0</v>
      </c>
      <c r="J68" s="77"/>
      <c r="K68" s="76">
        <f t="shared" si="80"/>
        <v>145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0</v>
      </c>
      <c r="R68" s="75">
        <f t="shared" si="85"/>
        <v>40</v>
      </c>
      <c r="S68" s="75">
        <f t="shared" si="85"/>
        <v>155</v>
      </c>
      <c r="T68" s="75">
        <f t="shared" si="85"/>
        <v>11</v>
      </c>
      <c r="U68" s="76">
        <f t="shared" si="83"/>
        <v>206</v>
      </c>
      <c r="V68" s="2"/>
    </row>
    <row r="69" ht="15.0" customHeight="1">
      <c r="A69" s="74" t="s">
        <v>59</v>
      </c>
      <c r="B69" s="77"/>
      <c r="C69" s="77">
        <v>108.0</v>
      </c>
      <c r="D69" s="77">
        <v>214.0</v>
      </c>
      <c r="E69" s="77">
        <v>40.0</v>
      </c>
      <c r="F69" s="76">
        <f t="shared" si="79"/>
        <v>362</v>
      </c>
      <c r="G69" s="77"/>
      <c r="H69" s="77">
        <v>153.0</v>
      </c>
      <c r="I69" s="77">
        <v>222.0</v>
      </c>
      <c r="J69" s="77">
        <v>15.0</v>
      </c>
      <c r="K69" s="76">
        <f t="shared" si="80"/>
        <v>390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0</v>
      </c>
      <c r="R69" s="75">
        <f t="shared" si="86"/>
        <v>261</v>
      </c>
      <c r="S69" s="75">
        <f t="shared" si="86"/>
        <v>436</v>
      </c>
      <c r="T69" s="75">
        <f t="shared" si="86"/>
        <v>55</v>
      </c>
      <c r="U69" s="76">
        <f t="shared" si="83"/>
        <v>752</v>
      </c>
      <c r="V69" s="2"/>
    </row>
    <row r="70" ht="15.0" customHeight="1">
      <c r="A70" s="74" t="s">
        <v>104</v>
      </c>
      <c r="B70" s="77"/>
      <c r="C70" s="77">
        <v>112.0</v>
      </c>
      <c r="D70" s="77">
        <v>239.0</v>
      </c>
      <c r="E70" s="77">
        <v>61.0</v>
      </c>
      <c r="F70" s="76">
        <f t="shared" si="79"/>
        <v>412</v>
      </c>
      <c r="G70" s="77"/>
      <c r="H70" s="77">
        <v>15.0</v>
      </c>
      <c r="I70" s="77">
        <v>76.0</v>
      </c>
      <c r="J70" s="77">
        <v>12.0</v>
      </c>
      <c r="K70" s="76">
        <f t="shared" si="80"/>
        <v>103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0</v>
      </c>
      <c r="R70" s="75">
        <f t="shared" si="87"/>
        <v>127</v>
      </c>
      <c r="S70" s="75">
        <f t="shared" si="87"/>
        <v>315</v>
      </c>
      <c r="T70" s="75">
        <f t="shared" si="87"/>
        <v>73</v>
      </c>
      <c r="U70" s="76">
        <f t="shared" si="83"/>
        <v>515</v>
      </c>
      <c r="V70" s="2"/>
    </row>
    <row r="71" ht="15.0" customHeight="1">
      <c r="A71" s="74" t="s">
        <v>105</v>
      </c>
      <c r="B71" s="77"/>
      <c r="C71" s="77">
        <v>159.0</v>
      </c>
      <c r="D71" s="77">
        <v>30.0</v>
      </c>
      <c r="E71" s="77">
        <v>119.0</v>
      </c>
      <c r="F71" s="76">
        <f t="shared" si="79"/>
        <v>308</v>
      </c>
      <c r="G71" s="77"/>
      <c r="H71" s="77">
        <v>140.0</v>
      </c>
      <c r="I71" s="77">
        <v>240.0</v>
      </c>
      <c r="J71" s="77">
        <v>81.0</v>
      </c>
      <c r="K71" s="76">
        <f t="shared" si="80"/>
        <v>461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0</v>
      </c>
      <c r="R71" s="75">
        <f t="shared" si="88"/>
        <v>299</v>
      </c>
      <c r="S71" s="75">
        <f t="shared" si="88"/>
        <v>270</v>
      </c>
      <c r="T71" s="75">
        <f t="shared" si="88"/>
        <v>200</v>
      </c>
      <c r="U71" s="76">
        <f t="shared" si="83"/>
        <v>769</v>
      </c>
      <c r="V71" s="2"/>
    </row>
    <row r="72" ht="15.0" customHeight="1">
      <c r="A72" s="74" t="s">
        <v>106</v>
      </c>
      <c r="B72" s="90"/>
      <c r="C72" s="90">
        <v>20.0</v>
      </c>
      <c r="D72" s="90">
        <v>80.0</v>
      </c>
      <c r="E72" s="90">
        <v>35.0</v>
      </c>
      <c r="F72" s="76">
        <f t="shared" si="79"/>
        <v>135</v>
      </c>
      <c r="G72" s="90"/>
      <c r="H72" s="90">
        <v>68.0</v>
      </c>
      <c r="I72" s="90">
        <v>9.0</v>
      </c>
      <c r="J72" s="90">
        <v>8.0</v>
      </c>
      <c r="K72" s="76">
        <f t="shared" si="80"/>
        <v>85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0</v>
      </c>
      <c r="R72" s="75">
        <f t="shared" si="89"/>
        <v>88</v>
      </c>
      <c r="S72" s="75">
        <f t="shared" si="89"/>
        <v>89</v>
      </c>
      <c r="T72" s="75">
        <f t="shared" si="89"/>
        <v>43</v>
      </c>
      <c r="U72" s="76">
        <f t="shared" si="83"/>
        <v>220</v>
      </c>
      <c r="V72" s="2"/>
    </row>
    <row r="73" ht="15.0" customHeight="1">
      <c r="A73" s="74" t="s">
        <v>107</v>
      </c>
      <c r="B73" s="77"/>
      <c r="C73" s="77">
        <v>58.0</v>
      </c>
      <c r="D73" s="77">
        <v>40.0</v>
      </c>
      <c r="E73" s="77">
        <v>10.0</v>
      </c>
      <c r="F73" s="76">
        <f t="shared" si="79"/>
        <v>108</v>
      </c>
      <c r="G73" s="77"/>
      <c r="H73" s="77">
        <v>20.0</v>
      </c>
      <c r="I73" s="77">
        <v>30.0</v>
      </c>
      <c r="J73" s="77"/>
      <c r="K73" s="76">
        <f t="shared" si="80"/>
        <v>50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0</v>
      </c>
      <c r="R73" s="75">
        <f t="shared" si="90"/>
        <v>78</v>
      </c>
      <c r="S73" s="75">
        <f t="shared" si="90"/>
        <v>70</v>
      </c>
      <c r="T73" s="75">
        <f t="shared" si="90"/>
        <v>10</v>
      </c>
      <c r="U73" s="76">
        <f t="shared" si="83"/>
        <v>158</v>
      </c>
      <c r="V73" s="2"/>
    </row>
    <row r="74" ht="15.0" customHeight="1">
      <c r="A74" s="74" t="s">
        <v>108</v>
      </c>
      <c r="B74" s="77"/>
      <c r="C74" s="77">
        <v>88.0</v>
      </c>
      <c r="D74" s="77">
        <v>131.0</v>
      </c>
      <c r="E74" s="77">
        <v>76.0</v>
      </c>
      <c r="F74" s="76">
        <f t="shared" si="79"/>
        <v>295</v>
      </c>
      <c r="G74" s="77"/>
      <c r="H74" s="77">
        <v>97.0</v>
      </c>
      <c r="I74" s="77">
        <v>104.0</v>
      </c>
      <c r="J74" s="77">
        <v>79.0</v>
      </c>
      <c r="K74" s="76">
        <f t="shared" si="80"/>
        <v>280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0</v>
      </c>
      <c r="R74" s="75">
        <f t="shared" si="91"/>
        <v>185</v>
      </c>
      <c r="S74" s="75">
        <f t="shared" si="91"/>
        <v>235</v>
      </c>
      <c r="T74" s="75">
        <f t="shared" si="91"/>
        <v>155</v>
      </c>
      <c r="U74" s="76">
        <f t="shared" si="83"/>
        <v>575</v>
      </c>
      <c r="V74" s="2"/>
    </row>
    <row r="75" ht="15.0" customHeight="1">
      <c r="A75" s="74" t="s">
        <v>109</v>
      </c>
      <c r="B75" s="77"/>
      <c r="C75" s="77">
        <v>115.0</v>
      </c>
      <c r="D75" s="77">
        <v>257.0</v>
      </c>
      <c r="E75" s="77">
        <v>53.0</v>
      </c>
      <c r="F75" s="76">
        <f t="shared" si="79"/>
        <v>425</v>
      </c>
      <c r="G75" s="77"/>
      <c r="H75" s="77"/>
      <c r="I75" s="77">
        <v>16.0</v>
      </c>
      <c r="J75" s="77">
        <v>2.0</v>
      </c>
      <c r="K75" s="76">
        <f t="shared" si="80"/>
        <v>18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0</v>
      </c>
      <c r="R75" s="75">
        <f t="shared" si="92"/>
        <v>115</v>
      </c>
      <c r="S75" s="75">
        <f t="shared" si="92"/>
        <v>273</v>
      </c>
      <c r="T75" s="75">
        <f t="shared" si="92"/>
        <v>55</v>
      </c>
      <c r="U75" s="76">
        <f t="shared" si="83"/>
        <v>443</v>
      </c>
      <c r="V75" s="2"/>
    </row>
    <row r="76" ht="15.0" customHeight="1">
      <c r="A76" s="74" t="s">
        <v>65</v>
      </c>
      <c r="B76" s="77"/>
      <c r="C76" s="77">
        <v>6.0</v>
      </c>
      <c r="D76" s="77">
        <v>2.0</v>
      </c>
      <c r="E76" s="77">
        <v>12.0</v>
      </c>
      <c r="F76" s="76">
        <f t="shared" si="79"/>
        <v>20</v>
      </c>
      <c r="G76" s="77"/>
      <c r="H76" s="77">
        <v>8.0</v>
      </c>
      <c r="I76" s="77">
        <v>20.0</v>
      </c>
      <c r="J76" s="77"/>
      <c r="K76" s="76">
        <f t="shared" si="80"/>
        <v>28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0</v>
      </c>
      <c r="R76" s="75">
        <f t="shared" si="93"/>
        <v>14</v>
      </c>
      <c r="S76" s="75">
        <f t="shared" si="93"/>
        <v>22</v>
      </c>
      <c r="T76" s="75">
        <f t="shared" si="93"/>
        <v>12</v>
      </c>
      <c r="U76" s="76">
        <f t="shared" si="83"/>
        <v>48</v>
      </c>
      <c r="V76" s="2"/>
    </row>
    <row r="77" ht="15.0" customHeight="1">
      <c r="A77" s="74" t="s">
        <v>110</v>
      </c>
      <c r="B77" s="77"/>
      <c r="C77" s="77">
        <v>27.0</v>
      </c>
      <c r="D77" s="77"/>
      <c r="E77" s="77">
        <v>20.0</v>
      </c>
      <c r="F77" s="76">
        <f t="shared" si="79"/>
        <v>47</v>
      </c>
      <c r="G77" s="77"/>
      <c r="H77" s="77">
        <v>52.0</v>
      </c>
      <c r="I77" s="77">
        <v>408.0</v>
      </c>
      <c r="J77" s="77">
        <v>55.0</v>
      </c>
      <c r="K77" s="76">
        <f t="shared" si="80"/>
        <v>515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0</v>
      </c>
      <c r="R77" s="75">
        <f t="shared" si="94"/>
        <v>79</v>
      </c>
      <c r="S77" s="75">
        <f t="shared" si="94"/>
        <v>408</v>
      </c>
      <c r="T77" s="75">
        <f t="shared" si="94"/>
        <v>75</v>
      </c>
      <c r="U77" s="76">
        <f t="shared" si="83"/>
        <v>562</v>
      </c>
      <c r="V77" s="2"/>
    </row>
    <row r="78" ht="15.0" customHeight="1">
      <c r="A78" s="74" t="s">
        <v>111</v>
      </c>
      <c r="B78" s="77"/>
      <c r="C78" s="77">
        <v>2.0</v>
      </c>
      <c r="D78" s="77">
        <v>39.0</v>
      </c>
      <c r="E78" s="77">
        <v>7.0</v>
      </c>
      <c r="F78" s="76">
        <f t="shared" si="79"/>
        <v>48</v>
      </c>
      <c r="G78" s="77"/>
      <c r="H78" s="77">
        <v>12.0</v>
      </c>
      <c r="I78" s="77">
        <v>40.0</v>
      </c>
      <c r="J78" s="77"/>
      <c r="K78" s="76">
        <f t="shared" si="80"/>
        <v>52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0</v>
      </c>
      <c r="R78" s="75">
        <f t="shared" si="95"/>
        <v>14</v>
      </c>
      <c r="S78" s="75">
        <f t="shared" si="95"/>
        <v>79</v>
      </c>
      <c r="T78" s="75">
        <f t="shared" si="95"/>
        <v>7</v>
      </c>
      <c r="U78" s="76">
        <f t="shared" si="83"/>
        <v>100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/>
      <c r="H79" s="77">
        <v>58.0</v>
      </c>
      <c r="I79" s="77">
        <v>60.0</v>
      </c>
      <c r="J79" s="77"/>
      <c r="K79" s="76">
        <f t="shared" si="80"/>
        <v>118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0</v>
      </c>
      <c r="R79" s="75">
        <f t="shared" si="96"/>
        <v>58</v>
      </c>
      <c r="S79" s="75">
        <f t="shared" si="96"/>
        <v>60</v>
      </c>
      <c r="T79" s="75">
        <f t="shared" si="96"/>
        <v>0</v>
      </c>
      <c r="U79" s="76">
        <f t="shared" si="83"/>
        <v>118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6794</v>
      </c>
      <c r="C9" s="70">
        <f t="shared" si="1"/>
        <v>23969</v>
      </c>
      <c r="D9" s="70">
        <f t="shared" si="1"/>
        <v>45287</v>
      </c>
      <c r="E9" s="70">
        <f t="shared" si="1"/>
        <v>32414</v>
      </c>
      <c r="F9" s="71">
        <f t="shared" si="1"/>
        <v>108464</v>
      </c>
      <c r="G9" s="70">
        <f t="shared" si="1"/>
        <v>7766</v>
      </c>
      <c r="H9" s="70">
        <f t="shared" si="1"/>
        <v>13370</v>
      </c>
      <c r="I9" s="70">
        <f t="shared" si="1"/>
        <v>27573</v>
      </c>
      <c r="J9" s="70">
        <f t="shared" si="1"/>
        <v>7788</v>
      </c>
      <c r="K9" s="71">
        <f t="shared" si="1"/>
        <v>56497</v>
      </c>
      <c r="L9" s="70">
        <f t="shared" si="1"/>
        <v>251</v>
      </c>
      <c r="M9" s="70">
        <f t="shared" si="1"/>
        <v>412</v>
      </c>
      <c r="N9" s="70">
        <f t="shared" si="1"/>
        <v>2076</v>
      </c>
      <c r="O9" s="70">
        <f t="shared" si="1"/>
        <v>2271</v>
      </c>
      <c r="P9" s="71">
        <f t="shared" si="1"/>
        <v>5010</v>
      </c>
      <c r="Q9" s="70">
        <f t="shared" si="1"/>
        <v>14869</v>
      </c>
      <c r="R9" s="70">
        <f t="shared" si="1"/>
        <v>37811</v>
      </c>
      <c r="S9" s="70">
        <f t="shared" si="1"/>
        <v>75778</v>
      </c>
      <c r="T9" s="70">
        <f t="shared" si="1"/>
        <v>42473</v>
      </c>
      <c r="U9" s="71">
        <f t="shared" si="1"/>
        <v>170931</v>
      </c>
      <c r="V9" s="2"/>
    </row>
    <row r="10" ht="15.75" customHeight="1">
      <c r="A10" s="72" t="s">
        <v>49</v>
      </c>
      <c r="B10" s="73">
        <f t="shared" ref="B10:U10" si="2">SUM(B11:B16)</f>
        <v>5</v>
      </c>
      <c r="C10" s="73">
        <f t="shared" si="2"/>
        <v>648</v>
      </c>
      <c r="D10" s="73">
        <f t="shared" si="2"/>
        <v>478</v>
      </c>
      <c r="E10" s="73">
        <f t="shared" si="2"/>
        <v>13</v>
      </c>
      <c r="F10" s="73">
        <f t="shared" si="2"/>
        <v>1144</v>
      </c>
      <c r="G10" s="73">
        <f t="shared" si="2"/>
        <v>14</v>
      </c>
      <c r="H10" s="73">
        <f t="shared" si="2"/>
        <v>646</v>
      </c>
      <c r="I10" s="73">
        <f t="shared" si="2"/>
        <v>175</v>
      </c>
      <c r="J10" s="73">
        <f t="shared" si="2"/>
        <v>93</v>
      </c>
      <c r="K10" s="73">
        <f t="shared" si="2"/>
        <v>928</v>
      </c>
      <c r="L10" s="73">
        <f t="shared" si="2"/>
        <v>0</v>
      </c>
      <c r="M10" s="73">
        <f t="shared" si="2"/>
        <v>0</v>
      </c>
      <c r="N10" s="73">
        <f t="shared" si="2"/>
        <v>126</v>
      </c>
      <c r="O10" s="73">
        <f t="shared" si="2"/>
        <v>0</v>
      </c>
      <c r="P10" s="73">
        <f t="shared" si="2"/>
        <v>126</v>
      </c>
      <c r="Q10" s="73">
        <f t="shared" si="2"/>
        <v>19</v>
      </c>
      <c r="R10" s="73">
        <f t="shared" si="2"/>
        <v>1294</v>
      </c>
      <c r="S10" s="73">
        <f t="shared" si="2"/>
        <v>779</v>
      </c>
      <c r="T10" s="73">
        <f t="shared" si="2"/>
        <v>106</v>
      </c>
      <c r="U10" s="73">
        <f t="shared" si="2"/>
        <v>2198</v>
      </c>
      <c r="V10" s="2" t="s">
        <v>114</v>
      </c>
    </row>
    <row r="11" ht="15.0" customHeight="1">
      <c r="A11" s="74" t="s">
        <v>50</v>
      </c>
      <c r="B11" s="75">
        <v>5.0</v>
      </c>
      <c r="C11" s="75">
        <v>53.0</v>
      </c>
      <c r="D11" s="75">
        <v>233.0</v>
      </c>
      <c r="E11" s="75">
        <v>3.0</v>
      </c>
      <c r="F11" s="76">
        <f t="shared" ref="F11:F16" si="4">SUM(B11:E11)</f>
        <v>294</v>
      </c>
      <c r="G11" s="75">
        <v>13.0</v>
      </c>
      <c r="H11" s="75">
        <v>147.0</v>
      </c>
      <c r="I11" s="75">
        <v>73.0</v>
      </c>
      <c r="J11" s="75">
        <v>21.0</v>
      </c>
      <c r="K11" s="76">
        <f t="shared" ref="K11:K16" si="5">SUM(G11:J11)</f>
        <v>254</v>
      </c>
      <c r="L11" s="75"/>
      <c r="M11" s="75"/>
      <c r="N11" s="75">
        <v>75.0</v>
      </c>
      <c r="O11" s="75"/>
      <c r="P11" s="76">
        <f t="shared" ref="P11:P16" si="6">SUM(L11:O11)</f>
        <v>75</v>
      </c>
      <c r="Q11" s="75">
        <f t="shared" ref="Q11:T11" si="3">SUM(B11,G11,L11)</f>
        <v>18</v>
      </c>
      <c r="R11" s="75">
        <f t="shared" si="3"/>
        <v>200</v>
      </c>
      <c r="S11" s="75">
        <f t="shared" si="3"/>
        <v>381</v>
      </c>
      <c r="T11" s="75">
        <f t="shared" si="3"/>
        <v>24</v>
      </c>
      <c r="U11" s="76">
        <f t="shared" ref="U11:U16" si="8">SUM(Q11:T11)</f>
        <v>623</v>
      </c>
      <c r="V11" s="2"/>
    </row>
    <row r="12" ht="15.0" customHeight="1">
      <c r="A12" s="74" t="s">
        <v>51</v>
      </c>
      <c r="B12" s="77"/>
      <c r="C12" s="77">
        <v>35.0</v>
      </c>
      <c r="D12" s="77">
        <v>5.0</v>
      </c>
      <c r="E12" s="77">
        <v>7.0</v>
      </c>
      <c r="F12" s="78">
        <f t="shared" si="4"/>
        <v>47</v>
      </c>
      <c r="G12" s="77"/>
      <c r="H12" s="77">
        <v>15.0</v>
      </c>
      <c r="I12" s="77"/>
      <c r="J12" s="77"/>
      <c r="K12" s="78">
        <f t="shared" si="5"/>
        <v>15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50</v>
      </c>
      <c r="S12" s="77">
        <f t="shared" si="7"/>
        <v>5</v>
      </c>
      <c r="T12" s="77">
        <f t="shared" si="7"/>
        <v>7</v>
      </c>
      <c r="U12" s="78">
        <f t="shared" si="8"/>
        <v>62</v>
      </c>
      <c r="V12" s="2"/>
    </row>
    <row r="13" ht="15.0" customHeight="1">
      <c r="A13" s="74" t="s">
        <v>52</v>
      </c>
      <c r="B13" s="77"/>
      <c r="C13" s="77">
        <v>59.0</v>
      </c>
      <c r="D13" s="77">
        <v>23.0</v>
      </c>
      <c r="E13" s="77">
        <v>3.0</v>
      </c>
      <c r="F13" s="78">
        <f t="shared" si="4"/>
        <v>85</v>
      </c>
      <c r="G13" s="77"/>
      <c r="H13" s="77">
        <v>64.0</v>
      </c>
      <c r="I13" s="77">
        <v>6.0</v>
      </c>
      <c r="J13" s="77">
        <v>2.0</v>
      </c>
      <c r="K13" s="78">
        <f t="shared" si="5"/>
        <v>72</v>
      </c>
      <c r="L13" s="77"/>
      <c r="M13" s="77"/>
      <c r="N13" s="77">
        <v>26.0</v>
      </c>
      <c r="O13" s="77"/>
      <c r="P13" s="78">
        <f t="shared" si="6"/>
        <v>26</v>
      </c>
      <c r="Q13" s="77">
        <f t="shared" ref="Q13:T13" si="9">SUM(B13,G13,L13)</f>
        <v>0</v>
      </c>
      <c r="R13" s="77">
        <f t="shared" si="9"/>
        <v>123</v>
      </c>
      <c r="S13" s="77">
        <f t="shared" si="9"/>
        <v>55</v>
      </c>
      <c r="T13" s="77">
        <f t="shared" si="9"/>
        <v>5</v>
      </c>
      <c r="U13" s="78">
        <f t="shared" si="8"/>
        <v>183</v>
      </c>
      <c r="V13" s="2"/>
    </row>
    <row r="14" ht="15.0" customHeight="1">
      <c r="A14" s="74" t="s">
        <v>53</v>
      </c>
      <c r="B14" s="77"/>
      <c r="C14" s="77">
        <v>206.0</v>
      </c>
      <c r="D14" s="77"/>
      <c r="E14" s="77"/>
      <c r="F14" s="78">
        <f t="shared" si="4"/>
        <v>206</v>
      </c>
      <c r="G14" s="77"/>
      <c r="H14" s="77">
        <v>186.0</v>
      </c>
      <c r="I14" s="77"/>
      <c r="J14" s="77"/>
      <c r="K14" s="78">
        <f t="shared" si="5"/>
        <v>186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392</v>
      </c>
      <c r="S14" s="77">
        <f t="shared" si="10"/>
        <v>0</v>
      </c>
      <c r="T14" s="77">
        <f t="shared" si="10"/>
        <v>0</v>
      </c>
      <c r="U14" s="78">
        <f t="shared" si="8"/>
        <v>392</v>
      </c>
      <c r="V14" s="2"/>
    </row>
    <row r="15" ht="15.0" customHeight="1">
      <c r="A15" s="74" t="s">
        <v>54</v>
      </c>
      <c r="B15" s="77"/>
      <c r="C15" s="77">
        <v>190.0</v>
      </c>
      <c r="D15" s="77">
        <v>201.0</v>
      </c>
      <c r="E15" s="77"/>
      <c r="F15" s="78">
        <f t="shared" si="4"/>
        <v>391</v>
      </c>
      <c r="G15" s="77"/>
      <c r="H15" s="77"/>
      <c r="I15" s="77">
        <v>33.0</v>
      </c>
      <c r="J15" s="77">
        <v>70.0</v>
      </c>
      <c r="K15" s="78">
        <f t="shared" si="5"/>
        <v>103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190</v>
      </c>
      <c r="S15" s="77">
        <f t="shared" si="11"/>
        <v>234</v>
      </c>
      <c r="T15" s="77">
        <f t="shared" si="11"/>
        <v>70</v>
      </c>
      <c r="U15" s="78">
        <f t="shared" si="8"/>
        <v>494</v>
      </c>
      <c r="V15" s="2"/>
    </row>
    <row r="16" ht="15.75" customHeight="1">
      <c r="A16" s="74" t="s">
        <v>55</v>
      </c>
      <c r="B16" s="77"/>
      <c r="C16" s="77">
        <v>105.0</v>
      </c>
      <c r="D16" s="77">
        <v>16.0</v>
      </c>
      <c r="E16" s="77"/>
      <c r="F16" s="78">
        <f t="shared" si="4"/>
        <v>121</v>
      </c>
      <c r="G16" s="77">
        <v>1.0</v>
      </c>
      <c r="H16" s="77">
        <v>234.0</v>
      </c>
      <c r="I16" s="77">
        <v>63.0</v>
      </c>
      <c r="J16" s="77"/>
      <c r="K16" s="78">
        <f t="shared" si="5"/>
        <v>298</v>
      </c>
      <c r="L16" s="77"/>
      <c r="M16" s="77"/>
      <c r="N16" s="77">
        <v>25.0</v>
      </c>
      <c r="O16" s="77"/>
      <c r="P16" s="78">
        <f t="shared" si="6"/>
        <v>25</v>
      </c>
      <c r="Q16" s="77">
        <f t="shared" ref="Q16:T16" si="12">SUM(B16,G16,L16)</f>
        <v>1</v>
      </c>
      <c r="R16" s="77">
        <f t="shared" si="12"/>
        <v>339</v>
      </c>
      <c r="S16" s="77">
        <f t="shared" si="12"/>
        <v>104</v>
      </c>
      <c r="T16" s="77">
        <f t="shared" si="12"/>
        <v>0</v>
      </c>
      <c r="U16" s="78">
        <f t="shared" si="8"/>
        <v>444</v>
      </c>
      <c r="V16" s="2"/>
    </row>
    <row r="17" ht="15.75" customHeight="1">
      <c r="A17" s="72" t="s">
        <v>56</v>
      </c>
      <c r="B17" s="73">
        <f t="shared" ref="B17:Q17" si="13">SUM(B18:B28)</f>
        <v>68</v>
      </c>
      <c r="C17" s="73">
        <f t="shared" si="13"/>
        <v>5856</v>
      </c>
      <c r="D17" s="73">
        <f t="shared" si="13"/>
        <v>17766</v>
      </c>
      <c r="E17" s="73">
        <f t="shared" si="13"/>
        <v>12257</v>
      </c>
      <c r="F17" s="73">
        <f t="shared" si="13"/>
        <v>35947</v>
      </c>
      <c r="G17" s="73">
        <f t="shared" si="13"/>
        <v>2244</v>
      </c>
      <c r="H17" s="73">
        <f t="shared" si="13"/>
        <v>5961</v>
      </c>
      <c r="I17" s="73">
        <f t="shared" si="13"/>
        <v>19763</v>
      </c>
      <c r="J17" s="73">
        <f t="shared" si="13"/>
        <v>4487</v>
      </c>
      <c r="K17" s="73">
        <f t="shared" si="13"/>
        <v>32455</v>
      </c>
      <c r="L17" s="73">
        <f t="shared" si="13"/>
        <v>0</v>
      </c>
      <c r="M17" s="73">
        <f t="shared" si="13"/>
        <v>232</v>
      </c>
      <c r="N17" s="73">
        <f t="shared" si="13"/>
        <v>1644</v>
      </c>
      <c r="O17" s="73">
        <f t="shared" si="13"/>
        <v>536</v>
      </c>
      <c r="P17" s="73">
        <f t="shared" si="13"/>
        <v>2412</v>
      </c>
      <c r="Q17" s="73">
        <f t="shared" si="13"/>
        <v>2312</v>
      </c>
      <c r="R17" s="73">
        <f>R18+R19+R20+R21+R22+R23+R24+R25+R26+R27+R28</f>
        <v>12049</v>
      </c>
      <c r="S17" s="73">
        <f t="shared" ref="S17:U17" si="14">SUM(S18:S28)</f>
        <v>39173</v>
      </c>
      <c r="T17" s="73">
        <f t="shared" si="14"/>
        <v>17280</v>
      </c>
      <c r="U17" s="73">
        <f t="shared" si="14"/>
        <v>70814</v>
      </c>
      <c r="V17" s="2" t="s">
        <v>114</v>
      </c>
    </row>
    <row r="18" ht="15.0" customHeight="1">
      <c r="A18" s="74" t="s">
        <v>57</v>
      </c>
      <c r="B18" s="75"/>
      <c r="C18" s="75">
        <v>418.0</v>
      </c>
      <c r="D18" s="75">
        <v>604.0</v>
      </c>
      <c r="E18" s="75">
        <v>65.0</v>
      </c>
      <c r="F18" s="76">
        <f t="shared" ref="F18:F28" si="16">SUM(B18:E18)</f>
        <v>1087</v>
      </c>
      <c r="G18" s="75">
        <v>312.0</v>
      </c>
      <c r="H18" s="75">
        <v>776.0</v>
      </c>
      <c r="I18" s="75">
        <v>450.0</v>
      </c>
      <c r="J18" s="75"/>
      <c r="K18" s="76">
        <f t="shared" ref="K18:K28" si="17">SUM(G18:J18)</f>
        <v>1538</v>
      </c>
      <c r="L18" s="75"/>
      <c r="M18" s="75">
        <v>61.0</v>
      </c>
      <c r="N18" s="75">
        <v>38.0</v>
      </c>
      <c r="O18" s="75"/>
      <c r="P18" s="76">
        <f t="shared" ref="P18:P28" si="18">SUM(L18:O18)</f>
        <v>99</v>
      </c>
      <c r="Q18" s="75">
        <f t="shared" ref="Q18:T18" si="15">B18+G18+L18</f>
        <v>312</v>
      </c>
      <c r="R18" s="75">
        <f t="shared" si="15"/>
        <v>1255</v>
      </c>
      <c r="S18" s="75">
        <f t="shared" si="15"/>
        <v>1092</v>
      </c>
      <c r="T18" s="75">
        <f t="shared" si="15"/>
        <v>65</v>
      </c>
      <c r="U18" s="76">
        <f t="shared" ref="U18:U28" si="20">SUM(Q18:T18)</f>
        <v>2724</v>
      </c>
      <c r="V18" s="2"/>
    </row>
    <row r="19" ht="15.0" customHeight="1">
      <c r="A19" s="74" t="s">
        <v>58</v>
      </c>
      <c r="B19" s="77"/>
      <c r="C19" s="77">
        <v>25.0</v>
      </c>
      <c r="D19" s="75">
        <v>1929.0</v>
      </c>
      <c r="E19" s="75">
        <v>2175.0</v>
      </c>
      <c r="F19" s="76">
        <f t="shared" si="16"/>
        <v>4129</v>
      </c>
      <c r="G19" s="77"/>
      <c r="H19" s="77">
        <v>680.0</v>
      </c>
      <c r="I19" s="77">
        <v>1098.0</v>
      </c>
      <c r="J19" s="77">
        <v>140.0</v>
      </c>
      <c r="K19" s="76">
        <f t="shared" si="17"/>
        <v>1918</v>
      </c>
      <c r="L19" s="77"/>
      <c r="M19" s="77"/>
      <c r="N19" s="77">
        <v>234.0</v>
      </c>
      <c r="O19" s="77">
        <v>66.0</v>
      </c>
      <c r="P19" s="76">
        <f t="shared" si="18"/>
        <v>300</v>
      </c>
      <c r="Q19" s="75">
        <f t="shared" ref="Q19:T19" si="19">B19+G19+L19</f>
        <v>0</v>
      </c>
      <c r="R19" s="75">
        <f t="shared" si="19"/>
        <v>705</v>
      </c>
      <c r="S19" s="75">
        <f t="shared" si="19"/>
        <v>3261</v>
      </c>
      <c r="T19" s="75">
        <f t="shared" si="19"/>
        <v>2381</v>
      </c>
      <c r="U19" s="78">
        <f t="shared" si="20"/>
        <v>6347</v>
      </c>
      <c r="V19" s="2"/>
    </row>
    <row r="20" ht="15.0" customHeight="1">
      <c r="A20" s="74" t="s">
        <v>59</v>
      </c>
      <c r="B20" s="77"/>
      <c r="C20" s="77">
        <v>90.0</v>
      </c>
      <c r="D20" s="77">
        <v>102.0</v>
      </c>
      <c r="E20" s="77"/>
      <c r="F20" s="76">
        <f t="shared" si="16"/>
        <v>192</v>
      </c>
      <c r="G20" s="77">
        <v>157.0</v>
      </c>
      <c r="H20" s="77">
        <v>299.0</v>
      </c>
      <c r="I20" s="77">
        <v>8.0</v>
      </c>
      <c r="J20" s="77"/>
      <c r="K20" s="76">
        <f t="shared" si="17"/>
        <v>464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157</v>
      </c>
      <c r="R20" s="75">
        <f t="shared" si="21"/>
        <v>389</v>
      </c>
      <c r="S20" s="75">
        <f t="shared" si="21"/>
        <v>110</v>
      </c>
      <c r="T20" s="75">
        <f t="shared" si="21"/>
        <v>0</v>
      </c>
      <c r="U20" s="78">
        <f t="shared" si="20"/>
        <v>656</v>
      </c>
      <c r="V20" s="2"/>
    </row>
    <row r="21" ht="15.0" customHeight="1">
      <c r="A21" s="74" t="s">
        <v>60</v>
      </c>
      <c r="B21" s="77"/>
      <c r="C21" s="77">
        <v>741.0</v>
      </c>
      <c r="D21" s="77">
        <v>192.0</v>
      </c>
      <c r="E21" s="77">
        <v>185.0</v>
      </c>
      <c r="F21" s="76">
        <f t="shared" si="16"/>
        <v>1118</v>
      </c>
      <c r="G21" s="77"/>
      <c r="H21" s="77">
        <v>196.0</v>
      </c>
      <c r="I21" s="77">
        <v>38.0</v>
      </c>
      <c r="J21" s="77"/>
      <c r="K21" s="76">
        <f t="shared" si="17"/>
        <v>234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937</v>
      </c>
      <c r="S21" s="75">
        <f t="shared" si="22"/>
        <v>230</v>
      </c>
      <c r="T21" s="75">
        <f t="shared" si="22"/>
        <v>185</v>
      </c>
      <c r="U21" s="78">
        <f t="shared" si="20"/>
        <v>1352</v>
      </c>
      <c r="V21" s="2"/>
    </row>
    <row r="22" ht="15.0" customHeight="1">
      <c r="A22" s="74" t="s">
        <v>61</v>
      </c>
      <c r="B22" s="77"/>
      <c r="C22" s="77">
        <v>299.0</v>
      </c>
      <c r="D22" s="77">
        <v>2189.0</v>
      </c>
      <c r="E22" s="77">
        <v>265.0</v>
      </c>
      <c r="F22" s="76">
        <f t="shared" si="16"/>
        <v>2753</v>
      </c>
      <c r="G22" s="77"/>
      <c r="H22" s="77">
        <v>1708.0</v>
      </c>
      <c r="I22" s="77">
        <v>2687.0</v>
      </c>
      <c r="J22" s="77">
        <v>16.0</v>
      </c>
      <c r="K22" s="76">
        <f t="shared" si="17"/>
        <v>4411</v>
      </c>
      <c r="L22" s="77"/>
      <c r="M22" s="77">
        <v>88.0</v>
      </c>
      <c r="N22" s="77">
        <v>244.0</v>
      </c>
      <c r="O22" s="77"/>
      <c r="P22" s="76">
        <f t="shared" si="18"/>
        <v>332</v>
      </c>
      <c r="Q22" s="75">
        <f t="shared" ref="Q22:T22" si="23">B22+G22+L22</f>
        <v>0</v>
      </c>
      <c r="R22" s="75">
        <f t="shared" si="23"/>
        <v>2095</v>
      </c>
      <c r="S22" s="75">
        <f t="shared" si="23"/>
        <v>5120</v>
      </c>
      <c r="T22" s="75">
        <f t="shared" si="23"/>
        <v>281</v>
      </c>
      <c r="U22" s="78">
        <f t="shared" si="20"/>
        <v>7496</v>
      </c>
      <c r="V22" s="2"/>
    </row>
    <row r="23" ht="15.0" customHeight="1">
      <c r="A23" s="74" t="s">
        <v>62</v>
      </c>
      <c r="B23" s="77">
        <v>68.0</v>
      </c>
      <c r="C23" s="77">
        <v>555.0</v>
      </c>
      <c r="D23" s="77">
        <v>674.0</v>
      </c>
      <c r="E23" s="77">
        <v>524.0</v>
      </c>
      <c r="F23" s="76">
        <f t="shared" si="16"/>
        <v>1821</v>
      </c>
      <c r="G23" s="77">
        <v>57.0</v>
      </c>
      <c r="H23" s="77">
        <v>302.0</v>
      </c>
      <c r="I23" s="77">
        <v>417.0</v>
      </c>
      <c r="J23" s="77">
        <v>476.0</v>
      </c>
      <c r="K23" s="76">
        <f t="shared" si="17"/>
        <v>1252</v>
      </c>
      <c r="L23" s="77"/>
      <c r="M23" s="77">
        <v>38.0</v>
      </c>
      <c r="N23" s="77">
        <v>63.0</v>
      </c>
      <c r="O23" s="77"/>
      <c r="P23" s="76">
        <f t="shared" si="18"/>
        <v>101</v>
      </c>
      <c r="Q23" s="75">
        <f t="shared" ref="Q23:T23" si="24">B23+G23+L23</f>
        <v>125</v>
      </c>
      <c r="R23" s="75">
        <f t="shared" si="24"/>
        <v>895</v>
      </c>
      <c r="S23" s="75">
        <f t="shared" si="24"/>
        <v>1154</v>
      </c>
      <c r="T23" s="75">
        <f t="shared" si="24"/>
        <v>1000</v>
      </c>
      <c r="U23" s="78">
        <f t="shared" si="20"/>
        <v>3174</v>
      </c>
      <c r="V23" s="2"/>
    </row>
    <row r="24" ht="15.0" customHeight="1">
      <c r="A24" s="74" t="s">
        <v>63</v>
      </c>
      <c r="B24" s="79"/>
      <c r="C24" s="79">
        <v>1572.0</v>
      </c>
      <c r="D24" s="77">
        <v>146.0</v>
      </c>
      <c r="E24" s="77"/>
      <c r="F24" s="76">
        <f t="shared" si="16"/>
        <v>1718</v>
      </c>
      <c r="G24" s="77"/>
      <c r="H24" s="77">
        <v>486.0</v>
      </c>
      <c r="I24" s="77">
        <v>998.0</v>
      </c>
      <c r="J24" s="77"/>
      <c r="K24" s="76">
        <f t="shared" si="17"/>
        <v>1484</v>
      </c>
      <c r="L24" s="77"/>
      <c r="M24" s="77"/>
      <c r="N24" s="77">
        <v>275.0</v>
      </c>
      <c r="O24" s="77"/>
      <c r="P24" s="76">
        <f t="shared" si="18"/>
        <v>275</v>
      </c>
      <c r="Q24" s="75">
        <f t="shared" ref="Q24:T24" si="25">B24+G24+L24</f>
        <v>0</v>
      </c>
      <c r="R24" s="75">
        <f t="shared" si="25"/>
        <v>2058</v>
      </c>
      <c r="S24" s="75">
        <f t="shared" si="25"/>
        <v>1419</v>
      </c>
      <c r="T24" s="75">
        <f t="shared" si="25"/>
        <v>0</v>
      </c>
      <c r="U24" s="78">
        <f t="shared" si="20"/>
        <v>3477</v>
      </c>
      <c r="V24" s="2"/>
    </row>
    <row r="25" ht="15.0" customHeight="1">
      <c r="A25" s="74" t="s">
        <v>17</v>
      </c>
      <c r="B25" s="75"/>
      <c r="C25" s="75">
        <v>304.0</v>
      </c>
      <c r="D25" s="77">
        <v>2473.0</v>
      </c>
      <c r="E25" s="77">
        <v>3268.0</v>
      </c>
      <c r="F25" s="76">
        <f t="shared" si="16"/>
        <v>6045</v>
      </c>
      <c r="G25" s="75"/>
      <c r="H25" s="75">
        <v>326.0</v>
      </c>
      <c r="I25" s="75">
        <v>773.0</v>
      </c>
      <c r="J25" s="75">
        <v>834.0</v>
      </c>
      <c r="K25" s="76">
        <f t="shared" si="17"/>
        <v>1933</v>
      </c>
      <c r="L25" s="75"/>
      <c r="M25" s="75">
        <v>45.0</v>
      </c>
      <c r="N25" s="75">
        <v>66.0</v>
      </c>
      <c r="O25" s="75">
        <v>55.0</v>
      </c>
      <c r="P25" s="76">
        <f t="shared" si="18"/>
        <v>166</v>
      </c>
      <c r="Q25" s="75">
        <f t="shared" ref="Q25:T25" si="26">B25+G25+L25</f>
        <v>0</v>
      </c>
      <c r="R25" s="75">
        <f t="shared" si="26"/>
        <v>675</v>
      </c>
      <c r="S25" s="75">
        <f t="shared" si="26"/>
        <v>3312</v>
      </c>
      <c r="T25" s="75">
        <f t="shared" si="26"/>
        <v>4157</v>
      </c>
      <c r="U25" s="76">
        <f t="shared" si="20"/>
        <v>8144</v>
      </c>
      <c r="V25" s="2"/>
    </row>
    <row r="26" ht="15.0" customHeight="1">
      <c r="A26" s="74" t="s">
        <v>64</v>
      </c>
      <c r="B26" s="77"/>
      <c r="C26" s="77">
        <v>882.0</v>
      </c>
      <c r="D26" s="80">
        <v>3170.0</v>
      </c>
      <c r="E26" s="75">
        <v>2564.0</v>
      </c>
      <c r="F26" s="76">
        <f t="shared" si="16"/>
        <v>6616</v>
      </c>
      <c r="G26" s="77">
        <v>30.0</v>
      </c>
      <c r="H26" s="77">
        <v>807.0</v>
      </c>
      <c r="I26" s="77">
        <v>4207.0</v>
      </c>
      <c r="J26" s="77">
        <v>1774.0</v>
      </c>
      <c r="K26" s="76">
        <f t="shared" si="17"/>
        <v>6818</v>
      </c>
      <c r="L26" s="77"/>
      <c r="M26" s="77"/>
      <c r="N26" s="77">
        <v>323.0</v>
      </c>
      <c r="O26" s="77">
        <v>80.0</v>
      </c>
      <c r="P26" s="76">
        <f t="shared" si="18"/>
        <v>403</v>
      </c>
      <c r="Q26" s="75">
        <f t="shared" ref="Q26:T26" si="27">B26+G26+L26</f>
        <v>30</v>
      </c>
      <c r="R26" s="75">
        <f t="shared" si="27"/>
        <v>1689</v>
      </c>
      <c r="S26" s="75">
        <f t="shared" si="27"/>
        <v>7700</v>
      </c>
      <c r="T26" s="75">
        <f t="shared" si="27"/>
        <v>4418</v>
      </c>
      <c r="U26" s="78">
        <f t="shared" si="20"/>
        <v>13837</v>
      </c>
      <c r="V26" s="2"/>
    </row>
    <row r="27" ht="15.0" customHeight="1">
      <c r="A27" s="74" t="s">
        <v>65</v>
      </c>
      <c r="B27" s="77"/>
      <c r="C27" s="77"/>
      <c r="D27" s="77">
        <v>4409.0</v>
      </c>
      <c r="E27" s="77">
        <v>2562.0</v>
      </c>
      <c r="F27" s="76">
        <f t="shared" si="16"/>
        <v>6971</v>
      </c>
      <c r="G27" s="77"/>
      <c r="H27" s="77">
        <v>151.0</v>
      </c>
      <c r="I27" s="77">
        <v>6838.0</v>
      </c>
      <c r="J27" s="77">
        <v>789.0</v>
      </c>
      <c r="K27" s="76">
        <f t="shared" si="17"/>
        <v>7778</v>
      </c>
      <c r="L27" s="77"/>
      <c r="M27" s="77"/>
      <c r="N27" s="77">
        <v>401.0</v>
      </c>
      <c r="O27" s="77">
        <v>77.0</v>
      </c>
      <c r="P27" s="76">
        <f t="shared" si="18"/>
        <v>478</v>
      </c>
      <c r="Q27" s="75">
        <f t="shared" ref="Q27:T27" si="28">B27+G27+L27</f>
        <v>0</v>
      </c>
      <c r="R27" s="75">
        <f t="shared" si="28"/>
        <v>151</v>
      </c>
      <c r="S27" s="75">
        <f t="shared" si="28"/>
        <v>11648</v>
      </c>
      <c r="T27" s="75">
        <f t="shared" si="28"/>
        <v>3428</v>
      </c>
      <c r="U27" s="78">
        <f t="shared" si="20"/>
        <v>15227</v>
      </c>
      <c r="V27" s="2"/>
    </row>
    <row r="28" ht="15.75" customHeight="1">
      <c r="A28" s="74" t="s">
        <v>54</v>
      </c>
      <c r="B28" s="77"/>
      <c r="C28" s="77">
        <v>970.0</v>
      </c>
      <c r="D28" s="77">
        <v>1878.0</v>
      </c>
      <c r="E28" s="77">
        <v>649.0</v>
      </c>
      <c r="F28" s="76">
        <f t="shared" si="16"/>
        <v>3497</v>
      </c>
      <c r="G28" s="77">
        <v>1688.0</v>
      </c>
      <c r="H28" s="77">
        <v>230.0</v>
      </c>
      <c r="I28" s="77">
        <v>2249.0</v>
      </c>
      <c r="J28" s="77">
        <v>458.0</v>
      </c>
      <c r="K28" s="76">
        <f t="shared" si="17"/>
        <v>4625</v>
      </c>
      <c r="L28" s="77"/>
      <c r="M28" s="77"/>
      <c r="N28" s="77"/>
      <c r="O28" s="77">
        <v>258.0</v>
      </c>
      <c r="P28" s="76">
        <f t="shared" si="18"/>
        <v>258</v>
      </c>
      <c r="Q28" s="75">
        <f t="shared" ref="Q28:T28" si="29">B28+G28+L28</f>
        <v>1688</v>
      </c>
      <c r="R28" s="75">
        <f t="shared" si="29"/>
        <v>1200</v>
      </c>
      <c r="S28" s="75">
        <f t="shared" si="29"/>
        <v>4127</v>
      </c>
      <c r="T28" s="75">
        <f t="shared" si="29"/>
        <v>1365</v>
      </c>
      <c r="U28" s="78">
        <f t="shared" si="20"/>
        <v>8380</v>
      </c>
      <c r="V28" s="2"/>
    </row>
    <row r="29" ht="15.75" customHeight="1">
      <c r="A29" s="72" t="s">
        <v>66</v>
      </c>
      <c r="B29" s="73">
        <f t="shared" ref="B29:U29" si="30">SUM(B30:B44)</f>
        <v>18</v>
      </c>
      <c r="C29" s="73">
        <f t="shared" si="30"/>
        <v>6642</v>
      </c>
      <c r="D29" s="73">
        <f t="shared" si="30"/>
        <v>18360</v>
      </c>
      <c r="E29" s="73">
        <f t="shared" si="30"/>
        <v>18262</v>
      </c>
      <c r="F29" s="81">
        <f t="shared" si="30"/>
        <v>43282</v>
      </c>
      <c r="G29" s="73">
        <f t="shared" si="30"/>
        <v>0</v>
      </c>
      <c r="H29" s="73">
        <f t="shared" si="30"/>
        <v>514</v>
      </c>
      <c r="I29" s="73">
        <f t="shared" si="30"/>
        <v>2631</v>
      </c>
      <c r="J29" s="73">
        <f t="shared" si="30"/>
        <v>2743</v>
      </c>
      <c r="K29" s="81">
        <f t="shared" si="30"/>
        <v>5888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78</v>
      </c>
      <c r="P29" s="81">
        <f t="shared" si="30"/>
        <v>78</v>
      </c>
      <c r="Q29" s="73">
        <f t="shared" si="30"/>
        <v>18</v>
      </c>
      <c r="R29" s="73">
        <f t="shared" si="30"/>
        <v>7156</v>
      </c>
      <c r="S29" s="73">
        <f t="shared" si="30"/>
        <v>21252</v>
      </c>
      <c r="T29" s="73">
        <f t="shared" si="30"/>
        <v>21083</v>
      </c>
      <c r="U29" s="81">
        <f t="shared" si="30"/>
        <v>49509</v>
      </c>
      <c r="V29" s="2" t="s">
        <v>114</v>
      </c>
    </row>
    <row r="30" ht="15.0" customHeight="1">
      <c r="A30" s="74" t="s">
        <v>67</v>
      </c>
      <c r="B30" s="75"/>
      <c r="C30" s="75"/>
      <c r="D30" s="75">
        <v>430.0</v>
      </c>
      <c r="E30" s="75">
        <v>593.0</v>
      </c>
      <c r="F30" s="76">
        <f t="shared" ref="F30:F44" si="32">SUM(B30:E30)</f>
        <v>1023</v>
      </c>
      <c r="G30" s="75"/>
      <c r="H30" s="75"/>
      <c r="I30" s="75">
        <v>464.0</v>
      </c>
      <c r="J30" s="75">
        <v>435.0</v>
      </c>
      <c r="K30" s="76">
        <f t="shared" ref="K30:K44" si="33">SUM(G30:J30)</f>
        <v>899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0</v>
      </c>
      <c r="S30" s="75">
        <f t="shared" si="31"/>
        <v>894</v>
      </c>
      <c r="T30" s="75">
        <f t="shared" si="31"/>
        <v>1028</v>
      </c>
      <c r="U30" s="76">
        <f t="shared" ref="U30:U44" si="36">SUM(Q30:T30)</f>
        <v>1922</v>
      </c>
      <c r="V30" s="2"/>
    </row>
    <row r="31" ht="15.0" customHeight="1">
      <c r="A31" s="74" t="s">
        <v>68</v>
      </c>
      <c r="B31" s="77"/>
      <c r="C31" s="77">
        <v>274.0</v>
      </c>
      <c r="D31" s="77">
        <v>825.0</v>
      </c>
      <c r="E31" s="77">
        <v>2003.0</v>
      </c>
      <c r="F31" s="76">
        <f t="shared" si="32"/>
        <v>3102</v>
      </c>
      <c r="G31" s="77"/>
      <c r="H31" s="77"/>
      <c r="I31" s="77">
        <v>69.0</v>
      </c>
      <c r="J31" s="77">
        <v>45.0</v>
      </c>
      <c r="K31" s="76">
        <f t="shared" si="33"/>
        <v>114</v>
      </c>
      <c r="L31" s="77"/>
      <c r="M31" s="77"/>
      <c r="N31" s="77"/>
      <c r="O31" s="77">
        <v>78.0</v>
      </c>
      <c r="P31" s="78">
        <f t="shared" si="34"/>
        <v>78</v>
      </c>
      <c r="Q31" s="77">
        <f t="shared" ref="Q31:T31" si="35">SUM(B31,G31,L31)</f>
        <v>0</v>
      </c>
      <c r="R31" s="77">
        <f t="shared" si="35"/>
        <v>274</v>
      </c>
      <c r="S31" s="77">
        <f t="shared" si="35"/>
        <v>894</v>
      </c>
      <c r="T31" s="77">
        <f t="shared" si="35"/>
        <v>2126</v>
      </c>
      <c r="U31" s="78">
        <f t="shared" si="36"/>
        <v>3294</v>
      </c>
      <c r="V31" s="2"/>
    </row>
    <row r="32" ht="15.0" customHeight="1">
      <c r="A32" s="74" t="s">
        <v>69</v>
      </c>
      <c r="B32" s="77"/>
      <c r="C32" s="77">
        <v>550.0</v>
      </c>
      <c r="D32" s="77">
        <v>1242.0</v>
      </c>
      <c r="E32" s="77">
        <v>2846.0</v>
      </c>
      <c r="F32" s="76">
        <f t="shared" si="32"/>
        <v>4638</v>
      </c>
      <c r="G32" s="77"/>
      <c r="H32" s="77"/>
      <c r="I32" s="77">
        <v>187.0</v>
      </c>
      <c r="J32" s="77">
        <v>401.0</v>
      </c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550</v>
      </c>
      <c r="S32" s="77">
        <f t="shared" si="37"/>
        <v>1429</v>
      </c>
      <c r="T32" s="77">
        <f t="shared" si="37"/>
        <v>3247</v>
      </c>
      <c r="U32" s="78">
        <f t="shared" si="36"/>
        <v>5226</v>
      </c>
      <c r="V32" s="2"/>
    </row>
    <row r="33" ht="15.0" customHeight="1">
      <c r="A33" s="74" t="s">
        <v>70</v>
      </c>
      <c r="B33" s="77"/>
      <c r="C33" s="77">
        <v>1719.0</v>
      </c>
      <c r="D33" s="77">
        <v>231.0</v>
      </c>
      <c r="E33" s="77">
        <v>10.0</v>
      </c>
      <c r="F33" s="76">
        <f t="shared" si="32"/>
        <v>1960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1719</v>
      </c>
      <c r="S33" s="77">
        <f t="shared" si="38"/>
        <v>231</v>
      </c>
      <c r="T33" s="77">
        <f t="shared" si="38"/>
        <v>10</v>
      </c>
      <c r="U33" s="78">
        <f t="shared" si="36"/>
        <v>1960</v>
      </c>
      <c r="V33" s="2"/>
    </row>
    <row r="34" ht="15.0" customHeight="1">
      <c r="A34" s="74" t="s">
        <v>71</v>
      </c>
      <c r="B34" s="77">
        <v>18.0</v>
      </c>
      <c r="C34" s="77">
        <v>1201.0</v>
      </c>
      <c r="D34" s="77">
        <v>4002.0</v>
      </c>
      <c r="E34" s="77">
        <v>2429.0</v>
      </c>
      <c r="F34" s="76">
        <f t="shared" si="32"/>
        <v>7650</v>
      </c>
      <c r="G34" s="77"/>
      <c r="H34" s="77">
        <v>110.0</v>
      </c>
      <c r="I34" s="77">
        <v>101.0</v>
      </c>
      <c r="J34" s="77">
        <v>74.0</v>
      </c>
      <c r="K34" s="76">
        <f t="shared" si="33"/>
        <v>285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18</v>
      </c>
      <c r="R34" s="77">
        <f t="shared" si="39"/>
        <v>1311</v>
      </c>
      <c r="S34" s="77">
        <f t="shared" si="39"/>
        <v>4103</v>
      </c>
      <c r="T34" s="77">
        <f t="shared" si="39"/>
        <v>2503</v>
      </c>
      <c r="U34" s="78">
        <f t="shared" si="36"/>
        <v>7935</v>
      </c>
      <c r="V34" s="2"/>
    </row>
    <row r="35" ht="15.0" customHeight="1">
      <c r="A35" s="74" t="s">
        <v>72</v>
      </c>
      <c r="B35" s="77"/>
      <c r="C35" s="77"/>
      <c r="D35" s="77">
        <v>2000.0</v>
      </c>
      <c r="E35" s="77">
        <v>499.0</v>
      </c>
      <c r="F35" s="76">
        <f t="shared" si="32"/>
        <v>2499</v>
      </c>
      <c r="G35" s="77"/>
      <c r="H35" s="77"/>
      <c r="I35" s="77">
        <v>90.0</v>
      </c>
      <c r="J35" s="77">
        <v>23.0</v>
      </c>
      <c r="K35" s="76">
        <f t="shared" si="33"/>
        <v>113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2090</v>
      </c>
      <c r="T35" s="77">
        <f t="shared" si="40"/>
        <v>522</v>
      </c>
      <c r="U35" s="78">
        <f t="shared" si="36"/>
        <v>2612</v>
      </c>
      <c r="V35" s="2"/>
    </row>
    <row r="36" ht="15.0" customHeight="1">
      <c r="A36" s="74" t="s">
        <v>73</v>
      </c>
      <c r="B36" s="77"/>
      <c r="C36" s="77">
        <v>132.0</v>
      </c>
      <c r="D36" s="77">
        <v>704.0</v>
      </c>
      <c r="E36" s="77">
        <v>447.0</v>
      </c>
      <c r="F36" s="76">
        <f t="shared" si="32"/>
        <v>1283</v>
      </c>
      <c r="G36" s="77"/>
      <c r="H36" s="77">
        <v>182.0</v>
      </c>
      <c r="I36" s="77">
        <v>261.0</v>
      </c>
      <c r="J36" s="77"/>
      <c r="K36" s="76">
        <f t="shared" si="33"/>
        <v>443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314</v>
      </c>
      <c r="S36" s="77">
        <f t="shared" si="41"/>
        <v>965</v>
      </c>
      <c r="T36" s="77">
        <f t="shared" si="41"/>
        <v>447</v>
      </c>
      <c r="U36" s="78">
        <f t="shared" si="36"/>
        <v>1726</v>
      </c>
      <c r="V36" s="2"/>
    </row>
    <row r="37" ht="15.0" customHeight="1">
      <c r="A37" s="74" t="s">
        <v>74</v>
      </c>
      <c r="B37" s="77"/>
      <c r="C37" s="77">
        <v>2400.0</v>
      </c>
      <c r="D37" s="77">
        <v>2638.0</v>
      </c>
      <c r="E37" s="77">
        <v>3830.0</v>
      </c>
      <c r="F37" s="76">
        <f t="shared" si="32"/>
        <v>8868</v>
      </c>
      <c r="G37" s="77"/>
      <c r="H37" s="77">
        <v>210.0</v>
      </c>
      <c r="I37" s="77">
        <v>562.0</v>
      </c>
      <c r="J37" s="77">
        <v>989.0</v>
      </c>
      <c r="K37" s="76">
        <f t="shared" si="33"/>
        <v>1761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0</v>
      </c>
      <c r="R37" s="77">
        <f t="shared" si="42"/>
        <v>2610</v>
      </c>
      <c r="S37" s="77">
        <f t="shared" ref="S37:S41" si="44">SUM(D37,I36,N37)</f>
        <v>2899</v>
      </c>
      <c r="T37" s="77">
        <f t="shared" ref="T37:T41" si="45">SUM(E37,J37,O37)</f>
        <v>4819</v>
      </c>
      <c r="U37" s="78">
        <f t="shared" si="36"/>
        <v>10328</v>
      </c>
      <c r="V37" s="2"/>
    </row>
    <row r="38" ht="15.0" customHeight="1">
      <c r="A38" s="74" t="s">
        <v>75</v>
      </c>
      <c r="B38" s="77"/>
      <c r="C38" s="77"/>
      <c r="D38" s="77">
        <v>1202.0</v>
      </c>
      <c r="E38" s="77">
        <v>1998.0</v>
      </c>
      <c r="F38" s="76">
        <f t="shared" si="32"/>
        <v>3200</v>
      </c>
      <c r="G38" s="77"/>
      <c r="H38" s="77"/>
      <c r="I38" s="77">
        <v>319.0</v>
      </c>
      <c r="J38" s="77">
        <v>130.0</v>
      </c>
      <c r="K38" s="76">
        <f t="shared" si="33"/>
        <v>449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1764</v>
      </c>
      <c r="T38" s="77">
        <f t="shared" si="45"/>
        <v>2128</v>
      </c>
      <c r="U38" s="78">
        <f t="shared" si="36"/>
        <v>3892</v>
      </c>
      <c r="V38" s="2"/>
    </row>
    <row r="39" ht="15.0" customHeight="1">
      <c r="A39" s="74" t="s">
        <v>76</v>
      </c>
      <c r="B39" s="77"/>
      <c r="C39" s="77"/>
      <c r="D39" s="77">
        <v>599.0</v>
      </c>
      <c r="E39" s="77">
        <v>678.0</v>
      </c>
      <c r="F39" s="76">
        <f t="shared" si="32"/>
        <v>1277</v>
      </c>
      <c r="G39" s="77"/>
      <c r="H39" s="77"/>
      <c r="I39" s="77">
        <v>84.0</v>
      </c>
      <c r="J39" s="77">
        <v>140.0</v>
      </c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918</v>
      </c>
      <c r="T39" s="77">
        <f t="shared" si="45"/>
        <v>818</v>
      </c>
      <c r="U39" s="78">
        <f t="shared" si="36"/>
        <v>1736</v>
      </c>
      <c r="V39" s="2"/>
    </row>
    <row r="40" ht="15.0" customHeight="1">
      <c r="A40" s="74" t="s">
        <v>77</v>
      </c>
      <c r="B40" s="77"/>
      <c r="C40" s="77"/>
      <c r="D40" s="77">
        <v>3.0</v>
      </c>
      <c r="E40" s="77">
        <v>3.0</v>
      </c>
      <c r="F40" s="76">
        <f t="shared" si="32"/>
        <v>6</v>
      </c>
      <c r="G40" s="77"/>
      <c r="H40" s="77"/>
      <c r="I40" s="77">
        <v>9.0</v>
      </c>
      <c r="J40" s="77">
        <v>4.0</v>
      </c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87</v>
      </c>
      <c r="T40" s="77">
        <f t="shared" si="45"/>
        <v>7</v>
      </c>
      <c r="U40" s="78">
        <f t="shared" si="36"/>
        <v>94</v>
      </c>
      <c r="V40" s="2"/>
    </row>
    <row r="41" ht="15.0" customHeight="1">
      <c r="A41" s="74" t="s">
        <v>78</v>
      </c>
      <c r="B41" s="77"/>
      <c r="C41" s="77"/>
      <c r="D41" s="77">
        <v>2188.0</v>
      </c>
      <c r="E41" s="77">
        <v>82.0</v>
      </c>
      <c r="F41" s="76">
        <f t="shared" si="32"/>
        <v>2270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2197</v>
      </c>
      <c r="T41" s="77">
        <f t="shared" si="45"/>
        <v>82</v>
      </c>
      <c r="U41" s="78">
        <f t="shared" si="36"/>
        <v>2279</v>
      </c>
      <c r="V41" s="2"/>
    </row>
    <row r="42" ht="15.0" customHeight="1">
      <c r="A42" s="74" t="s">
        <v>79</v>
      </c>
      <c r="B42" s="77"/>
      <c r="C42" s="77">
        <v>5.0</v>
      </c>
      <c r="D42" s="77">
        <v>144.0</v>
      </c>
      <c r="E42" s="77">
        <v>10.0</v>
      </c>
      <c r="F42" s="76">
        <f t="shared" si="32"/>
        <v>159</v>
      </c>
      <c r="G42" s="77"/>
      <c r="H42" s="77"/>
      <c r="I42" s="77">
        <v>44.0</v>
      </c>
      <c r="J42" s="77">
        <v>50.0</v>
      </c>
      <c r="K42" s="76">
        <f t="shared" si="33"/>
        <v>94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5</v>
      </c>
      <c r="S42" s="77">
        <f t="shared" si="49"/>
        <v>188</v>
      </c>
      <c r="T42" s="77">
        <f t="shared" si="49"/>
        <v>60</v>
      </c>
      <c r="U42" s="78">
        <f t="shared" si="36"/>
        <v>253</v>
      </c>
      <c r="V42" s="2"/>
    </row>
    <row r="43" ht="15.0" customHeight="1">
      <c r="A43" s="74" t="s">
        <v>80</v>
      </c>
      <c r="B43" s="77"/>
      <c r="C43" s="77"/>
      <c r="D43" s="77"/>
      <c r="E43" s="77">
        <v>1208.0</v>
      </c>
      <c r="F43" s="76">
        <f t="shared" si="32"/>
        <v>1208</v>
      </c>
      <c r="G43" s="77"/>
      <c r="H43" s="77"/>
      <c r="I43" s="77"/>
      <c r="J43" s="77">
        <v>92.0</v>
      </c>
      <c r="K43" s="76">
        <f t="shared" si="33"/>
        <v>92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0</v>
      </c>
      <c r="T43" s="77">
        <f t="shared" si="50"/>
        <v>1300</v>
      </c>
      <c r="U43" s="78">
        <f t="shared" si="36"/>
        <v>1300</v>
      </c>
      <c r="V43" s="2"/>
    </row>
    <row r="44" ht="15.75" customHeight="1">
      <c r="A44" s="74" t="s">
        <v>81</v>
      </c>
      <c r="B44" s="77"/>
      <c r="C44" s="77">
        <v>361.0</v>
      </c>
      <c r="D44" s="77">
        <v>2152.0</v>
      </c>
      <c r="E44" s="77">
        <v>1626.0</v>
      </c>
      <c r="F44" s="76">
        <f t="shared" si="32"/>
        <v>4139</v>
      </c>
      <c r="G44" s="77"/>
      <c r="H44" s="77">
        <v>12.0</v>
      </c>
      <c r="I44" s="77">
        <v>441.0</v>
      </c>
      <c r="J44" s="77">
        <v>360.0</v>
      </c>
      <c r="K44" s="76">
        <f t="shared" si="33"/>
        <v>813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373</v>
      </c>
      <c r="S44" s="77">
        <f t="shared" si="51"/>
        <v>2593</v>
      </c>
      <c r="T44" s="77">
        <f t="shared" si="51"/>
        <v>1986</v>
      </c>
      <c r="U44" s="78">
        <f t="shared" si="36"/>
        <v>4952</v>
      </c>
      <c r="V44" s="2"/>
    </row>
    <row r="45" ht="15.75" customHeight="1">
      <c r="A45" s="72" t="s">
        <v>82</v>
      </c>
      <c r="B45" s="73">
        <f t="shared" ref="B45:U45" si="52">SUM(B46:B63)</f>
        <v>5814</v>
      </c>
      <c r="C45" s="73">
        <f t="shared" si="52"/>
        <v>9368</v>
      </c>
      <c r="D45" s="73">
        <f t="shared" si="52"/>
        <v>8159</v>
      </c>
      <c r="E45" s="73">
        <f t="shared" si="52"/>
        <v>1882</v>
      </c>
      <c r="F45" s="81">
        <f t="shared" si="52"/>
        <v>25223</v>
      </c>
      <c r="G45" s="73">
        <f t="shared" si="52"/>
        <v>4903</v>
      </c>
      <c r="H45" s="73">
        <f t="shared" si="52"/>
        <v>4649</v>
      </c>
      <c r="I45" s="73">
        <f t="shared" si="52"/>
        <v>4732</v>
      </c>
      <c r="J45" s="73">
        <f t="shared" si="52"/>
        <v>465</v>
      </c>
      <c r="K45" s="81">
        <f t="shared" si="52"/>
        <v>14749</v>
      </c>
      <c r="L45" s="73">
        <f t="shared" si="52"/>
        <v>251</v>
      </c>
      <c r="M45" s="73">
        <f t="shared" si="52"/>
        <v>180</v>
      </c>
      <c r="N45" s="73">
        <f t="shared" si="52"/>
        <v>306</v>
      </c>
      <c r="O45" s="73">
        <f t="shared" si="52"/>
        <v>1657</v>
      </c>
      <c r="P45" s="81">
        <f t="shared" si="52"/>
        <v>2394</v>
      </c>
      <c r="Q45" s="73">
        <f t="shared" si="52"/>
        <v>10968</v>
      </c>
      <c r="R45" s="73">
        <f t="shared" si="52"/>
        <v>14197</v>
      </c>
      <c r="S45" s="73">
        <f t="shared" si="52"/>
        <v>13778</v>
      </c>
      <c r="T45" s="73">
        <f t="shared" si="52"/>
        <v>4004</v>
      </c>
      <c r="U45" s="73">
        <f t="shared" si="52"/>
        <v>42947</v>
      </c>
      <c r="V45" s="2"/>
    </row>
    <row r="46" ht="15.0" customHeight="1">
      <c r="A46" s="74" t="s">
        <v>83</v>
      </c>
      <c r="B46" s="75">
        <v>1230.0</v>
      </c>
      <c r="C46" s="75">
        <v>490.0</v>
      </c>
      <c r="D46" s="75">
        <v>120.0</v>
      </c>
      <c r="E46" s="75">
        <v>120.0</v>
      </c>
      <c r="F46" s="76">
        <f t="shared" ref="F46:F63" si="54">SUM(B46:E46)</f>
        <v>1960</v>
      </c>
      <c r="G46" s="75">
        <v>150.0</v>
      </c>
      <c r="H46" s="75"/>
      <c r="I46" s="75"/>
      <c r="J46" s="75"/>
      <c r="K46" s="76">
        <f t="shared" ref="K46:K63" si="55">SUM(G46:J46)</f>
        <v>150</v>
      </c>
      <c r="L46" s="75">
        <v>90.0</v>
      </c>
      <c r="M46" s="75"/>
      <c r="N46" s="75"/>
      <c r="O46" s="75"/>
      <c r="P46" s="76">
        <f t="shared" ref="P46:P63" si="56">SUM(L46:O46)</f>
        <v>90</v>
      </c>
      <c r="Q46" s="75">
        <f t="shared" ref="Q46:T46" si="53">SUM(B46,G46,L46)</f>
        <v>1470</v>
      </c>
      <c r="R46" s="75">
        <f t="shared" si="53"/>
        <v>490</v>
      </c>
      <c r="S46" s="75">
        <f t="shared" si="53"/>
        <v>120</v>
      </c>
      <c r="T46" s="75">
        <f t="shared" si="53"/>
        <v>120</v>
      </c>
      <c r="U46" s="76">
        <f t="shared" ref="U46:U63" si="58">SUM(Q46:T46)</f>
        <v>2200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602.0</v>
      </c>
      <c r="C49" s="77">
        <v>1557.0</v>
      </c>
      <c r="D49" s="77">
        <v>473.0</v>
      </c>
      <c r="E49" s="77">
        <v>2.0</v>
      </c>
      <c r="F49" s="76">
        <f t="shared" si="54"/>
        <v>2634</v>
      </c>
      <c r="G49" s="77">
        <v>265.0</v>
      </c>
      <c r="H49" s="77">
        <v>544.0</v>
      </c>
      <c r="I49" s="77">
        <v>132.0</v>
      </c>
      <c r="J49" s="77"/>
      <c r="K49" s="76">
        <f t="shared" si="55"/>
        <v>941</v>
      </c>
      <c r="L49" s="77">
        <v>99.0</v>
      </c>
      <c r="M49" s="77">
        <v>65.0</v>
      </c>
      <c r="N49" s="77"/>
      <c r="O49" s="77"/>
      <c r="P49" s="76">
        <f t="shared" si="56"/>
        <v>164</v>
      </c>
      <c r="Q49" s="75">
        <f t="shared" ref="Q49:T49" si="60">SUM(B49,G49,L49)</f>
        <v>966</v>
      </c>
      <c r="R49" s="75">
        <f t="shared" si="60"/>
        <v>2166</v>
      </c>
      <c r="S49" s="75">
        <f t="shared" si="60"/>
        <v>605</v>
      </c>
      <c r="T49" s="75">
        <f t="shared" si="60"/>
        <v>2</v>
      </c>
      <c r="U49" s="78">
        <f t="shared" si="58"/>
        <v>3739</v>
      </c>
      <c r="V49" s="2"/>
    </row>
    <row r="50" ht="15.0" customHeight="1">
      <c r="A50" s="74" t="s">
        <v>87</v>
      </c>
      <c r="B50" s="77">
        <v>253.0</v>
      </c>
      <c r="C50" s="77">
        <v>1947.0</v>
      </c>
      <c r="D50" s="77">
        <v>1796.0</v>
      </c>
      <c r="E50" s="77">
        <v>64.0</v>
      </c>
      <c r="F50" s="76">
        <f t="shared" si="54"/>
        <v>4060</v>
      </c>
      <c r="G50" s="77">
        <v>698.0</v>
      </c>
      <c r="H50" s="77">
        <v>926.0</v>
      </c>
      <c r="I50" s="77">
        <v>188.0</v>
      </c>
      <c r="J50" s="77">
        <v>1.0</v>
      </c>
      <c r="K50" s="76">
        <f t="shared" si="55"/>
        <v>1813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951</v>
      </c>
      <c r="R50" s="75">
        <f t="shared" si="61"/>
        <v>2873</v>
      </c>
      <c r="S50" s="75">
        <f t="shared" si="61"/>
        <v>1984</v>
      </c>
      <c r="T50" s="75">
        <f t="shared" si="61"/>
        <v>65</v>
      </c>
      <c r="U50" s="78">
        <f t="shared" si="58"/>
        <v>5873</v>
      </c>
      <c r="V50" s="2" t="s">
        <v>114</v>
      </c>
    </row>
    <row r="51" ht="15.0" customHeight="1">
      <c r="A51" s="74" t="s">
        <v>88</v>
      </c>
      <c r="B51" s="77">
        <v>15.0</v>
      </c>
      <c r="C51" s="77">
        <v>101.0</v>
      </c>
      <c r="D51" s="77">
        <v>81.0</v>
      </c>
      <c r="E51" s="77"/>
      <c r="F51" s="76">
        <f t="shared" si="54"/>
        <v>197</v>
      </c>
      <c r="G51" s="77">
        <v>77.0</v>
      </c>
      <c r="H51" s="77">
        <v>70.0</v>
      </c>
      <c r="I51" s="77">
        <v>18.0</v>
      </c>
      <c r="K51" s="76">
        <f t="shared" si="55"/>
        <v>165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92</v>
      </c>
      <c r="R51" s="75">
        <f t="shared" si="62"/>
        <v>171</v>
      </c>
      <c r="S51" s="75">
        <f t="shared" ref="S51:T51" si="63">SUM(D51,I56,N51)</f>
        <v>680</v>
      </c>
      <c r="T51" s="75">
        <f t="shared" si="63"/>
        <v>0</v>
      </c>
      <c r="U51" s="78">
        <f t="shared" si="58"/>
        <v>943</v>
      </c>
      <c r="V51" s="2"/>
    </row>
    <row r="52" ht="15.0" customHeight="1">
      <c r="A52" s="83" t="s">
        <v>89</v>
      </c>
      <c r="B52" s="84">
        <v>59.0</v>
      </c>
      <c r="C52" s="84">
        <v>544.0</v>
      </c>
      <c r="D52" s="84"/>
      <c r="E52" s="84"/>
      <c r="F52" s="85">
        <f t="shared" si="54"/>
        <v>603</v>
      </c>
      <c r="G52" s="84">
        <v>136.0</v>
      </c>
      <c r="H52" s="84">
        <v>603.0</v>
      </c>
      <c r="I52" s="84"/>
      <c r="J52" s="84"/>
      <c r="K52" s="85">
        <f t="shared" si="55"/>
        <v>739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195</v>
      </c>
      <c r="R52" s="86">
        <f t="shared" si="64"/>
        <v>1147</v>
      </c>
      <c r="S52" s="86">
        <f t="shared" si="64"/>
        <v>0</v>
      </c>
      <c r="T52" s="86">
        <f t="shared" si="64"/>
        <v>0</v>
      </c>
      <c r="U52" s="87">
        <f t="shared" si="58"/>
        <v>1342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16.0</v>
      </c>
      <c r="C53" s="77">
        <v>3.0</v>
      </c>
      <c r="D53" s="77"/>
      <c r="E53" s="77"/>
      <c r="F53" s="76">
        <f t="shared" si="54"/>
        <v>19</v>
      </c>
      <c r="G53" s="77">
        <v>28.0</v>
      </c>
      <c r="H53" s="77">
        <v>9.0</v>
      </c>
      <c r="I53" s="77"/>
      <c r="J53" s="77"/>
      <c r="K53" s="76">
        <f t="shared" si="55"/>
        <v>37</v>
      </c>
      <c r="L53" s="77"/>
      <c r="M53" s="77">
        <v>95.0</v>
      </c>
      <c r="N53" s="77">
        <v>66.0</v>
      </c>
      <c r="O53" s="77"/>
      <c r="P53" s="76">
        <f t="shared" si="56"/>
        <v>161</v>
      </c>
      <c r="Q53" s="75">
        <f t="shared" ref="Q53:T53" si="65">SUM(B53,G53,L53)</f>
        <v>44</v>
      </c>
      <c r="R53" s="75">
        <f t="shared" si="65"/>
        <v>107</v>
      </c>
      <c r="S53" s="86">
        <f t="shared" si="65"/>
        <v>66</v>
      </c>
      <c r="T53" s="86">
        <f t="shared" si="65"/>
        <v>0</v>
      </c>
      <c r="U53" s="78">
        <f t="shared" si="58"/>
        <v>217</v>
      </c>
      <c r="V53" s="2"/>
    </row>
    <row r="54" ht="15.0" customHeight="1">
      <c r="A54" s="74" t="s">
        <v>91</v>
      </c>
      <c r="B54" s="77">
        <v>91.0</v>
      </c>
      <c r="C54" s="77">
        <v>1176.0</v>
      </c>
      <c r="D54" s="77">
        <v>499.0</v>
      </c>
      <c r="E54" s="77">
        <v>15.0</v>
      </c>
      <c r="F54" s="76">
        <f t="shared" si="54"/>
        <v>1781</v>
      </c>
      <c r="G54" s="77">
        <v>479.0</v>
      </c>
      <c r="H54" s="77">
        <v>512.0</v>
      </c>
      <c r="I54" s="77">
        <v>75.0</v>
      </c>
      <c r="J54" s="77"/>
      <c r="K54" s="76">
        <f t="shared" si="55"/>
        <v>1066</v>
      </c>
      <c r="L54" s="77"/>
      <c r="M54" s="77"/>
      <c r="N54" s="77"/>
      <c r="O54" s="77">
        <v>709.0</v>
      </c>
      <c r="P54" s="76">
        <f t="shared" si="56"/>
        <v>709</v>
      </c>
      <c r="Q54" s="75">
        <f t="shared" ref="Q54:T54" si="66">SUM(B54,G54,L54)</f>
        <v>570</v>
      </c>
      <c r="R54" s="75">
        <f t="shared" si="66"/>
        <v>1688</v>
      </c>
      <c r="S54" s="86">
        <f t="shared" si="66"/>
        <v>574</v>
      </c>
      <c r="T54" s="86">
        <f t="shared" si="66"/>
        <v>724</v>
      </c>
      <c r="U54" s="78">
        <f t="shared" si="58"/>
        <v>3556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194.0</v>
      </c>
      <c r="C56" s="77">
        <v>409.0</v>
      </c>
      <c r="D56" s="77">
        <v>199.0</v>
      </c>
      <c r="E56" s="77"/>
      <c r="F56" s="76">
        <f t="shared" si="54"/>
        <v>802</v>
      </c>
      <c r="G56" s="77">
        <v>390.0</v>
      </c>
      <c r="H56" s="77">
        <v>995.0</v>
      </c>
      <c r="I56" s="77">
        <v>599.0</v>
      </c>
      <c r="J56" s="77"/>
      <c r="K56" s="76">
        <f t="shared" si="55"/>
        <v>1984</v>
      </c>
      <c r="L56" s="90"/>
      <c r="M56" s="90"/>
      <c r="N56" s="90"/>
      <c r="O56" s="90">
        <v>216.0</v>
      </c>
      <c r="P56" s="76">
        <f t="shared" si="56"/>
        <v>216</v>
      </c>
      <c r="Q56" s="75">
        <f t="shared" ref="Q56:T56" si="68">SUM(B56,G56,L56)</f>
        <v>584</v>
      </c>
      <c r="R56" s="75">
        <f t="shared" si="68"/>
        <v>1404</v>
      </c>
      <c r="S56" s="86">
        <f t="shared" si="68"/>
        <v>798</v>
      </c>
      <c r="T56" s="86">
        <f t="shared" si="68"/>
        <v>216</v>
      </c>
      <c r="U56" s="91">
        <f t="shared" si="58"/>
        <v>3002</v>
      </c>
      <c r="V56" s="2" t="s">
        <v>114</v>
      </c>
    </row>
    <row r="57" ht="15.0" customHeight="1">
      <c r="A57" s="74" t="s">
        <v>94</v>
      </c>
      <c r="B57" s="77">
        <v>1303.0</v>
      </c>
      <c r="C57" s="77">
        <v>2488.0</v>
      </c>
      <c r="D57" s="77">
        <v>120.0</v>
      </c>
      <c r="E57" s="77">
        <v>120.0</v>
      </c>
      <c r="F57" s="76">
        <f t="shared" si="54"/>
        <v>4031</v>
      </c>
      <c r="G57" s="77"/>
      <c r="H57" s="77"/>
      <c r="I57" s="77">
        <v>5.0</v>
      </c>
      <c r="J57" s="2">
        <v>5.0</v>
      </c>
      <c r="K57" s="76">
        <f t="shared" si="55"/>
        <v>10</v>
      </c>
      <c r="L57" s="77">
        <v>20.0</v>
      </c>
      <c r="M57" s="77">
        <v>20.0</v>
      </c>
      <c r="N57" s="77">
        <v>20.0</v>
      </c>
      <c r="O57" s="77"/>
      <c r="P57" s="76">
        <f t="shared" si="56"/>
        <v>60</v>
      </c>
      <c r="Q57" s="75">
        <f t="shared" ref="Q57:T57" si="69">SUM(B57,G57,L57)</f>
        <v>1323</v>
      </c>
      <c r="R57" s="75">
        <f t="shared" si="69"/>
        <v>2508</v>
      </c>
      <c r="S57" s="86">
        <f t="shared" si="69"/>
        <v>145</v>
      </c>
      <c r="T57" s="86">
        <f t="shared" si="69"/>
        <v>125</v>
      </c>
      <c r="U57" s="91">
        <f t="shared" si="58"/>
        <v>4101</v>
      </c>
      <c r="V57" s="2"/>
    </row>
    <row r="58" ht="15.0" customHeight="1">
      <c r="A58" s="74" t="s">
        <v>95</v>
      </c>
      <c r="B58" s="77">
        <v>111.0</v>
      </c>
      <c r="C58" s="77">
        <v>129.0</v>
      </c>
      <c r="D58" s="77">
        <v>295.0</v>
      </c>
      <c r="E58" s="77">
        <v>70.0</v>
      </c>
      <c r="F58" s="76">
        <f t="shared" si="54"/>
        <v>605</v>
      </c>
      <c r="G58" s="77">
        <v>52.0</v>
      </c>
      <c r="H58" s="77">
        <v>38.0</v>
      </c>
      <c r="I58" s="77">
        <v>10.0</v>
      </c>
      <c r="J58" s="77">
        <v>14.0</v>
      </c>
      <c r="K58" s="76">
        <f t="shared" si="55"/>
        <v>114</v>
      </c>
      <c r="L58" s="77">
        <v>42.0</v>
      </c>
      <c r="M58" s="77"/>
      <c r="N58" s="77">
        <v>20.0</v>
      </c>
      <c r="O58" s="77">
        <v>234.0</v>
      </c>
      <c r="P58" s="76">
        <f t="shared" si="56"/>
        <v>296</v>
      </c>
      <c r="Q58" s="75">
        <f t="shared" ref="Q58:T58" si="70">SUM(B58,G58,L58)</f>
        <v>205</v>
      </c>
      <c r="R58" s="75">
        <f t="shared" si="70"/>
        <v>167</v>
      </c>
      <c r="S58" s="75">
        <f t="shared" si="70"/>
        <v>325</v>
      </c>
      <c r="T58" s="86">
        <f t="shared" si="70"/>
        <v>318</v>
      </c>
      <c r="U58" s="91">
        <f t="shared" si="58"/>
        <v>1015</v>
      </c>
      <c r="V58" s="2"/>
    </row>
    <row r="59" ht="15.0" customHeight="1">
      <c r="A59" s="74" t="s">
        <v>96</v>
      </c>
      <c r="B59" s="77"/>
      <c r="C59" s="77">
        <v>5.0</v>
      </c>
      <c r="D59" s="77">
        <v>1034.0</v>
      </c>
      <c r="E59" s="77">
        <v>231.0</v>
      </c>
      <c r="F59" s="76">
        <f t="shared" si="54"/>
        <v>1270</v>
      </c>
      <c r="G59" s="82">
        <v>5.0</v>
      </c>
      <c r="H59" s="82">
        <v>507.0</v>
      </c>
      <c r="I59" s="82">
        <v>1078.0</v>
      </c>
      <c r="J59" s="82">
        <v>372.0</v>
      </c>
      <c r="K59" s="76">
        <f t="shared" si="55"/>
        <v>1962</v>
      </c>
      <c r="L59" s="77"/>
      <c r="M59" s="77"/>
      <c r="N59" s="77">
        <v>200.0</v>
      </c>
      <c r="O59" s="77">
        <v>362.0</v>
      </c>
      <c r="P59" s="76">
        <f t="shared" si="56"/>
        <v>562</v>
      </c>
      <c r="Q59" s="75">
        <f t="shared" ref="Q59:T59" si="71">SUM(B59,G59,L59)</f>
        <v>5</v>
      </c>
      <c r="R59" s="75">
        <f t="shared" si="71"/>
        <v>512</v>
      </c>
      <c r="S59" s="75">
        <f t="shared" si="71"/>
        <v>2312</v>
      </c>
      <c r="T59" s="75">
        <f t="shared" si="71"/>
        <v>965</v>
      </c>
      <c r="U59" s="91">
        <f t="shared" si="58"/>
        <v>3794</v>
      </c>
      <c r="V59" s="2"/>
    </row>
    <row r="60" ht="15.0" customHeight="1">
      <c r="A60" s="74" t="s">
        <v>17</v>
      </c>
      <c r="B60" s="77">
        <v>250.0</v>
      </c>
      <c r="C60" s="77"/>
      <c r="D60" s="77">
        <v>2225.0</v>
      </c>
      <c r="E60" s="77">
        <v>669.0</v>
      </c>
      <c r="F60" s="76">
        <f t="shared" si="54"/>
        <v>3144</v>
      </c>
      <c r="G60" s="77"/>
      <c r="H60" s="77"/>
      <c r="I60" s="77">
        <v>1769.0</v>
      </c>
      <c r="J60" s="77"/>
      <c r="K60" s="76">
        <f t="shared" si="55"/>
        <v>1769</v>
      </c>
      <c r="L60" s="77"/>
      <c r="M60" s="77"/>
      <c r="N60" s="77"/>
      <c r="O60" s="77">
        <v>126.0</v>
      </c>
      <c r="P60" s="76">
        <f t="shared" si="56"/>
        <v>126</v>
      </c>
      <c r="Q60" s="75">
        <f t="shared" ref="Q60:T60" si="72">SUM(B60,G60,L60)</f>
        <v>250</v>
      </c>
      <c r="R60" s="75">
        <f t="shared" si="72"/>
        <v>0</v>
      </c>
      <c r="S60" s="75">
        <f t="shared" si="72"/>
        <v>3994</v>
      </c>
      <c r="T60" s="75">
        <f t="shared" si="72"/>
        <v>795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563.0</v>
      </c>
      <c r="C61" s="80">
        <v>239.0</v>
      </c>
      <c r="D61" s="80">
        <v>285.0</v>
      </c>
      <c r="E61" s="80"/>
      <c r="F61" s="76">
        <f t="shared" si="54"/>
        <v>1087</v>
      </c>
      <c r="G61" s="77">
        <v>1235.0</v>
      </c>
      <c r="H61" s="77">
        <v>387.0</v>
      </c>
      <c r="I61" s="77">
        <v>573.0</v>
      </c>
      <c r="J61" s="77"/>
      <c r="K61" s="76">
        <f t="shared" si="55"/>
        <v>2195</v>
      </c>
      <c r="L61" s="77"/>
      <c r="M61" s="77"/>
      <c r="N61" s="77"/>
      <c r="O61" s="77">
        <v>10.0</v>
      </c>
      <c r="P61" s="76">
        <f t="shared" si="56"/>
        <v>10</v>
      </c>
      <c r="Q61" s="75">
        <f t="shared" ref="Q61:T61" si="73">SUM(B61,G61,L61)</f>
        <v>1798</v>
      </c>
      <c r="R61" s="75">
        <f t="shared" si="73"/>
        <v>626</v>
      </c>
      <c r="S61" s="75">
        <f t="shared" si="73"/>
        <v>858</v>
      </c>
      <c r="T61" s="75">
        <f t="shared" si="73"/>
        <v>10</v>
      </c>
      <c r="U61" s="78">
        <f t="shared" si="58"/>
        <v>3292</v>
      </c>
      <c r="V61" s="2"/>
    </row>
    <row r="62" ht="15.0" customHeight="1">
      <c r="A62" s="74" t="s">
        <v>97</v>
      </c>
      <c r="B62" s="77">
        <v>72.0</v>
      </c>
      <c r="C62" s="77">
        <v>115.0</v>
      </c>
      <c r="D62" s="77">
        <v>1032.0</v>
      </c>
      <c r="E62" s="77">
        <v>584.0</v>
      </c>
      <c r="F62" s="76">
        <f t="shared" si="54"/>
        <v>1803</v>
      </c>
      <c r="G62" s="77">
        <v>20.0</v>
      </c>
      <c r="H62" s="77">
        <v>58.0</v>
      </c>
      <c r="I62" s="77">
        <v>285.0</v>
      </c>
      <c r="J62" s="77">
        <v>73.0</v>
      </c>
      <c r="K62" s="76">
        <f t="shared" si="55"/>
        <v>436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92</v>
      </c>
      <c r="R62" s="75">
        <f t="shared" si="74"/>
        <v>173</v>
      </c>
      <c r="S62" s="75">
        <f t="shared" si="74"/>
        <v>1317</v>
      </c>
      <c r="T62" s="75">
        <f t="shared" si="74"/>
        <v>657</v>
      </c>
      <c r="U62" s="78">
        <f t="shared" si="58"/>
        <v>2239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889</v>
      </c>
      <c r="C64" s="73">
        <f t="shared" ref="C64:K64" si="76">SUM(C65:C78)</f>
        <v>1455</v>
      </c>
      <c r="D64" s="73">
        <f t="shared" si="76"/>
        <v>524</v>
      </c>
      <c r="E64" s="73">
        <f t="shared" si="76"/>
        <v>0</v>
      </c>
      <c r="F64" s="73">
        <f t="shared" si="76"/>
        <v>2868</v>
      </c>
      <c r="G64" s="73">
        <f t="shared" si="76"/>
        <v>605</v>
      </c>
      <c r="H64" s="73">
        <f t="shared" si="76"/>
        <v>1600</v>
      </c>
      <c r="I64" s="73">
        <f t="shared" si="76"/>
        <v>272</v>
      </c>
      <c r="J64" s="73">
        <f t="shared" si="76"/>
        <v>0</v>
      </c>
      <c r="K64" s="73">
        <f t="shared" si="76"/>
        <v>2477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1552</v>
      </c>
      <c r="R64" s="73">
        <f t="shared" si="77"/>
        <v>3115</v>
      </c>
      <c r="S64" s="73">
        <f t="shared" si="77"/>
        <v>796</v>
      </c>
      <c r="T64" s="73">
        <f t="shared" si="77"/>
        <v>0</v>
      </c>
      <c r="U64" s="73">
        <f t="shared" si="77"/>
        <v>5463</v>
      </c>
      <c r="V64" s="2"/>
    </row>
    <row r="65" ht="15.0" customHeight="1">
      <c r="A65" s="74" t="s">
        <v>100</v>
      </c>
      <c r="B65" s="75">
        <v>50.0</v>
      </c>
      <c r="C65" s="75">
        <v>14.0</v>
      </c>
      <c r="D65" s="75">
        <v>48.0</v>
      </c>
      <c r="E65" s="75"/>
      <c r="F65" s="76">
        <f t="shared" ref="F65:F79" si="79">SUM(B65:E65)</f>
        <v>112</v>
      </c>
      <c r="G65" s="75">
        <v>15.0</v>
      </c>
      <c r="H65" s="75">
        <v>192.0</v>
      </c>
      <c r="I65" s="75">
        <v>9.0</v>
      </c>
      <c r="J65" s="75"/>
      <c r="K65" s="76">
        <f t="shared" ref="K65:K79" si="80">SUM(G65:J65)</f>
        <v>216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65</v>
      </c>
      <c r="R65" s="75">
        <f t="shared" si="78"/>
        <v>206</v>
      </c>
      <c r="S65" s="75">
        <f t="shared" si="78"/>
        <v>57</v>
      </c>
      <c r="T65" s="75">
        <f t="shared" si="78"/>
        <v>0</v>
      </c>
      <c r="U65" s="76">
        <f t="shared" ref="U65:U79" si="83">SUM(Q65:T65)</f>
        <v>328</v>
      </c>
      <c r="V65" s="2"/>
    </row>
    <row r="66" ht="15.0" customHeight="1">
      <c r="A66" s="74" t="s">
        <v>101</v>
      </c>
      <c r="B66" s="77">
        <v>113.0</v>
      </c>
      <c r="C66" s="77">
        <v>341.0</v>
      </c>
      <c r="D66" s="77">
        <v>20.0</v>
      </c>
      <c r="E66" s="77"/>
      <c r="F66" s="76">
        <f t="shared" si="79"/>
        <v>474</v>
      </c>
      <c r="G66" s="77"/>
      <c r="H66" s="77">
        <v>73.0</v>
      </c>
      <c r="I66" s="77">
        <v>8.0</v>
      </c>
      <c r="J66" s="77"/>
      <c r="K66" s="76">
        <f t="shared" si="80"/>
        <v>81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113</v>
      </c>
      <c r="R66" s="75">
        <f t="shared" si="82"/>
        <v>414</v>
      </c>
      <c r="S66" s="75">
        <f t="shared" si="82"/>
        <v>28</v>
      </c>
      <c r="T66" s="75">
        <f t="shared" si="82"/>
        <v>0</v>
      </c>
      <c r="U66" s="76">
        <f t="shared" si="83"/>
        <v>555</v>
      </c>
      <c r="V66" s="2"/>
    </row>
    <row r="67" ht="15.0" customHeight="1">
      <c r="A67" s="74" t="s">
        <v>102</v>
      </c>
      <c r="B67" s="77">
        <v>11.0</v>
      </c>
      <c r="C67" s="77">
        <v>38.0</v>
      </c>
      <c r="D67" s="77">
        <v>12.0</v>
      </c>
      <c r="E67" s="77"/>
      <c r="F67" s="76">
        <f t="shared" si="79"/>
        <v>61</v>
      </c>
      <c r="G67" s="77">
        <v>5.0</v>
      </c>
      <c r="H67" s="77">
        <v>45.0</v>
      </c>
      <c r="I67" s="77">
        <v>3.0</v>
      </c>
      <c r="J67" s="77"/>
      <c r="K67" s="76">
        <f t="shared" si="80"/>
        <v>53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16</v>
      </c>
      <c r="R67" s="75">
        <f t="shared" si="84"/>
        <v>83</v>
      </c>
      <c r="S67" s="75">
        <f t="shared" si="84"/>
        <v>15</v>
      </c>
      <c r="T67" s="75">
        <f t="shared" si="84"/>
        <v>0</v>
      </c>
      <c r="U67" s="76">
        <f t="shared" si="83"/>
        <v>114</v>
      </c>
      <c r="V67" s="2"/>
    </row>
    <row r="68" ht="15.0" customHeight="1">
      <c r="A68" s="74" t="s">
        <v>103</v>
      </c>
      <c r="B68" s="77">
        <v>20.0</v>
      </c>
      <c r="C68" s="77">
        <v>30.0</v>
      </c>
      <c r="D68" s="77">
        <v>11.0</v>
      </c>
      <c r="E68" s="77"/>
      <c r="F68" s="76">
        <f t="shared" si="79"/>
        <v>61</v>
      </c>
      <c r="G68" s="77">
        <v>20.0</v>
      </c>
      <c r="H68" s="77">
        <v>125.0</v>
      </c>
      <c r="I68" s="77"/>
      <c r="J68" s="77"/>
      <c r="K68" s="76">
        <f t="shared" si="80"/>
        <v>145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40</v>
      </c>
      <c r="R68" s="75">
        <f t="shared" si="85"/>
        <v>155</v>
      </c>
      <c r="S68" s="75">
        <f t="shared" si="85"/>
        <v>11</v>
      </c>
      <c r="T68" s="75">
        <f t="shared" si="85"/>
        <v>0</v>
      </c>
      <c r="U68" s="76">
        <f t="shared" si="83"/>
        <v>206</v>
      </c>
      <c r="V68" s="2"/>
    </row>
    <row r="69" ht="15.0" customHeight="1">
      <c r="A69" s="74" t="s">
        <v>59</v>
      </c>
      <c r="B69" s="77">
        <v>108.0</v>
      </c>
      <c r="C69" s="77">
        <v>214.0</v>
      </c>
      <c r="D69" s="77">
        <v>40.0</v>
      </c>
      <c r="E69" s="77"/>
      <c r="F69" s="76">
        <f t="shared" si="79"/>
        <v>362</v>
      </c>
      <c r="G69" s="77">
        <v>153.0</v>
      </c>
      <c r="H69" s="77">
        <v>222.0</v>
      </c>
      <c r="I69" s="77">
        <v>15.0</v>
      </c>
      <c r="J69" s="77"/>
      <c r="K69" s="76">
        <f t="shared" si="80"/>
        <v>390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261</v>
      </c>
      <c r="R69" s="75">
        <f t="shared" si="86"/>
        <v>436</v>
      </c>
      <c r="S69" s="75">
        <f t="shared" si="86"/>
        <v>55</v>
      </c>
      <c r="T69" s="75">
        <f t="shared" si="86"/>
        <v>0</v>
      </c>
      <c r="U69" s="76">
        <f t="shared" si="83"/>
        <v>752</v>
      </c>
      <c r="V69" s="2"/>
    </row>
    <row r="70" ht="15.0" customHeight="1">
      <c r="A70" s="74" t="s">
        <v>104</v>
      </c>
      <c r="B70" s="77">
        <v>112.0</v>
      </c>
      <c r="C70" s="77">
        <v>239.0</v>
      </c>
      <c r="D70" s="77">
        <v>61.0</v>
      </c>
      <c r="E70" s="77"/>
      <c r="F70" s="76">
        <f t="shared" si="79"/>
        <v>412</v>
      </c>
      <c r="G70" s="77">
        <v>15.0</v>
      </c>
      <c r="H70" s="77">
        <v>76.0</v>
      </c>
      <c r="I70" s="77">
        <v>12.0</v>
      </c>
      <c r="J70" s="77"/>
      <c r="K70" s="76">
        <f t="shared" si="80"/>
        <v>103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127</v>
      </c>
      <c r="R70" s="75">
        <f t="shared" si="87"/>
        <v>315</v>
      </c>
      <c r="S70" s="75">
        <f t="shared" si="87"/>
        <v>73</v>
      </c>
      <c r="T70" s="75">
        <f t="shared" si="87"/>
        <v>0</v>
      </c>
      <c r="U70" s="76">
        <f t="shared" si="83"/>
        <v>515</v>
      </c>
      <c r="V70" s="2"/>
    </row>
    <row r="71" ht="15.0" customHeight="1">
      <c r="A71" s="74" t="s">
        <v>105</v>
      </c>
      <c r="B71" s="77">
        <v>159.0</v>
      </c>
      <c r="C71" s="77">
        <v>30.0</v>
      </c>
      <c r="D71" s="77">
        <v>119.0</v>
      </c>
      <c r="E71" s="77"/>
      <c r="F71" s="76">
        <f t="shared" si="79"/>
        <v>308</v>
      </c>
      <c r="G71" s="77">
        <v>140.0</v>
      </c>
      <c r="H71" s="77">
        <v>240.0</v>
      </c>
      <c r="I71" s="77">
        <v>81.0</v>
      </c>
      <c r="J71" s="77"/>
      <c r="K71" s="76">
        <f t="shared" si="80"/>
        <v>461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299</v>
      </c>
      <c r="R71" s="75">
        <f t="shared" si="88"/>
        <v>270</v>
      </c>
      <c r="S71" s="75">
        <f t="shared" si="88"/>
        <v>200</v>
      </c>
      <c r="T71" s="75">
        <f t="shared" si="88"/>
        <v>0</v>
      </c>
      <c r="U71" s="76">
        <f t="shared" si="83"/>
        <v>769</v>
      </c>
      <c r="V71" s="2"/>
    </row>
    <row r="72" ht="15.0" customHeight="1">
      <c r="A72" s="74" t="s">
        <v>106</v>
      </c>
      <c r="B72" s="90">
        <v>20.0</v>
      </c>
      <c r="C72" s="90">
        <v>80.0</v>
      </c>
      <c r="D72" s="90">
        <v>35.0</v>
      </c>
      <c r="E72" s="90"/>
      <c r="F72" s="76">
        <f t="shared" si="79"/>
        <v>135</v>
      </c>
      <c r="G72" s="90">
        <v>68.0</v>
      </c>
      <c r="H72" s="90">
        <v>9.0</v>
      </c>
      <c r="I72" s="90">
        <v>8.0</v>
      </c>
      <c r="J72" s="90"/>
      <c r="K72" s="76">
        <f t="shared" si="80"/>
        <v>85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88</v>
      </c>
      <c r="R72" s="75">
        <f t="shared" si="89"/>
        <v>89</v>
      </c>
      <c r="S72" s="75">
        <f t="shared" si="89"/>
        <v>43</v>
      </c>
      <c r="T72" s="75">
        <f t="shared" si="89"/>
        <v>0</v>
      </c>
      <c r="U72" s="76">
        <f t="shared" si="83"/>
        <v>220</v>
      </c>
      <c r="V72" s="2"/>
    </row>
    <row r="73" ht="15.0" customHeight="1">
      <c r="A73" s="74" t="s">
        <v>107</v>
      </c>
      <c r="B73" s="77">
        <v>58.0</v>
      </c>
      <c r="C73" s="77">
        <v>40.0</v>
      </c>
      <c r="D73" s="77">
        <v>10.0</v>
      </c>
      <c r="E73" s="77"/>
      <c r="F73" s="76">
        <f t="shared" si="79"/>
        <v>108</v>
      </c>
      <c r="G73" s="77">
        <v>20.0</v>
      </c>
      <c r="H73" s="77">
        <v>30.0</v>
      </c>
      <c r="I73" s="77"/>
      <c r="J73" s="77"/>
      <c r="K73" s="76">
        <f t="shared" si="80"/>
        <v>50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78</v>
      </c>
      <c r="R73" s="75">
        <f t="shared" si="90"/>
        <v>70</v>
      </c>
      <c r="S73" s="75">
        <f t="shared" si="90"/>
        <v>10</v>
      </c>
      <c r="T73" s="75">
        <f t="shared" si="90"/>
        <v>0</v>
      </c>
      <c r="U73" s="76">
        <f t="shared" si="83"/>
        <v>158</v>
      </c>
      <c r="V73" s="2"/>
    </row>
    <row r="74" ht="15.0" customHeight="1">
      <c r="A74" s="74" t="s">
        <v>108</v>
      </c>
      <c r="B74" s="77">
        <v>88.0</v>
      </c>
      <c r="C74" s="77">
        <v>131.0</v>
      </c>
      <c r="D74" s="77">
        <v>76.0</v>
      </c>
      <c r="E74" s="77"/>
      <c r="F74" s="76">
        <f t="shared" si="79"/>
        <v>295</v>
      </c>
      <c r="G74" s="77">
        <v>97.0</v>
      </c>
      <c r="H74" s="77">
        <v>104.0</v>
      </c>
      <c r="I74" s="77">
        <v>79.0</v>
      </c>
      <c r="J74" s="77"/>
      <c r="K74" s="76">
        <f t="shared" si="80"/>
        <v>280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185</v>
      </c>
      <c r="R74" s="75">
        <f t="shared" si="91"/>
        <v>235</v>
      </c>
      <c r="S74" s="75">
        <f t="shared" si="91"/>
        <v>155</v>
      </c>
      <c r="T74" s="75">
        <f t="shared" si="91"/>
        <v>0</v>
      </c>
      <c r="U74" s="76">
        <f t="shared" si="83"/>
        <v>575</v>
      </c>
      <c r="V74" s="2"/>
    </row>
    <row r="75" ht="15.0" customHeight="1">
      <c r="A75" s="74" t="s">
        <v>109</v>
      </c>
      <c r="B75" s="77">
        <v>115.0</v>
      </c>
      <c r="C75" s="77">
        <v>257.0</v>
      </c>
      <c r="D75" s="77">
        <v>53.0</v>
      </c>
      <c r="E75" s="77"/>
      <c r="F75" s="76">
        <f t="shared" si="79"/>
        <v>425</v>
      </c>
      <c r="G75" s="77"/>
      <c r="H75" s="77">
        <v>16.0</v>
      </c>
      <c r="I75" s="77">
        <v>2.0</v>
      </c>
      <c r="J75" s="77"/>
      <c r="K75" s="76">
        <f t="shared" si="80"/>
        <v>18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115</v>
      </c>
      <c r="R75" s="75">
        <f t="shared" si="92"/>
        <v>273</v>
      </c>
      <c r="S75" s="75">
        <f t="shared" si="92"/>
        <v>55</v>
      </c>
      <c r="T75" s="75">
        <f t="shared" si="92"/>
        <v>0</v>
      </c>
      <c r="U75" s="76">
        <f t="shared" si="83"/>
        <v>443</v>
      </c>
      <c r="V75" s="2"/>
    </row>
    <row r="76" ht="15.0" customHeight="1">
      <c r="A76" s="74" t="s">
        <v>65</v>
      </c>
      <c r="B76" s="77">
        <v>6.0</v>
      </c>
      <c r="C76" s="77">
        <v>2.0</v>
      </c>
      <c r="D76" s="77">
        <v>12.0</v>
      </c>
      <c r="E76" s="77"/>
      <c r="F76" s="76">
        <f t="shared" si="79"/>
        <v>20</v>
      </c>
      <c r="G76" s="77">
        <v>8.0</v>
      </c>
      <c r="H76" s="77">
        <v>20.0</v>
      </c>
      <c r="I76" s="77"/>
      <c r="J76" s="77"/>
      <c r="K76" s="76">
        <f t="shared" si="80"/>
        <v>28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14</v>
      </c>
      <c r="R76" s="75">
        <f t="shared" si="93"/>
        <v>22</v>
      </c>
      <c r="S76" s="75">
        <f t="shared" si="93"/>
        <v>12</v>
      </c>
      <c r="T76" s="75">
        <f t="shared" si="93"/>
        <v>0</v>
      </c>
      <c r="U76" s="76">
        <f t="shared" si="83"/>
        <v>48</v>
      </c>
      <c r="V76" s="2"/>
    </row>
    <row r="77" ht="15.0" customHeight="1">
      <c r="A77" s="74" t="s">
        <v>110</v>
      </c>
      <c r="B77" s="77">
        <v>27.0</v>
      </c>
      <c r="C77" s="77"/>
      <c r="D77" s="77">
        <v>20.0</v>
      </c>
      <c r="E77" s="77"/>
      <c r="F77" s="76">
        <f t="shared" si="79"/>
        <v>47</v>
      </c>
      <c r="G77" s="77">
        <v>52.0</v>
      </c>
      <c r="H77" s="77">
        <v>408.0</v>
      </c>
      <c r="I77" s="77">
        <v>55.0</v>
      </c>
      <c r="J77" s="77"/>
      <c r="K77" s="76">
        <f t="shared" si="80"/>
        <v>515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79</v>
      </c>
      <c r="R77" s="75">
        <f t="shared" si="94"/>
        <v>408</v>
      </c>
      <c r="S77" s="75">
        <f t="shared" si="94"/>
        <v>75</v>
      </c>
      <c r="T77" s="75">
        <f t="shared" si="94"/>
        <v>0</v>
      </c>
      <c r="U77" s="76">
        <f t="shared" si="83"/>
        <v>562</v>
      </c>
      <c r="V77" s="2"/>
    </row>
    <row r="78" ht="15.0" customHeight="1">
      <c r="A78" s="74" t="s">
        <v>111</v>
      </c>
      <c r="B78" s="77">
        <v>2.0</v>
      </c>
      <c r="C78" s="77">
        <v>39.0</v>
      </c>
      <c r="D78" s="77">
        <v>7.0</v>
      </c>
      <c r="E78" s="77"/>
      <c r="F78" s="76">
        <f t="shared" si="79"/>
        <v>48</v>
      </c>
      <c r="G78" s="77">
        <v>12.0</v>
      </c>
      <c r="H78" s="77">
        <v>40.0</v>
      </c>
      <c r="I78" s="77"/>
      <c r="J78" s="77"/>
      <c r="K78" s="76">
        <f t="shared" si="80"/>
        <v>52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14</v>
      </c>
      <c r="R78" s="75">
        <f t="shared" si="95"/>
        <v>79</v>
      </c>
      <c r="S78" s="75">
        <f t="shared" si="95"/>
        <v>7</v>
      </c>
      <c r="T78" s="75">
        <f t="shared" si="95"/>
        <v>0</v>
      </c>
      <c r="U78" s="76">
        <f t="shared" si="83"/>
        <v>100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>
        <v>58.0</v>
      </c>
      <c r="H79" s="77">
        <v>60.0</v>
      </c>
      <c r="I79" s="77"/>
      <c r="J79" s="77"/>
      <c r="K79" s="76">
        <f t="shared" si="80"/>
        <v>118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58</v>
      </c>
      <c r="R79" s="75">
        <f t="shared" si="96"/>
        <v>60</v>
      </c>
      <c r="S79" s="75">
        <f t="shared" si="96"/>
        <v>0</v>
      </c>
      <c r="T79" s="75">
        <f t="shared" si="96"/>
        <v>0</v>
      </c>
      <c r="U79" s="76">
        <f t="shared" si="83"/>
        <v>118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11044</v>
      </c>
      <c r="C9" s="70">
        <f t="shared" si="1"/>
        <v>44403</v>
      </c>
      <c r="D9" s="70">
        <f t="shared" si="1"/>
        <v>46189</v>
      </c>
      <c r="E9" s="70">
        <f t="shared" si="1"/>
        <v>13676</v>
      </c>
      <c r="F9" s="71">
        <f t="shared" si="1"/>
        <v>115312</v>
      </c>
      <c r="G9" s="70">
        <f t="shared" si="1"/>
        <v>10489</v>
      </c>
      <c r="H9" s="70">
        <f t="shared" si="1"/>
        <v>24358</v>
      </c>
      <c r="I9" s="70">
        <f t="shared" si="1"/>
        <v>17958</v>
      </c>
      <c r="J9" s="70">
        <f t="shared" si="1"/>
        <v>3084</v>
      </c>
      <c r="K9" s="71">
        <f t="shared" si="1"/>
        <v>55889</v>
      </c>
      <c r="L9" s="70">
        <f t="shared" si="1"/>
        <v>590</v>
      </c>
      <c r="M9" s="70">
        <f t="shared" si="1"/>
        <v>1511</v>
      </c>
      <c r="N9" s="70">
        <f t="shared" si="1"/>
        <v>1769</v>
      </c>
      <c r="O9" s="70">
        <f t="shared" si="1"/>
        <v>1599</v>
      </c>
      <c r="P9" s="71">
        <f t="shared" si="1"/>
        <v>5469</v>
      </c>
      <c r="Q9" s="70">
        <f t="shared" si="1"/>
        <v>22181</v>
      </c>
      <c r="R9" s="70">
        <f t="shared" si="1"/>
        <v>70332</v>
      </c>
      <c r="S9" s="70">
        <f t="shared" si="1"/>
        <v>66159</v>
      </c>
      <c r="T9" s="70">
        <f t="shared" si="1"/>
        <v>18359</v>
      </c>
      <c r="U9" s="71">
        <f t="shared" si="1"/>
        <v>177031</v>
      </c>
      <c r="V9" s="2"/>
    </row>
    <row r="10" ht="15.75" customHeight="1">
      <c r="A10" s="72" t="s">
        <v>49</v>
      </c>
      <c r="B10" s="73">
        <f t="shared" ref="B10:U10" si="2">SUM(B11:B16)</f>
        <v>88</v>
      </c>
      <c r="C10" s="73">
        <f t="shared" si="2"/>
        <v>630</v>
      </c>
      <c r="D10" s="73">
        <f t="shared" si="2"/>
        <v>412</v>
      </c>
      <c r="E10" s="73">
        <f t="shared" si="2"/>
        <v>10</v>
      </c>
      <c r="F10" s="73">
        <f t="shared" si="2"/>
        <v>1140</v>
      </c>
      <c r="G10" s="73">
        <f t="shared" si="2"/>
        <v>118</v>
      </c>
      <c r="H10" s="73">
        <f t="shared" si="2"/>
        <v>581</v>
      </c>
      <c r="I10" s="73">
        <f t="shared" si="2"/>
        <v>123</v>
      </c>
      <c r="J10" s="73">
        <f t="shared" si="2"/>
        <v>72</v>
      </c>
      <c r="K10" s="73">
        <f t="shared" si="2"/>
        <v>894</v>
      </c>
      <c r="L10" s="73">
        <f t="shared" si="2"/>
        <v>0</v>
      </c>
      <c r="M10" s="73">
        <f t="shared" si="2"/>
        <v>3</v>
      </c>
      <c r="N10" s="73">
        <f t="shared" si="2"/>
        <v>126</v>
      </c>
      <c r="O10" s="73">
        <f t="shared" si="2"/>
        <v>0</v>
      </c>
      <c r="P10" s="73">
        <f t="shared" si="2"/>
        <v>129</v>
      </c>
      <c r="Q10" s="73">
        <f t="shared" si="2"/>
        <v>206</v>
      </c>
      <c r="R10" s="73">
        <f t="shared" si="2"/>
        <v>1214</v>
      </c>
      <c r="S10" s="73">
        <f t="shared" si="2"/>
        <v>661</v>
      </c>
      <c r="T10" s="73">
        <f t="shared" si="2"/>
        <v>82</v>
      </c>
      <c r="U10" s="73">
        <f t="shared" si="2"/>
        <v>2163</v>
      </c>
      <c r="V10" s="2" t="s">
        <v>114</v>
      </c>
    </row>
    <row r="11" ht="15.0" customHeight="1">
      <c r="A11" s="74" t="s">
        <v>50</v>
      </c>
      <c r="B11" s="75">
        <v>16.0</v>
      </c>
      <c r="C11" s="75">
        <v>107.0</v>
      </c>
      <c r="D11" s="75">
        <v>167.0</v>
      </c>
      <c r="E11" s="75"/>
      <c r="F11" s="76">
        <f t="shared" ref="F11:F16" si="4">SUM(B11:E11)</f>
        <v>290</v>
      </c>
      <c r="G11" s="75">
        <v>69.0</v>
      </c>
      <c r="H11" s="75">
        <v>130.0</v>
      </c>
      <c r="I11" s="75">
        <v>21.0</v>
      </c>
      <c r="J11" s="75"/>
      <c r="K11" s="76">
        <f t="shared" ref="K11:K16" si="5">SUM(G11:J11)</f>
        <v>220</v>
      </c>
      <c r="L11" s="75"/>
      <c r="M11" s="75"/>
      <c r="N11" s="75">
        <v>75.0</v>
      </c>
      <c r="O11" s="75"/>
      <c r="P11" s="76">
        <f t="shared" ref="P11:P16" si="6">SUM(L11:O11)</f>
        <v>75</v>
      </c>
      <c r="Q11" s="75">
        <f t="shared" ref="Q11:T11" si="3">SUM(B11,G11,L11)</f>
        <v>85</v>
      </c>
      <c r="R11" s="75">
        <f t="shared" si="3"/>
        <v>237</v>
      </c>
      <c r="S11" s="75">
        <f t="shared" si="3"/>
        <v>263</v>
      </c>
      <c r="T11" s="75">
        <f t="shared" si="3"/>
        <v>0</v>
      </c>
      <c r="U11" s="76">
        <f t="shared" ref="U11:U16" si="8">SUM(Q11:T11)</f>
        <v>585</v>
      </c>
      <c r="V11" s="2"/>
    </row>
    <row r="12" ht="15.0" customHeight="1">
      <c r="A12" s="74" t="s">
        <v>51</v>
      </c>
      <c r="B12" s="77">
        <v>10.0</v>
      </c>
      <c r="C12" s="77">
        <v>25.0</v>
      </c>
      <c r="D12" s="77">
        <v>5.0</v>
      </c>
      <c r="E12" s="77">
        <v>7.0</v>
      </c>
      <c r="F12" s="78">
        <f t="shared" si="4"/>
        <v>47</v>
      </c>
      <c r="G12" s="77">
        <v>13.0</v>
      </c>
      <c r="H12" s="77">
        <v>2.0</v>
      </c>
      <c r="I12" s="77"/>
      <c r="J12" s="77"/>
      <c r="K12" s="78">
        <f t="shared" si="5"/>
        <v>15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23</v>
      </c>
      <c r="R12" s="77">
        <f t="shared" si="7"/>
        <v>27</v>
      </c>
      <c r="S12" s="77">
        <f t="shared" si="7"/>
        <v>5</v>
      </c>
      <c r="T12" s="77">
        <f t="shared" si="7"/>
        <v>7</v>
      </c>
      <c r="U12" s="78">
        <f t="shared" si="8"/>
        <v>62</v>
      </c>
      <c r="V12" s="2"/>
    </row>
    <row r="13" ht="15.0" customHeight="1">
      <c r="A13" s="74" t="s">
        <v>52</v>
      </c>
      <c r="B13" s="77">
        <v>9.0</v>
      </c>
      <c r="C13" s="77">
        <v>50.0</v>
      </c>
      <c r="D13" s="77">
        <v>23.0</v>
      </c>
      <c r="E13" s="77">
        <v>3.0</v>
      </c>
      <c r="F13" s="78">
        <f t="shared" si="4"/>
        <v>85</v>
      </c>
      <c r="G13" s="77">
        <v>35.0</v>
      </c>
      <c r="H13" s="77">
        <v>29.0</v>
      </c>
      <c r="I13" s="77">
        <v>6.0</v>
      </c>
      <c r="J13" s="77">
        <v>2.0</v>
      </c>
      <c r="K13" s="78">
        <f t="shared" si="5"/>
        <v>72</v>
      </c>
      <c r="L13" s="77"/>
      <c r="M13" s="77">
        <v>3.0</v>
      </c>
      <c r="N13" s="77">
        <v>26.0</v>
      </c>
      <c r="O13" s="77"/>
      <c r="P13" s="78">
        <f t="shared" si="6"/>
        <v>29</v>
      </c>
      <c r="Q13" s="77">
        <f t="shared" ref="Q13:T13" si="9">SUM(B13,G13,L13)</f>
        <v>44</v>
      </c>
      <c r="R13" s="77">
        <f t="shared" si="9"/>
        <v>82</v>
      </c>
      <c r="S13" s="77">
        <f t="shared" si="9"/>
        <v>55</v>
      </c>
      <c r="T13" s="77">
        <f t="shared" si="9"/>
        <v>5</v>
      </c>
      <c r="U13" s="78">
        <f t="shared" si="8"/>
        <v>186</v>
      </c>
      <c r="V13" s="2"/>
    </row>
    <row r="14" ht="15.0" customHeight="1">
      <c r="A14" s="74" t="s">
        <v>53</v>
      </c>
      <c r="B14" s="77"/>
      <c r="C14" s="77">
        <v>206.0</v>
      </c>
      <c r="D14" s="77"/>
      <c r="E14" s="77"/>
      <c r="F14" s="78">
        <f t="shared" si="4"/>
        <v>206</v>
      </c>
      <c r="G14" s="77"/>
      <c r="H14" s="77">
        <v>186.0</v>
      </c>
      <c r="I14" s="77"/>
      <c r="J14" s="77"/>
      <c r="K14" s="78">
        <f t="shared" si="5"/>
        <v>186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392</v>
      </c>
      <c r="S14" s="77">
        <f t="shared" si="10"/>
        <v>0</v>
      </c>
      <c r="T14" s="77">
        <f t="shared" si="10"/>
        <v>0</v>
      </c>
      <c r="U14" s="78">
        <f t="shared" si="8"/>
        <v>392</v>
      </c>
      <c r="V14" s="2"/>
    </row>
    <row r="15" ht="15.0" customHeight="1">
      <c r="A15" s="74" t="s">
        <v>54</v>
      </c>
      <c r="B15" s="77">
        <v>53.0</v>
      </c>
      <c r="C15" s="77">
        <v>137.0</v>
      </c>
      <c r="D15" s="77">
        <v>201.0</v>
      </c>
      <c r="E15" s="77"/>
      <c r="F15" s="78">
        <f t="shared" si="4"/>
        <v>391</v>
      </c>
      <c r="G15" s="77"/>
      <c r="H15" s="77"/>
      <c r="I15" s="77">
        <v>33.0</v>
      </c>
      <c r="J15" s="77">
        <v>70.0</v>
      </c>
      <c r="K15" s="78">
        <f t="shared" si="5"/>
        <v>103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53</v>
      </c>
      <c r="R15" s="77">
        <f t="shared" si="11"/>
        <v>137</v>
      </c>
      <c r="S15" s="77">
        <f t="shared" si="11"/>
        <v>234</v>
      </c>
      <c r="T15" s="77">
        <f t="shared" si="11"/>
        <v>70</v>
      </c>
      <c r="U15" s="78">
        <f t="shared" si="8"/>
        <v>494</v>
      </c>
      <c r="V15" s="2"/>
    </row>
    <row r="16" ht="15.75" customHeight="1">
      <c r="A16" s="74" t="s">
        <v>55</v>
      </c>
      <c r="B16" s="77"/>
      <c r="C16" s="77">
        <v>105.0</v>
      </c>
      <c r="D16" s="77">
        <v>16.0</v>
      </c>
      <c r="E16" s="77"/>
      <c r="F16" s="78">
        <f t="shared" si="4"/>
        <v>121</v>
      </c>
      <c r="G16" s="77">
        <v>1.0</v>
      </c>
      <c r="H16" s="77">
        <v>234.0</v>
      </c>
      <c r="I16" s="77">
        <v>63.0</v>
      </c>
      <c r="J16" s="77"/>
      <c r="K16" s="78">
        <f t="shared" si="5"/>
        <v>298</v>
      </c>
      <c r="L16" s="77"/>
      <c r="M16" s="77"/>
      <c r="N16" s="77">
        <v>25.0</v>
      </c>
      <c r="O16" s="77"/>
      <c r="P16" s="78">
        <f t="shared" si="6"/>
        <v>25</v>
      </c>
      <c r="Q16" s="77">
        <f t="shared" ref="Q16:T16" si="12">SUM(B16,G16,L16)</f>
        <v>1</v>
      </c>
      <c r="R16" s="77">
        <f t="shared" si="12"/>
        <v>339</v>
      </c>
      <c r="S16" s="77">
        <f t="shared" si="12"/>
        <v>104</v>
      </c>
      <c r="T16" s="77">
        <f t="shared" si="12"/>
        <v>0</v>
      </c>
      <c r="U16" s="78">
        <f t="shared" si="8"/>
        <v>444</v>
      </c>
      <c r="V16" s="2"/>
    </row>
    <row r="17" ht="15.75" customHeight="1">
      <c r="A17" s="72" t="s">
        <v>56</v>
      </c>
      <c r="B17" s="73">
        <f t="shared" ref="B17:Q17" si="13">SUM(B18:B28)</f>
        <v>2595</v>
      </c>
      <c r="C17" s="73">
        <f t="shared" si="13"/>
        <v>15641</v>
      </c>
      <c r="D17" s="73">
        <f t="shared" si="13"/>
        <v>14501</v>
      </c>
      <c r="E17" s="73">
        <f t="shared" si="13"/>
        <v>3510</v>
      </c>
      <c r="F17" s="73">
        <f t="shared" si="13"/>
        <v>36247</v>
      </c>
      <c r="G17" s="73">
        <f t="shared" si="13"/>
        <v>4008</v>
      </c>
      <c r="H17" s="73">
        <f t="shared" si="13"/>
        <v>16640</v>
      </c>
      <c r="I17" s="73">
        <f t="shared" si="13"/>
        <v>9751</v>
      </c>
      <c r="J17" s="73">
        <f t="shared" si="13"/>
        <v>1407</v>
      </c>
      <c r="K17" s="73">
        <f t="shared" si="13"/>
        <v>31806</v>
      </c>
      <c r="L17" s="73">
        <f t="shared" si="13"/>
        <v>295</v>
      </c>
      <c r="M17" s="73">
        <f t="shared" si="13"/>
        <v>1229</v>
      </c>
      <c r="N17" s="73">
        <f t="shared" si="13"/>
        <v>1044</v>
      </c>
      <c r="O17" s="73">
        <f t="shared" si="13"/>
        <v>80</v>
      </c>
      <c r="P17" s="73">
        <f t="shared" si="13"/>
        <v>2648</v>
      </c>
      <c r="Q17" s="73">
        <f t="shared" si="13"/>
        <v>6898</v>
      </c>
      <c r="R17" s="73">
        <f>R18+R19+R20+R21+R22+R23+R24+R25+R26+R27+R28</f>
        <v>33510</v>
      </c>
      <c r="S17" s="73">
        <f t="shared" ref="S17:U17" si="14">SUM(S18:S28)</f>
        <v>25296</v>
      </c>
      <c r="T17" s="73">
        <f t="shared" si="14"/>
        <v>4997</v>
      </c>
      <c r="U17" s="73">
        <f t="shared" si="14"/>
        <v>70701</v>
      </c>
      <c r="V17" s="2" t="s">
        <v>114</v>
      </c>
    </row>
    <row r="18" ht="15.0" customHeight="1">
      <c r="A18" s="74" t="s">
        <v>57</v>
      </c>
      <c r="B18" s="75">
        <v>111.0</v>
      </c>
      <c r="C18" s="75">
        <v>582.0</v>
      </c>
      <c r="D18" s="75">
        <v>393.0</v>
      </c>
      <c r="E18" s="75"/>
      <c r="F18" s="76">
        <f t="shared" ref="F18:F28" si="16">SUM(B18:E18)</f>
        <v>1086</v>
      </c>
      <c r="G18" s="75">
        <v>206.0</v>
      </c>
      <c r="H18" s="75">
        <v>823.0</v>
      </c>
      <c r="I18" s="75">
        <v>197.0</v>
      </c>
      <c r="J18" s="75"/>
      <c r="K18" s="76">
        <f t="shared" ref="K18:K28" si="17">SUM(G18:J18)</f>
        <v>1226</v>
      </c>
      <c r="L18" s="75"/>
      <c r="M18" s="75">
        <v>99.0</v>
      </c>
      <c r="N18" s="75"/>
      <c r="O18" s="75"/>
      <c r="P18" s="76">
        <f t="shared" ref="P18:P28" si="18">SUM(L18:O18)</f>
        <v>99</v>
      </c>
      <c r="Q18" s="75">
        <f t="shared" ref="Q18:T18" si="15">B18+G18+L18</f>
        <v>317</v>
      </c>
      <c r="R18" s="75">
        <f t="shared" si="15"/>
        <v>1504</v>
      </c>
      <c r="S18" s="75">
        <f t="shared" si="15"/>
        <v>590</v>
      </c>
      <c r="T18" s="75">
        <f t="shared" si="15"/>
        <v>0</v>
      </c>
      <c r="U18" s="76">
        <f t="shared" ref="U18:U28" si="20">SUM(Q18:T18)</f>
        <v>2411</v>
      </c>
      <c r="V18" s="2"/>
    </row>
    <row r="19" ht="15.0" customHeight="1">
      <c r="A19" s="74" t="s">
        <v>58</v>
      </c>
      <c r="B19" s="77">
        <v>170.0</v>
      </c>
      <c r="C19" s="77">
        <v>1587.0</v>
      </c>
      <c r="D19" s="75">
        <v>2124.0</v>
      </c>
      <c r="E19" s="75">
        <v>325.0</v>
      </c>
      <c r="F19" s="76">
        <f t="shared" si="16"/>
        <v>4206</v>
      </c>
      <c r="G19" s="77">
        <v>759.0</v>
      </c>
      <c r="H19" s="77">
        <v>1160.0</v>
      </c>
      <c r="I19" s="77"/>
      <c r="J19" s="77"/>
      <c r="K19" s="76">
        <f t="shared" si="17"/>
        <v>1919</v>
      </c>
      <c r="L19" s="77"/>
      <c r="M19" s="77"/>
      <c r="N19" s="77">
        <v>299.0</v>
      </c>
      <c r="O19" s="77"/>
      <c r="P19" s="76">
        <f t="shared" si="18"/>
        <v>299</v>
      </c>
      <c r="Q19" s="75">
        <f t="shared" ref="Q19:T19" si="19">B19+G19+L19</f>
        <v>929</v>
      </c>
      <c r="R19" s="75">
        <f t="shared" si="19"/>
        <v>2747</v>
      </c>
      <c r="S19" s="75">
        <f t="shared" si="19"/>
        <v>2423</v>
      </c>
      <c r="T19" s="75">
        <f t="shared" si="19"/>
        <v>325</v>
      </c>
      <c r="U19" s="78">
        <f t="shared" si="20"/>
        <v>6424</v>
      </c>
      <c r="V19" s="2"/>
    </row>
    <row r="20" ht="15.0" customHeight="1">
      <c r="A20" s="74" t="s">
        <v>59</v>
      </c>
      <c r="B20" s="77">
        <v>90.0</v>
      </c>
      <c r="C20" s="77">
        <v>102.0</v>
      </c>
      <c r="D20" s="77"/>
      <c r="E20" s="77"/>
      <c r="F20" s="76">
        <f t="shared" si="16"/>
        <v>192</v>
      </c>
      <c r="G20" s="77">
        <v>299.0</v>
      </c>
      <c r="H20" s="77">
        <v>8.0</v>
      </c>
      <c r="I20" s="77"/>
      <c r="J20" s="77"/>
      <c r="K20" s="76">
        <f t="shared" si="17"/>
        <v>307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389</v>
      </c>
      <c r="R20" s="75">
        <f t="shared" si="21"/>
        <v>110</v>
      </c>
      <c r="S20" s="75">
        <f t="shared" si="21"/>
        <v>0</v>
      </c>
      <c r="T20" s="75">
        <f t="shared" si="21"/>
        <v>0</v>
      </c>
      <c r="U20" s="78">
        <f t="shared" si="20"/>
        <v>499</v>
      </c>
      <c r="V20" s="2"/>
    </row>
    <row r="21" ht="15.0" customHeight="1">
      <c r="A21" s="74" t="s">
        <v>60</v>
      </c>
      <c r="B21" s="77"/>
      <c r="C21" s="77">
        <v>741.0</v>
      </c>
      <c r="D21" s="77">
        <v>192.0</v>
      </c>
      <c r="E21" s="77">
        <v>185.0</v>
      </c>
      <c r="F21" s="76">
        <f t="shared" si="16"/>
        <v>1118</v>
      </c>
      <c r="G21" s="77"/>
      <c r="H21" s="77">
        <v>196.0</v>
      </c>
      <c r="I21" s="77">
        <v>38.0</v>
      </c>
      <c r="J21" s="77"/>
      <c r="K21" s="76">
        <f t="shared" si="17"/>
        <v>234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937</v>
      </c>
      <c r="S21" s="75">
        <f t="shared" si="22"/>
        <v>230</v>
      </c>
      <c r="T21" s="75">
        <f t="shared" si="22"/>
        <v>185</v>
      </c>
      <c r="U21" s="78">
        <f t="shared" si="20"/>
        <v>1352</v>
      </c>
      <c r="V21" s="2"/>
    </row>
    <row r="22" ht="15.0" customHeight="1">
      <c r="A22" s="74" t="s">
        <v>61</v>
      </c>
      <c r="B22" s="77"/>
      <c r="C22" s="77">
        <v>1799.0</v>
      </c>
      <c r="D22" s="77">
        <v>953.0</v>
      </c>
      <c r="E22" s="77"/>
      <c r="F22" s="76">
        <f t="shared" si="16"/>
        <v>2752</v>
      </c>
      <c r="G22" s="77"/>
      <c r="H22" s="77">
        <v>4204.0</v>
      </c>
      <c r="I22" s="77">
        <v>207.0</v>
      </c>
      <c r="J22" s="77"/>
      <c r="K22" s="76">
        <f t="shared" si="17"/>
        <v>4411</v>
      </c>
      <c r="L22" s="77"/>
      <c r="M22" s="77">
        <v>322.0</v>
      </c>
      <c r="N22" s="77">
        <v>10.0</v>
      </c>
      <c r="O22" s="77"/>
      <c r="P22" s="76">
        <f t="shared" si="18"/>
        <v>332</v>
      </c>
      <c r="Q22" s="75">
        <f t="shared" ref="Q22:T22" si="23">B22+G22+L22</f>
        <v>0</v>
      </c>
      <c r="R22" s="75">
        <f t="shared" si="23"/>
        <v>6325</v>
      </c>
      <c r="S22" s="75">
        <f t="shared" si="23"/>
        <v>1170</v>
      </c>
      <c r="T22" s="75">
        <f t="shared" si="23"/>
        <v>0</v>
      </c>
      <c r="U22" s="78">
        <f t="shared" si="20"/>
        <v>7495</v>
      </c>
      <c r="V22" s="2"/>
    </row>
    <row r="23" ht="15.0" customHeight="1">
      <c r="A23" s="74" t="s">
        <v>62</v>
      </c>
      <c r="B23" s="77">
        <v>250.0</v>
      </c>
      <c r="C23" s="77">
        <v>672.0</v>
      </c>
      <c r="D23" s="77">
        <v>524.0</v>
      </c>
      <c r="E23" s="77"/>
      <c r="F23" s="76">
        <f t="shared" si="16"/>
        <v>1446</v>
      </c>
      <c r="G23" s="77">
        <v>93.0</v>
      </c>
      <c r="H23" s="77">
        <v>359.0</v>
      </c>
      <c r="I23" s="77">
        <v>476.0</v>
      </c>
      <c r="J23" s="77"/>
      <c r="K23" s="76">
        <f t="shared" si="17"/>
        <v>928</v>
      </c>
      <c r="L23" s="77">
        <v>275.0</v>
      </c>
      <c r="M23" s="77">
        <v>4.0</v>
      </c>
      <c r="N23" s="77">
        <v>59.0</v>
      </c>
      <c r="O23" s="77"/>
      <c r="P23" s="76">
        <f t="shared" si="18"/>
        <v>338</v>
      </c>
      <c r="Q23" s="75">
        <f t="shared" ref="Q23:T23" si="24">B23+G23+L23</f>
        <v>618</v>
      </c>
      <c r="R23" s="75">
        <f t="shared" si="24"/>
        <v>1035</v>
      </c>
      <c r="S23" s="75">
        <f t="shared" si="24"/>
        <v>1059</v>
      </c>
      <c r="T23" s="75">
        <f t="shared" si="24"/>
        <v>0</v>
      </c>
      <c r="U23" s="78">
        <f t="shared" si="20"/>
        <v>2712</v>
      </c>
      <c r="V23" s="2"/>
    </row>
    <row r="24" ht="15.0" customHeight="1">
      <c r="A24" s="74" t="s">
        <v>63</v>
      </c>
      <c r="B24" s="79">
        <v>1572.0</v>
      </c>
      <c r="C24" s="79">
        <v>146.0</v>
      </c>
      <c r="D24" s="77"/>
      <c r="E24" s="77"/>
      <c r="F24" s="76">
        <f t="shared" si="16"/>
        <v>1718</v>
      </c>
      <c r="G24" s="77">
        <v>486.0</v>
      </c>
      <c r="H24" s="77">
        <v>998.0</v>
      </c>
      <c r="I24" s="77"/>
      <c r="J24" s="77"/>
      <c r="K24" s="76">
        <f t="shared" si="17"/>
        <v>1484</v>
      </c>
      <c r="L24" s="77"/>
      <c r="M24" s="77">
        <v>275.0</v>
      </c>
      <c r="N24" s="77"/>
      <c r="O24" s="77"/>
      <c r="P24" s="76">
        <f t="shared" si="18"/>
        <v>275</v>
      </c>
      <c r="Q24" s="75">
        <f t="shared" ref="Q24:T24" si="25">B24+G24+L24</f>
        <v>2058</v>
      </c>
      <c r="R24" s="75">
        <f t="shared" si="25"/>
        <v>1419</v>
      </c>
      <c r="S24" s="75">
        <f t="shared" si="25"/>
        <v>0</v>
      </c>
      <c r="T24" s="75">
        <f t="shared" si="25"/>
        <v>0</v>
      </c>
      <c r="U24" s="78">
        <f t="shared" si="20"/>
        <v>3477</v>
      </c>
      <c r="V24" s="2"/>
    </row>
    <row r="25" ht="15.0" customHeight="1">
      <c r="A25" s="74" t="s">
        <v>17</v>
      </c>
      <c r="B25" s="75">
        <v>262.0</v>
      </c>
      <c r="C25" s="75">
        <v>3627.0</v>
      </c>
      <c r="D25" s="77">
        <v>2182.0</v>
      </c>
      <c r="E25" s="77">
        <v>30.0</v>
      </c>
      <c r="F25" s="76">
        <f t="shared" si="16"/>
        <v>6101</v>
      </c>
      <c r="G25" s="75">
        <v>326.0</v>
      </c>
      <c r="H25" s="75">
        <v>759.0</v>
      </c>
      <c r="I25" s="75">
        <v>849.0</v>
      </c>
      <c r="J25" s="75">
        <v>5.0</v>
      </c>
      <c r="K25" s="76">
        <f t="shared" si="17"/>
        <v>1939</v>
      </c>
      <c r="L25" s="75">
        <v>20.0</v>
      </c>
      <c r="M25" s="75">
        <v>128.0</v>
      </c>
      <c r="N25" s="75">
        <v>18.0</v>
      </c>
      <c r="O25" s="75"/>
      <c r="P25" s="76">
        <f t="shared" si="18"/>
        <v>166</v>
      </c>
      <c r="Q25" s="75">
        <f t="shared" ref="Q25:T25" si="26">B25+G25+L25</f>
        <v>608</v>
      </c>
      <c r="R25" s="75">
        <f t="shared" si="26"/>
        <v>4514</v>
      </c>
      <c r="S25" s="75">
        <f t="shared" si="26"/>
        <v>3049</v>
      </c>
      <c r="T25" s="75">
        <f t="shared" si="26"/>
        <v>35</v>
      </c>
      <c r="U25" s="76">
        <f t="shared" si="20"/>
        <v>8206</v>
      </c>
      <c r="V25" s="2"/>
    </row>
    <row r="26" ht="15.0" customHeight="1">
      <c r="A26" s="74" t="s">
        <v>64</v>
      </c>
      <c r="B26" s="77"/>
      <c r="C26" s="77">
        <v>1179.0</v>
      </c>
      <c r="D26" s="80">
        <v>3676.0</v>
      </c>
      <c r="E26" s="75">
        <v>2225.0</v>
      </c>
      <c r="F26" s="76">
        <f t="shared" si="16"/>
        <v>7080</v>
      </c>
      <c r="G26" s="77"/>
      <c r="H26" s="77">
        <v>1065.0</v>
      </c>
      <c r="I26" s="77">
        <v>4946.0</v>
      </c>
      <c r="J26" s="77">
        <v>924.0</v>
      </c>
      <c r="K26" s="76">
        <f t="shared" si="17"/>
        <v>6935</v>
      </c>
      <c r="L26" s="77"/>
      <c r="M26" s="77"/>
      <c r="N26" s="77">
        <v>323.0</v>
      </c>
      <c r="O26" s="77">
        <v>80.0</v>
      </c>
      <c r="P26" s="76">
        <f t="shared" si="18"/>
        <v>403</v>
      </c>
      <c r="Q26" s="75">
        <f t="shared" ref="Q26:T26" si="27">B26+G26+L26</f>
        <v>0</v>
      </c>
      <c r="R26" s="75">
        <f t="shared" si="27"/>
        <v>2244</v>
      </c>
      <c r="S26" s="75">
        <f t="shared" si="27"/>
        <v>8945</v>
      </c>
      <c r="T26" s="75">
        <f t="shared" si="27"/>
        <v>3229</v>
      </c>
      <c r="U26" s="78">
        <f t="shared" si="20"/>
        <v>14418</v>
      </c>
      <c r="V26" s="2"/>
    </row>
    <row r="27" ht="15.0" customHeight="1">
      <c r="A27" s="74" t="s">
        <v>65</v>
      </c>
      <c r="B27" s="77"/>
      <c r="C27" s="77">
        <v>4409.0</v>
      </c>
      <c r="D27" s="77">
        <v>2562.0</v>
      </c>
      <c r="E27" s="77">
        <v>7.0</v>
      </c>
      <c r="F27" s="76">
        <f t="shared" si="16"/>
        <v>6978</v>
      </c>
      <c r="G27" s="77">
        <v>151.0</v>
      </c>
      <c r="H27" s="77">
        <v>6838.0</v>
      </c>
      <c r="I27" s="77">
        <v>789.0</v>
      </c>
      <c r="J27" s="77">
        <v>21.0</v>
      </c>
      <c r="K27" s="76">
        <f t="shared" si="17"/>
        <v>7799</v>
      </c>
      <c r="L27" s="77"/>
      <c r="M27" s="77">
        <v>401.0</v>
      </c>
      <c r="N27" s="77">
        <v>77.0</v>
      </c>
      <c r="O27" s="77"/>
      <c r="P27" s="76">
        <f t="shared" si="18"/>
        <v>478</v>
      </c>
      <c r="Q27" s="75">
        <f t="shared" ref="Q27:T27" si="28">B27+G27+L27</f>
        <v>151</v>
      </c>
      <c r="R27" s="75">
        <f t="shared" si="28"/>
        <v>11648</v>
      </c>
      <c r="S27" s="75">
        <f t="shared" si="28"/>
        <v>3428</v>
      </c>
      <c r="T27" s="75">
        <f t="shared" si="28"/>
        <v>28</v>
      </c>
      <c r="U27" s="78">
        <f t="shared" si="20"/>
        <v>15255</v>
      </c>
      <c r="V27" s="2"/>
    </row>
    <row r="28" ht="15.75" customHeight="1">
      <c r="A28" s="74" t="s">
        <v>54</v>
      </c>
      <c r="B28" s="77">
        <v>140.0</v>
      </c>
      <c r="C28" s="77">
        <v>797.0</v>
      </c>
      <c r="D28" s="77">
        <v>1895.0</v>
      </c>
      <c r="E28" s="77">
        <v>738.0</v>
      </c>
      <c r="F28" s="76">
        <f t="shared" si="16"/>
        <v>3570</v>
      </c>
      <c r="G28" s="77">
        <v>1688.0</v>
      </c>
      <c r="H28" s="77">
        <v>230.0</v>
      </c>
      <c r="I28" s="77">
        <v>2249.0</v>
      </c>
      <c r="J28" s="77">
        <v>457.0</v>
      </c>
      <c r="K28" s="76">
        <f t="shared" si="17"/>
        <v>4624</v>
      </c>
      <c r="L28" s="77"/>
      <c r="M28" s="77"/>
      <c r="N28" s="77">
        <v>258.0</v>
      </c>
      <c r="O28" s="77"/>
      <c r="P28" s="76">
        <f t="shared" si="18"/>
        <v>258</v>
      </c>
      <c r="Q28" s="75">
        <f t="shared" ref="Q28:T28" si="29">B28+G28+L28</f>
        <v>1828</v>
      </c>
      <c r="R28" s="75">
        <f t="shared" si="29"/>
        <v>1027</v>
      </c>
      <c r="S28" s="75">
        <f t="shared" si="29"/>
        <v>4402</v>
      </c>
      <c r="T28" s="75">
        <f t="shared" si="29"/>
        <v>1195</v>
      </c>
      <c r="U28" s="78">
        <f t="shared" si="20"/>
        <v>8452</v>
      </c>
      <c r="V28" s="2"/>
    </row>
    <row r="29" ht="15.75" customHeight="1">
      <c r="A29" s="72" t="s">
        <v>66</v>
      </c>
      <c r="B29" s="73">
        <f t="shared" ref="B29:U29" si="30">SUM(B30:B44)</f>
        <v>1005</v>
      </c>
      <c r="C29" s="73">
        <f t="shared" si="30"/>
        <v>16927</v>
      </c>
      <c r="D29" s="73">
        <f t="shared" si="30"/>
        <v>24005</v>
      </c>
      <c r="E29" s="73">
        <f t="shared" si="30"/>
        <v>8316</v>
      </c>
      <c r="F29" s="81">
        <f t="shared" si="30"/>
        <v>50253</v>
      </c>
      <c r="G29" s="73">
        <f t="shared" si="30"/>
        <v>424</v>
      </c>
      <c r="H29" s="73">
        <f t="shared" si="30"/>
        <v>1614</v>
      </c>
      <c r="I29" s="73">
        <f t="shared" si="30"/>
        <v>3857</v>
      </c>
      <c r="J29" s="73">
        <f t="shared" si="30"/>
        <v>1141</v>
      </c>
      <c r="K29" s="81">
        <f t="shared" si="30"/>
        <v>7036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78</v>
      </c>
      <c r="P29" s="81">
        <f t="shared" si="30"/>
        <v>78</v>
      </c>
      <c r="Q29" s="73">
        <f t="shared" si="30"/>
        <v>1429</v>
      </c>
      <c r="R29" s="73">
        <f t="shared" si="30"/>
        <v>18541</v>
      </c>
      <c r="S29" s="73">
        <f t="shared" si="30"/>
        <v>28114</v>
      </c>
      <c r="T29" s="73">
        <f t="shared" si="30"/>
        <v>9535</v>
      </c>
      <c r="U29" s="81">
        <f t="shared" si="30"/>
        <v>57619</v>
      </c>
      <c r="V29" s="2" t="s">
        <v>114</v>
      </c>
    </row>
    <row r="30" ht="15.0" customHeight="1">
      <c r="A30" s="74" t="s">
        <v>67</v>
      </c>
      <c r="B30" s="75"/>
      <c r="C30" s="75">
        <v>175.0</v>
      </c>
      <c r="D30" s="75">
        <v>728.0</v>
      </c>
      <c r="E30" s="75">
        <v>421.0</v>
      </c>
      <c r="F30" s="76">
        <f t="shared" ref="F30:F44" si="32">SUM(B30:E30)</f>
        <v>1324</v>
      </c>
      <c r="G30" s="75"/>
      <c r="H30" s="75">
        <v>200.0</v>
      </c>
      <c r="I30" s="75">
        <v>702.0</v>
      </c>
      <c r="J30" s="75">
        <v>260.0</v>
      </c>
      <c r="K30" s="76">
        <f t="shared" ref="K30:K44" si="33">SUM(G30:J30)</f>
        <v>1162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375</v>
      </c>
      <c r="S30" s="75">
        <f t="shared" si="31"/>
        <v>1430</v>
      </c>
      <c r="T30" s="75">
        <f t="shared" si="31"/>
        <v>681</v>
      </c>
      <c r="U30" s="76">
        <f t="shared" ref="U30:U44" si="36">SUM(Q30:T30)</f>
        <v>2486</v>
      </c>
      <c r="V30" s="2"/>
    </row>
    <row r="31" ht="15.0" customHeight="1">
      <c r="A31" s="74" t="s">
        <v>68</v>
      </c>
      <c r="B31" s="77">
        <v>79.0</v>
      </c>
      <c r="C31" s="77">
        <v>395.0</v>
      </c>
      <c r="D31" s="77">
        <v>1312.0</v>
      </c>
      <c r="E31" s="77">
        <v>1316.0</v>
      </c>
      <c r="F31" s="76">
        <f t="shared" si="32"/>
        <v>3102</v>
      </c>
      <c r="G31" s="77"/>
      <c r="H31" s="77">
        <v>70.0</v>
      </c>
      <c r="I31" s="77">
        <v>29.0</v>
      </c>
      <c r="J31" s="77">
        <v>16.0</v>
      </c>
      <c r="K31" s="76">
        <f t="shared" si="33"/>
        <v>115</v>
      </c>
      <c r="L31" s="77"/>
      <c r="M31" s="77"/>
      <c r="N31" s="77"/>
      <c r="O31" s="77">
        <v>78.0</v>
      </c>
      <c r="P31" s="78">
        <f t="shared" si="34"/>
        <v>78</v>
      </c>
      <c r="Q31" s="77">
        <f t="shared" ref="Q31:T31" si="35">SUM(B31,G31,L31)</f>
        <v>79</v>
      </c>
      <c r="R31" s="77">
        <f t="shared" si="35"/>
        <v>465</v>
      </c>
      <c r="S31" s="77">
        <f t="shared" si="35"/>
        <v>1341</v>
      </c>
      <c r="T31" s="77">
        <f t="shared" si="35"/>
        <v>1410</v>
      </c>
      <c r="U31" s="78">
        <f t="shared" si="36"/>
        <v>3295</v>
      </c>
      <c r="V31" s="2"/>
    </row>
    <row r="32" ht="15.0" customHeight="1">
      <c r="A32" s="74" t="s">
        <v>69</v>
      </c>
      <c r="B32" s="77"/>
      <c r="C32" s="77">
        <v>750.0</v>
      </c>
      <c r="D32" s="77">
        <v>3889.0</v>
      </c>
      <c r="E32" s="77">
        <v>446.0</v>
      </c>
      <c r="F32" s="76">
        <f t="shared" si="32"/>
        <v>5085</v>
      </c>
      <c r="G32" s="77"/>
      <c r="H32" s="77"/>
      <c r="I32" s="77">
        <v>588.0</v>
      </c>
      <c r="J32" s="77"/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750</v>
      </c>
      <c r="S32" s="77">
        <f t="shared" si="37"/>
        <v>4477</v>
      </c>
      <c r="T32" s="77">
        <f t="shared" si="37"/>
        <v>446</v>
      </c>
      <c r="U32" s="78">
        <f t="shared" si="36"/>
        <v>5673</v>
      </c>
      <c r="V32" s="2"/>
    </row>
    <row r="33" ht="15.0" customHeight="1">
      <c r="A33" s="74" t="s">
        <v>70</v>
      </c>
      <c r="B33" s="77"/>
      <c r="C33" s="77">
        <v>1719.0</v>
      </c>
      <c r="D33" s="77">
        <v>231.0</v>
      </c>
      <c r="E33" s="77">
        <v>10.0</v>
      </c>
      <c r="F33" s="76">
        <f t="shared" si="32"/>
        <v>1960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1719</v>
      </c>
      <c r="S33" s="77">
        <f t="shared" si="38"/>
        <v>231</v>
      </c>
      <c r="T33" s="77">
        <f t="shared" si="38"/>
        <v>10</v>
      </c>
      <c r="U33" s="78">
        <f t="shared" si="36"/>
        <v>1960</v>
      </c>
      <c r="V33" s="2"/>
    </row>
    <row r="34" ht="15.0" customHeight="1">
      <c r="A34" s="74" t="s">
        <v>71</v>
      </c>
      <c r="B34" s="77">
        <v>18.0</v>
      </c>
      <c r="C34" s="77">
        <v>1201.0</v>
      </c>
      <c r="D34" s="77">
        <v>4002.0</v>
      </c>
      <c r="E34" s="77">
        <v>2429.0</v>
      </c>
      <c r="F34" s="76">
        <f t="shared" si="32"/>
        <v>7650</v>
      </c>
      <c r="G34" s="77"/>
      <c r="H34" s="77">
        <v>110.0</v>
      </c>
      <c r="I34" s="77">
        <v>101.0</v>
      </c>
      <c r="J34" s="77">
        <v>74.0</v>
      </c>
      <c r="K34" s="76">
        <f t="shared" si="33"/>
        <v>285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18</v>
      </c>
      <c r="R34" s="77">
        <f t="shared" si="39"/>
        <v>1311</v>
      </c>
      <c r="S34" s="77">
        <f t="shared" si="39"/>
        <v>4103</v>
      </c>
      <c r="T34" s="77">
        <f t="shared" si="39"/>
        <v>2503</v>
      </c>
      <c r="U34" s="78">
        <f t="shared" si="36"/>
        <v>7935</v>
      </c>
      <c r="V34" s="2"/>
    </row>
    <row r="35" ht="15.0" customHeight="1">
      <c r="A35" s="74" t="s">
        <v>72</v>
      </c>
      <c r="B35" s="77"/>
      <c r="C35" s="77">
        <v>2499.0</v>
      </c>
      <c r="D35" s="77"/>
      <c r="E35" s="77"/>
      <c r="F35" s="76">
        <f t="shared" si="32"/>
        <v>2499</v>
      </c>
      <c r="G35" s="77"/>
      <c r="H35" s="77">
        <v>113.0</v>
      </c>
      <c r="I35" s="77"/>
      <c r="J35" s="77"/>
      <c r="K35" s="76">
        <f t="shared" si="33"/>
        <v>113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2612</v>
      </c>
      <c r="S35" s="77">
        <f t="shared" si="40"/>
        <v>0</v>
      </c>
      <c r="T35" s="77">
        <f t="shared" si="40"/>
        <v>0</v>
      </c>
      <c r="U35" s="78">
        <f t="shared" si="36"/>
        <v>2612</v>
      </c>
      <c r="V35" s="2"/>
    </row>
    <row r="36" ht="15.0" customHeight="1">
      <c r="A36" s="74" t="s">
        <v>73</v>
      </c>
      <c r="B36" s="77">
        <v>103.0</v>
      </c>
      <c r="C36" s="77">
        <v>44.0</v>
      </c>
      <c r="D36" s="77">
        <v>1097.0</v>
      </c>
      <c r="E36" s="77">
        <v>482.0</v>
      </c>
      <c r="F36" s="76">
        <f t="shared" si="32"/>
        <v>1726</v>
      </c>
      <c r="G36" s="77">
        <v>212.0</v>
      </c>
      <c r="H36" s="77">
        <v>9.0</v>
      </c>
      <c r="I36" s="77">
        <v>252.0</v>
      </c>
      <c r="J36" s="77">
        <v>252.0</v>
      </c>
      <c r="K36" s="76">
        <f t="shared" si="33"/>
        <v>725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315</v>
      </c>
      <c r="R36" s="77">
        <f t="shared" si="41"/>
        <v>53</v>
      </c>
      <c r="S36" s="77">
        <f t="shared" si="41"/>
        <v>1349</v>
      </c>
      <c r="T36" s="77">
        <f t="shared" si="41"/>
        <v>734</v>
      </c>
      <c r="U36" s="78">
        <f t="shared" si="36"/>
        <v>2451</v>
      </c>
      <c r="V36" s="2"/>
    </row>
    <row r="37" ht="15.0" customHeight="1">
      <c r="A37" s="74" t="s">
        <v>74</v>
      </c>
      <c r="B37" s="77">
        <v>793.0</v>
      </c>
      <c r="C37" s="77">
        <v>7054.0</v>
      </c>
      <c r="D37" s="77">
        <v>4077.0</v>
      </c>
      <c r="E37" s="77">
        <v>1493.0</v>
      </c>
      <c r="F37" s="76">
        <f t="shared" si="32"/>
        <v>13417</v>
      </c>
      <c r="G37" s="77">
        <v>212.0</v>
      </c>
      <c r="H37" s="77">
        <v>532.0</v>
      </c>
      <c r="I37" s="77">
        <v>1006.0</v>
      </c>
      <c r="J37" s="77">
        <v>335.0</v>
      </c>
      <c r="K37" s="76">
        <f t="shared" si="33"/>
        <v>2085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1005</v>
      </c>
      <c r="R37" s="77">
        <f t="shared" si="42"/>
        <v>7586</v>
      </c>
      <c r="S37" s="77">
        <f t="shared" ref="S37:S41" si="44">SUM(D37,I36,N37)</f>
        <v>4329</v>
      </c>
      <c r="T37" s="77">
        <f t="shared" ref="T37:T41" si="45">SUM(E37,J37,O37)</f>
        <v>1828</v>
      </c>
      <c r="U37" s="78">
        <f t="shared" si="36"/>
        <v>14748</v>
      </c>
      <c r="V37" s="2"/>
    </row>
    <row r="38" ht="15.0" customHeight="1">
      <c r="A38" s="74" t="s">
        <v>75</v>
      </c>
      <c r="B38" s="77"/>
      <c r="C38" s="77">
        <v>1067.0</v>
      </c>
      <c r="D38" s="77">
        <v>2203.0</v>
      </c>
      <c r="E38" s="77">
        <v>260.0</v>
      </c>
      <c r="F38" s="76">
        <f t="shared" si="32"/>
        <v>3530</v>
      </c>
      <c r="G38" s="77"/>
      <c r="H38" s="77">
        <v>180.0</v>
      </c>
      <c r="I38" s="77">
        <v>223.0</v>
      </c>
      <c r="J38" s="77">
        <v>48.0</v>
      </c>
      <c r="K38" s="76">
        <f t="shared" si="33"/>
        <v>451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1247</v>
      </c>
      <c r="S38" s="77">
        <f t="shared" si="44"/>
        <v>3209</v>
      </c>
      <c r="T38" s="77">
        <f t="shared" si="45"/>
        <v>308</v>
      </c>
      <c r="U38" s="78">
        <f t="shared" si="36"/>
        <v>4764</v>
      </c>
      <c r="V38" s="2"/>
    </row>
    <row r="39" ht="15.0" customHeight="1">
      <c r="A39" s="74" t="s">
        <v>76</v>
      </c>
      <c r="B39" s="77"/>
      <c r="C39" s="77">
        <v>599.0</v>
      </c>
      <c r="D39" s="77">
        <v>678.0</v>
      </c>
      <c r="E39" s="77"/>
      <c r="F39" s="76">
        <f t="shared" si="32"/>
        <v>1277</v>
      </c>
      <c r="G39" s="77"/>
      <c r="H39" s="77">
        <v>84.0</v>
      </c>
      <c r="I39" s="77">
        <v>140.0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683</v>
      </c>
      <c r="S39" s="77">
        <f t="shared" si="44"/>
        <v>901</v>
      </c>
      <c r="T39" s="77">
        <f t="shared" si="45"/>
        <v>0</v>
      </c>
      <c r="U39" s="78">
        <f t="shared" si="36"/>
        <v>1584</v>
      </c>
      <c r="V39" s="2"/>
    </row>
    <row r="40" ht="15.0" customHeight="1">
      <c r="A40" s="74" t="s">
        <v>77</v>
      </c>
      <c r="B40" s="77"/>
      <c r="C40" s="77">
        <v>3.0</v>
      </c>
      <c r="D40" s="77">
        <v>3.0</v>
      </c>
      <c r="E40" s="77"/>
      <c r="F40" s="76">
        <f t="shared" si="32"/>
        <v>6</v>
      </c>
      <c r="G40" s="77"/>
      <c r="H40" s="77">
        <v>9.0</v>
      </c>
      <c r="I40" s="77">
        <v>4.0</v>
      </c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12</v>
      </c>
      <c r="S40" s="77">
        <f t="shared" si="44"/>
        <v>143</v>
      </c>
      <c r="T40" s="77">
        <f t="shared" si="45"/>
        <v>0</v>
      </c>
      <c r="U40" s="78">
        <f t="shared" si="36"/>
        <v>155</v>
      </c>
      <c r="V40" s="2"/>
    </row>
    <row r="41" ht="15.0" customHeight="1">
      <c r="A41" s="74" t="s">
        <v>78</v>
      </c>
      <c r="B41" s="77"/>
      <c r="C41" s="77"/>
      <c r="D41" s="77">
        <v>2188.0</v>
      </c>
      <c r="E41" s="77">
        <v>82.0</v>
      </c>
      <c r="F41" s="76">
        <f t="shared" si="32"/>
        <v>2270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2192</v>
      </c>
      <c r="T41" s="77">
        <f t="shared" si="45"/>
        <v>82</v>
      </c>
      <c r="U41" s="78">
        <f t="shared" si="36"/>
        <v>2274</v>
      </c>
      <c r="V41" s="2"/>
    </row>
    <row r="42" ht="15.0" customHeight="1">
      <c r="A42" s="74" t="s">
        <v>79</v>
      </c>
      <c r="B42" s="77">
        <v>12.0</v>
      </c>
      <c r="C42" s="77">
        <v>149.0</v>
      </c>
      <c r="D42" s="77">
        <v>10.0</v>
      </c>
      <c r="E42" s="77"/>
      <c r="F42" s="76">
        <f t="shared" si="32"/>
        <v>171</v>
      </c>
      <c r="G42" s="77"/>
      <c r="H42" s="77">
        <v>207.0</v>
      </c>
      <c r="I42" s="77">
        <v>50.0</v>
      </c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12</v>
      </c>
      <c r="R42" s="77">
        <f t="shared" si="49"/>
        <v>356</v>
      </c>
      <c r="S42" s="77">
        <f t="shared" si="49"/>
        <v>60</v>
      </c>
      <c r="T42" s="77">
        <f t="shared" si="49"/>
        <v>0</v>
      </c>
      <c r="U42" s="78">
        <f t="shared" si="36"/>
        <v>428</v>
      </c>
      <c r="V42" s="2"/>
    </row>
    <row r="43" ht="15.0" customHeight="1">
      <c r="A43" s="74" t="s">
        <v>80</v>
      </c>
      <c r="B43" s="77"/>
      <c r="C43" s="77"/>
      <c r="D43" s="77">
        <v>1208.0</v>
      </c>
      <c r="E43" s="77">
        <v>654.0</v>
      </c>
      <c r="F43" s="76">
        <f t="shared" si="32"/>
        <v>1862</v>
      </c>
      <c r="G43" s="77"/>
      <c r="H43" s="77"/>
      <c r="I43" s="77">
        <v>92.0</v>
      </c>
      <c r="J43" s="77">
        <v>143.0</v>
      </c>
      <c r="K43" s="76">
        <f t="shared" si="33"/>
        <v>235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1300</v>
      </c>
      <c r="T43" s="77">
        <f t="shared" si="50"/>
        <v>797</v>
      </c>
      <c r="U43" s="78">
        <f t="shared" si="36"/>
        <v>2097</v>
      </c>
      <c r="V43" s="2"/>
    </row>
    <row r="44" ht="15.75" customHeight="1">
      <c r="A44" s="74" t="s">
        <v>81</v>
      </c>
      <c r="B44" s="77"/>
      <c r="C44" s="77">
        <v>1272.0</v>
      </c>
      <c r="D44" s="77">
        <v>2379.0</v>
      </c>
      <c r="E44" s="77">
        <v>723.0</v>
      </c>
      <c r="F44" s="76">
        <f t="shared" si="32"/>
        <v>4374</v>
      </c>
      <c r="G44" s="77"/>
      <c r="H44" s="77">
        <v>100.0</v>
      </c>
      <c r="I44" s="77">
        <v>670.0</v>
      </c>
      <c r="J44" s="77">
        <v>13.0</v>
      </c>
      <c r="K44" s="76">
        <f t="shared" si="33"/>
        <v>783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1372</v>
      </c>
      <c r="S44" s="77">
        <f t="shared" si="51"/>
        <v>3049</v>
      </c>
      <c r="T44" s="77">
        <f t="shared" si="51"/>
        <v>736</v>
      </c>
      <c r="U44" s="78">
        <f t="shared" si="36"/>
        <v>5157</v>
      </c>
      <c r="V44" s="2"/>
    </row>
    <row r="45" ht="15.75" customHeight="1">
      <c r="A45" s="72" t="s">
        <v>82</v>
      </c>
      <c r="B45" s="73">
        <f t="shared" ref="B45:U45" si="52">SUM(B46:B63)</f>
        <v>6467</v>
      </c>
      <c r="C45" s="73">
        <f t="shared" si="52"/>
        <v>9750</v>
      </c>
      <c r="D45" s="73">
        <f t="shared" si="52"/>
        <v>6747</v>
      </c>
      <c r="E45" s="73">
        <f t="shared" si="52"/>
        <v>1840</v>
      </c>
      <c r="F45" s="81">
        <f t="shared" si="52"/>
        <v>24804</v>
      </c>
      <c r="G45" s="73">
        <f t="shared" si="52"/>
        <v>5334</v>
      </c>
      <c r="H45" s="73">
        <f t="shared" si="52"/>
        <v>3923</v>
      </c>
      <c r="I45" s="73">
        <f t="shared" si="52"/>
        <v>3955</v>
      </c>
      <c r="J45" s="73">
        <f t="shared" si="52"/>
        <v>464</v>
      </c>
      <c r="K45" s="81">
        <f t="shared" si="52"/>
        <v>13676</v>
      </c>
      <c r="L45" s="73">
        <f t="shared" si="52"/>
        <v>295</v>
      </c>
      <c r="M45" s="73">
        <f t="shared" si="52"/>
        <v>279</v>
      </c>
      <c r="N45" s="73">
        <f t="shared" si="52"/>
        <v>599</v>
      </c>
      <c r="O45" s="73">
        <f t="shared" si="52"/>
        <v>1441</v>
      </c>
      <c r="P45" s="81">
        <f t="shared" si="52"/>
        <v>2614</v>
      </c>
      <c r="Q45" s="73">
        <f t="shared" si="52"/>
        <v>12096</v>
      </c>
      <c r="R45" s="73">
        <f t="shared" si="52"/>
        <v>13952</v>
      </c>
      <c r="S45" s="73">
        <f t="shared" si="52"/>
        <v>11292</v>
      </c>
      <c r="T45" s="73">
        <f t="shared" si="52"/>
        <v>3745</v>
      </c>
      <c r="U45" s="73">
        <f t="shared" si="52"/>
        <v>41085</v>
      </c>
      <c r="V45" s="2" t="s">
        <v>114</v>
      </c>
    </row>
    <row r="46" ht="15.0" customHeight="1">
      <c r="A46" s="74" t="s">
        <v>83</v>
      </c>
      <c r="B46" s="75">
        <v>1230.0</v>
      </c>
      <c r="C46" s="75">
        <v>490.0</v>
      </c>
      <c r="D46" s="75">
        <v>120.0</v>
      </c>
      <c r="E46" s="75">
        <v>120.0</v>
      </c>
      <c r="F46" s="76">
        <f t="shared" ref="F46:F63" si="54">SUM(B46:E46)</f>
        <v>1960</v>
      </c>
      <c r="G46" s="75">
        <v>150.0</v>
      </c>
      <c r="H46" s="75"/>
      <c r="I46" s="75"/>
      <c r="J46" s="75"/>
      <c r="K46" s="76">
        <f t="shared" ref="K46:K63" si="55">SUM(G46:J46)</f>
        <v>150</v>
      </c>
      <c r="L46" s="75">
        <v>90.0</v>
      </c>
      <c r="M46" s="75"/>
      <c r="N46" s="75"/>
      <c r="O46" s="75"/>
      <c r="P46" s="76">
        <f t="shared" ref="P46:P63" si="56">SUM(L46:O46)</f>
        <v>90</v>
      </c>
      <c r="Q46" s="75">
        <f t="shared" ref="Q46:T46" si="53">SUM(B46,G46,L46)</f>
        <v>1470</v>
      </c>
      <c r="R46" s="75">
        <f t="shared" si="53"/>
        <v>490</v>
      </c>
      <c r="S46" s="75">
        <f t="shared" si="53"/>
        <v>120</v>
      </c>
      <c r="T46" s="75">
        <f t="shared" si="53"/>
        <v>120</v>
      </c>
      <c r="U46" s="76">
        <f t="shared" ref="U46:U63" si="58">SUM(Q46:T46)</f>
        <v>2200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602.0</v>
      </c>
      <c r="C49" s="77">
        <v>1557.0</v>
      </c>
      <c r="D49" s="77">
        <v>473.0</v>
      </c>
      <c r="E49" s="77">
        <v>2.0</v>
      </c>
      <c r="F49" s="76">
        <f t="shared" si="54"/>
        <v>2634</v>
      </c>
      <c r="G49" s="77">
        <v>265.0</v>
      </c>
      <c r="H49" s="77">
        <v>544.0</v>
      </c>
      <c r="I49" s="77">
        <v>132.0</v>
      </c>
      <c r="J49" s="77"/>
      <c r="K49" s="76">
        <f t="shared" si="55"/>
        <v>941</v>
      </c>
      <c r="L49" s="77">
        <v>99.0</v>
      </c>
      <c r="M49" s="77">
        <v>65.0</v>
      </c>
      <c r="N49" s="77"/>
      <c r="O49" s="77"/>
      <c r="P49" s="76">
        <f t="shared" si="56"/>
        <v>164</v>
      </c>
      <c r="Q49" s="75">
        <f t="shared" ref="Q49:T49" si="60">SUM(B49,G49,L49)</f>
        <v>966</v>
      </c>
      <c r="R49" s="75">
        <f t="shared" si="60"/>
        <v>2166</v>
      </c>
      <c r="S49" s="75">
        <f t="shared" si="60"/>
        <v>605</v>
      </c>
      <c r="T49" s="75">
        <f t="shared" si="60"/>
        <v>2</v>
      </c>
      <c r="U49" s="78">
        <f t="shared" si="58"/>
        <v>3739</v>
      </c>
      <c r="V49" s="2"/>
    </row>
    <row r="50" ht="15.0" customHeight="1">
      <c r="A50" s="74" t="s">
        <v>87</v>
      </c>
      <c r="B50" s="77">
        <v>691.0</v>
      </c>
      <c r="C50" s="77">
        <v>2526.0</v>
      </c>
      <c r="D50" s="77">
        <v>579.0</v>
      </c>
      <c r="E50" s="77">
        <v>22.0</v>
      </c>
      <c r="F50" s="76">
        <f t="shared" si="54"/>
        <v>3818</v>
      </c>
      <c r="G50" s="77">
        <v>520.0</v>
      </c>
      <c r="H50" s="77">
        <v>594.0</v>
      </c>
      <c r="I50" s="77">
        <v>1.0</v>
      </c>
      <c r="J50" s="77"/>
      <c r="K50" s="76">
        <f t="shared" si="55"/>
        <v>1115</v>
      </c>
      <c r="L50" s="77">
        <v>44.0</v>
      </c>
      <c r="M50" s="77">
        <v>99.0</v>
      </c>
      <c r="N50" s="77">
        <v>65.0</v>
      </c>
      <c r="O50" s="77"/>
      <c r="P50" s="76">
        <f t="shared" si="56"/>
        <v>208</v>
      </c>
      <c r="Q50" s="75">
        <f t="shared" ref="Q50:T50" si="61">SUM(B50,G50,L50)</f>
        <v>1255</v>
      </c>
      <c r="R50" s="75">
        <f t="shared" si="61"/>
        <v>3219</v>
      </c>
      <c r="S50" s="75">
        <f t="shared" si="61"/>
        <v>645</v>
      </c>
      <c r="T50" s="75">
        <f t="shared" si="61"/>
        <v>22</v>
      </c>
      <c r="U50" s="78">
        <f t="shared" si="58"/>
        <v>5141</v>
      </c>
      <c r="V50" s="2"/>
    </row>
    <row r="51" ht="15.0" customHeight="1">
      <c r="A51" s="74" t="s">
        <v>88</v>
      </c>
      <c r="B51" s="77">
        <v>15.0</v>
      </c>
      <c r="C51" s="77">
        <v>101.0</v>
      </c>
      <c r="D51" s="77">
        <v>81.0</v>
      </c>
      <c r="E51" s="77"/>
      <c r="F51" s="76">
        <f t="shared" si="54"/>
        <v>197</v>
      </c>
      <c r="G51" s="77">
        <v>77.0</v>
      </c>
      <c r="H51" s="77">
        <v>70.0</v>
      </c>
      <c r="I51" s="77">
        <v>18.0</v>
      </c>
      <c r="K51" s="76">
        <f t="shared" si="55"/>
        <v>165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92</v>
      </c>
      <c r="R51" s="75">
        <f t="shared" si="62"/>
        <v>171</v>
      </c>
      <c r="S51" s="75">
        <f t="shared" ref="S51:T51" si="63">SUM(D51,I56,N51)</f>
        <v>90</v>
      </c>
      <c r="T51" s="75">
        <f t="shared" si="63"/>
        <v>0</v>
      </c>
      <c r="U51" s="78">
        <f t="shared" si="58"/>
        <v>353</v>
      </c>
      <c r="V51" s="2"/>
    </row>
    <row r="52" ht="15.0" customHeight="1">
      <c r="A52" s="83" t="s">
        <v>89</v>
      </c>
      <c r="B52" s="84">
        <v>59.0</v>
      </c>
      <c r="C52" s="84">
        <v>544.0</v>
      </c>
      <c r="D52" s="84"/>
      <c r="E52" s="84"/>
      <c r="F52" s="85">
        <f t="shared" si="54"/>
        <v>603</v>
      </c>
      <c r="G52" s="84">
        <v>136.0</v>
      </c>
      <c r="H52" s="84">
        <v>603.0</v>
      </c>
      <c r="I52" s="84"/>
      <c r="J52" s="84"/>
      <c r="K52" s="85">
        <f t="shared" si="55"/>
        <v>739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195</v>
      </c>
      <c r="R52" s="86">
        <f t="shared" si="64"/>
        <v>1147</v>
      </c>
      <c r="S52" s="86">
        <f t="shared" si="64"/>
        <v>0</v>
      </c>
      <c r="T52" s="86">
        <f t="shared" si="64"/>
        <v>0</v>
      </c>
      <c r="U52" s="87">
        <f t="shared" si="58"/>
        <v>1342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16.0</v>
      </c>
      <c r="C53" s="77">
        <v>3.0</v>
      </c>
      <c r="D53" s="77"/>
      <c r="E53" s="77"/>
      <c r="F53" s="76">
        <f t="shared" si="54"/>
        <v>19</v>
      </c>
      <c r="G53" s="77">
        <v>28.0</v>
      </c>
      <c r="H53" s="77">
        <v>9.0</v>
      </c>
      <c r="I53" s="77"/>
      <c r="J53" s="77"/>
      <c r="K53" s="76">
        <f t="shared" si="55"/>
        <v>37</v>
      </c>
      <c r="L53" s="77"/>
      <c r="M53" s="77">
        <v>95.0</v>
      </c>
      <c r="N53" s="77">
        <v>66.0</v>
      </c>
      <c r="O53" s="77"/>
      <c r="P53" s="76">
        <f t="shared" si="56"/>
        <v>161</v>
      </c>
      <c r="Q53" s="75">
        <f t="shared" ref="Q53:T53" si="65">SUM(B53,G53,L53)</f>
        <v>44</v>
      </c>
      <c r="R53" s="75">
        <f t="shared" si="65"/>
        <v>107</v>
      </c>
      <c r="S53" s="86">
        <f t="shared" si="65"/>
        <v>66</v>
      </c>
      <c r="T53" s="86">
        <f t="shared" si="65"/>
        <v>0</v>
      </c>
      <c r="U53" s="78">
        <f t="shared" si="58"/>
        <v>217</v>
      </c>
      <c r="V53" s="2"/>
    </row>
    <row r="54" ht="15.0" customHeight="1">
      <c r="A54" s="74" t="s">
        <v>91</v>
      </c>
      <c r="B54" s="77">
        <v>91.0</v>
      </c>
      <c r="C54" s="77">
        <v>1176.0</v>
      </c>
      <c r="D54" s="77">
        <v>499.0</v>
      </c>
      <c r="E54" s="77">
        <v>15.0</v>
      </c>
      <c r="F54" s="76">
        <f t="shared" si="54"/>
        <v>1781</v>
      </c>
      <c r="G54" s="77">
        <v>479.0</v>
      </c>
      <c r="H54" s="77">
        <v>512.0</v>
      </c>
      <c r="I54" s="77">
        <v>75.0</v>
      </c>
      <c r="J54" s="77"/>
      <c r="K54" s="76">
        <f t="shared" si="55"/>
        <v>1066</v>
      </c>
      <c r="L54" s="77"/>
      <c r="M54" s="77"/>
      <c r="N54" s="77"/>
      <c r="O54" s="77">
        <v>709.0</v>
      </c>
      <c r="P54" s="76">
        <f t="shared" si="56"/>
        <v>709</v>
      </c>
      <c r="Q54" s="75">
        <f t="shared" ref="Q54:T54" si="66">SUM(B54,G54,L54)</f>
        <v>570</v>
      </c>
      <c r="R54" s="75">
        <f t="shared" si="66"/>
        <v>1688</v>
      </c>
      <c r="S54" s="86">
        <f t="shared" si="66"/>
        <v>574</v>
      </c>
      <c r="T54" s="86">
        <f t="shared" si="66"/>
        <v>724</v>
      </c>
      <c r="U54" s="78">
        <f t="shared" si="58"/>
        <v>3556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409.0</v>
      </c>
      <c r="C56" s="77">
        <v>212.0</v>
      </c>
      <c r="D56" s="77">
        <v>4.0</v>
      </c>
      <c r="E56" s="77"/>
      <c r="F56" s="76">
        <f t="shared" si="54"/>
        <v>625</v>
      </c>
      <c r="G56" s="77">
        <v>999.0</v>
      </c>
      <c r="H56" s="77">
        <v>601.0</v>
      </c>
      <c r="I56" s="77">
        <v>9.0</v>
      </c>
      <c r="J56" s="77"/>
      <c r="K56" s="76">
        <f t="shared" si="55"/>
        <v>1609</v>
      </c>
      <c r="L56" s="90"/>
      <c r="M56" s="90"/>
      <c r="N56" s="90">
        <v>228.0</v>
      </c>
      <c r="O56" s="90"/>
      <c r="P56" s="76">
        <f t="shared" si="56"/>
        <v>228</v>
      </c>
      <c r="Q56" s="75">
        <f t="shared" ref="Q56:T56" si="68">SUM(B56,G56,L56)</f>
        <v>1408</v>
      </c>
      <c r="R56" s="75">
        <f t="shared" si="68"/>
        <v>813</v>
      </c>
      <c r="S56" s="86">
        <f t="shared" si="68"/>
        <v>241</v>
      </c>
      <c r="T56" s="86">
        <f t="shared" si="68"/>
        <v>0</v>
      </c>
      <c r="U56" s="91">
        <f t="shared" si="58"/>
        <v>2462</v>
      </c>
      <c r="V56" s="2"/>
    </row>
    <row r="57" ht="15.0" customHeight="1">
      <c r="A57" s="74" t="s">
        <v>94</v>
      </c>
      <c r="B57" s="77">
        <v>1303.0</v>
      </c>
      <c r="C57" s="77">
        <v>2488.0</v>
      </c>
      <c r="D57" s="77">
        <v>120.0</v>
      </c>
      <c r="E57" s="77">
        <v>120.0</v>
      </c>
      <c r="F57" s="76">
        <f t="shared" si="54"/>
        <v>4031</v>
      </c>
      <c r="G57" s="77"/>
      <c r="H57" s="77"/>
      <c r="I57" s="77">
        <v>5.0</v>
      </c>
      <c r="J57" s="2">
        <v>5.0</v>
      </c>
      <c r="K57" s="76">
        <f t="shared" si="55"/>
        <v>10</v>
      </c>
      <c r="L57" s="77">
        <v>20.0</v>
      </c>
      <c r="M57" s="77">
        <v>20.0</v>
      </c>
      <c r="N57" s="77">
        <v>20.0</v>
      </c>
      <c r="O57" s="77"/>
      <c r="P57" s="76">
        <f t="shared" si="56"/>
        <v>60</v>
      </c>
      <c r="Q57" s="75">
        <f t="shared" ref="Q57:T57" si="69">SUM(B57,G57,L57)</f>
        <v>1323</v>
      </c>
      <c r="R57" s="75">
        <f t="shared" si="69"/>
        <v>2508</v>
      </c>
      <c r="S57" s="86">
        <f t="shared" si="69"/>
        <v>145</v>
      </c>
      <c r="T57" s="86">
        <f t="shared" si="69"/>
        <v>125</v>
      </c>
      <c r="U57" s="91">
        <f t="shared" si="58"/>
        <v>4101</v>
      </c>
      <c r="V57" s="2"/>
    </row>
    <row r="58" ht="15.0" customHeight="1">
      <c r="A58" s="74" t="s">
        <v>95</v>
      </c>
      <c r="B58" s="77">
        <v>111.0</v>
      </c>
      <c r="C58" s="77">
        <v>129.0</v>
      </c>
      <c r="D58" s="77">
        <v>295.0</v>
      </c>
      <c r="E58" s="77">
        <v>70.0</v>
      </c>
      <c r="F58" s="76">
        <f t="shared" si="54"/>
        <v>605</v>
      </c>
      <c r="G58" s="77">
        <v>52.0</v>
      </c>
      <c r="H58" s="77">
        <v>38.0</v>
      </c>
      <c r="I58" s="77">
        <v>10.0</v>
      </c>
      <c r="J58" s="77">
        <v>14.0</v>
      </c>
      <c r="K58" s="76">
        <f t="shared" si="55"/>
        <v>114</v>
      </c>
      <c r="L58" s="77">
        <v>42.0</v>
      </c>
      <c r="M58" s="77"/>
      <c r="N58" s="77">
        <v>20.0</v>
      </c>
      <c r="O58" s="77">
        <v>234.0</v>
      </c>
      <c r="P58" s="76">
        <f t="shared" si="56"/>
        <v>296</v>
      </c>
      <c r="Q58" s="75">
        <f t="shared" ref="Q58:T58" si="70">SUM(B58,G58,L58)</f>
        <v>205</v>
      </c>
      <c r="R58" s="75">
        <f t="shared" si="70"/>
        <v>167</v>
      </c>
      <c r="S58" s="75">
        <f t="shared" si="70"/>
        <v>325</v>
      </c>
      <c r="T58" s="86">
        <f t="shared" si="70"/>
        <v>318</v>
      </c>
      <c r="U58" s="91">
        <f t="shared" si="58"/>
        <v>1015</v>
      </c>
      <c r="V58" s="2"/>
    </row>
    <row r="59" ht="15.0" customHeight="1">
      <c r="A59" s="74" t="s">
        <v>96</v>
      </c>
      <c r="B59" s="77"/>
      <c r="C59" s="77">
        <v>5.0</v>
      </c>
      <c r="D59" s="77">
        <v>1034.0</v>
      </c>
      <c r="E59" s="77">
        <v>231.0</v>
      </c>
      <c r="F59" s="76">
        <f t="shared" si="54"/>
        <v>1270</v>
      </c>
      <c r="G59" s="82">
        <v>5.0</v>
      </c>
      <c r="H59" s="82">
        <v>507.0</v>
      </c>
      <c r="I59" s="82">
        <v>1078.0</v>
      </c>
      <c r="J59" s="82">
        <v>372.0</v>
      </c>
      <c r="K59" s="76">
        <f t="shared" si="55"/>
        <v>1962</v>
      </c>
      <c r="L59" s="77"/>
      <c r="M59" s="77"/>
      <c r="N59" s="77">
        <v>200.0</v>
      </c>
      <c r="O59" s="77">
        <v>362.0</v>
      </c>
      <c r="P59" s="76">
        <f t="shared" si="56"/>
        <v>562</v>
      </c>
      <c r="Q59" s="75">
        <f t="shared" ref="Q59:T59" si="71">SUM(B59,G59,L59)</f>
        <v>5</v>
      </c>
      <c r="R59" s="75">
        <f t="shared" si="71"/>
        <v>512</v>
      </c>
      <c r="S59" s="75">
        <f t="shared" si="71"/>
        <v>2312</v>
      </c>
      <c r="T59" s="75">
        <f t="shared" si="71"/>
        <v>965</v>
      </c>
      <c r="U59" s="91">
        <f t="shared" si="58"/>
        <v>3794</v>
      </c>
      <c r="V59" s="2"/>
    </row>
    <row r="60" ht="15.0" customHeight="1">
      <c r="A60" s="74" t="s">
        <v>17</v>
      </c>
      <c r="B60" s="77">
        <v>250.0</v>
      </c>
      <c r="C60" s="77"/>
      <c r="D60" s="77">
        <v>2225.0</v>
      </c>
      <c r="E60" s="77">
        <v>669.0</v>
      </c>
      <c r="F60" s="76">
        <f t="shared" si="54"/>
        <v>3144</v>
      </c>
      <c r="G60" s="77"/>
      <c r="H60" s="77"/>
      <c r="I60" s="77">
        <v>1769.0</v>
      </c>
      <c r="J60" s="77"/>
      <c r="K60" s="76">
        <f t="shared" si="55"/>
        <v>1769</v>
      </c>
      <c r="L60" s="77"/>
      <c r="M60" s="77"/>
      <c r="N60" s="77"/>
      <c r="O60" s="77">
        <v>126.0</v>
      </c>
      <c r="P60" s="76">
        <f t="shared" si="56"/>
        <v>126</v>
      </c>
      <c r="Q60" s="75">
        <f t="shared" ref="Q60:T60" si="72">SUM(B60,G60,L60)</f>
        <v>250</v>
      </c>
      <c r="R60" s="75">
        <f t="shared" si="72"/>
        <v>0</v>
      </c>
      <c r="S60" s="75">
        <f t="shared" si="72"/>
        <v>3994</v>
      </c>
      <c r="T60" s="75">
        <f t="shared" si="72"/>
        <v>795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563.0</v>
      </c>
      <c r="C61" s="80">
        <v>239.0</v>
      </c>
      <c r="D61" s="80">
        <v>285.0</v>
      </c>
      <c r="E61" s="80"/>
      <c r="F61" s="76">
        <f t="shared" si="54"/>
        <v>1087</v>
      </c>
      <c r="G61" s="77">
        <v>1235.0</v>
      </c>
      <c r="H61" s="77">
        <v>387.0</v>
      </c>
      <c r="I61" s="77">
        <v>573.0</v>
      </c>
      <c r="J61" s="77"/>
      <c r="K61" s="76">
        <f t="shared" si="55"/>
        <v>2195</v>
      </c>
      <c r="L61" s="77"/>
      <c r="M61" s="77"/>
      <c r="N61" s="77"/>
      <c r="O61" s="77">
        <v>10.0</v>
      </c>
      <c r="P61" s="76">
        <f t="shared" si="56"/>
        <v>10</v>
      </c>
      <c r="Q61" s="75">
        <f t="shared" ref="Q61:T61" si="73">SUM(B61,G61,L61)</f>
        <v>1798</v>
      </c>
      <c r="R61" s="75">
        <f t="shared" si="73"/>
        <v>626</v>
      </c>
      <c r="S61" s="75">
        <f t="shared" si="73"/>
        <v>858</v>
      </c>
      <c r="T61" s="75">
        <f t="shared" si="73"/>
        <v>10</v>
      </c>
      <c r="U61" s="78">
        <f t="shared" si="58"/>
        <v>3292</v>
      </c>
      <c r="V61" s="2"/>
    </row>
    <row r="62" ht="15.0" customHeight="1">
      <c r="A62" s="74" t="s">
        <v>97</v>
      </c>
      <c r="B62" s="77">
        <v>72.0</v>
      </c>
      <c r="C62" s="77">
        <v>115.0</v>
      </c>
      <c r="D62" s="77">
        <v>1032.0</v>
      </c>
      <c r="E62" s="77">
        <v>584.0</v>
      </c>
      <c r="F62" s="76">
        <f t="shared" si="54"/>
        <v>1803</v>
      </c>
      <c r="G62" s="77">
        <v>20.0</v>
      </c>
      <c r="H62" s="77">
        <v>58.0</v>
      </c>
      <c r="I62" s="77">
        <v>285.0</v>
      </c>
      <c r="J62" s="77">
        <v>73.0</v>
      </c>
      <c r="K62" s="76">
        <f t="shared" si="55"/>
        <v>436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92</v>
      </c>
      <c r="R62" s="75">
        <f t="shared" si="74"/>
        <v>173</v>
      </c>
      <c r="S62" s="75">
        <f t="shared" si="74"/>
        <v>1317</v>
      </c>
      <c r="T62" s="75">
        <f t="shared" si="74"/>
        <v>657</v>
      </c>
      <c r="U62" s="78">
        <f t="shared" si="58"/>
        <v>2239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889</v>
      </c>
      <c r="C64" s="73">
        <f t="shared" ref="C64:K64" si="76">SUM(C65:C78)</f>
        <v>1455</v>
      </c>
      <c r="D64" s="73">
        <f t="shared" si="76"/>
        <v>524</v>
      </c>
      <c r="E64" s="73">
        <f t="shared" si="76"/>
        <v>0</v>
      </c>
      <c r="F64" s="73">
        <f t="shared" si="76"/>
        <v>2868</v>
      </c>
      <c r="G64" s="73">
        <f t="shared" si="76"/>
        <v>605</v>
      </c>
      <c r="H64" s="73">
        <f t="shared" si="76"/>
        <v>1600</v>
      </c>
      <c r="I64" s="73">
        <f t="shared" si="76"/>
        <v>272</v>
      </c>
      <c r="J64" s="73">
        <f t="shared" si="76"/>
        <v>0</v>
      </c>
      <c r="K64" s="73">
        <f t="shared" si="76"/>
        <v>2477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1552</v>
      </c>
      <c r="R64" s="73">
        <f t="shared" si="77"/>
        <v>3115</v>
      </c>
      <c r="S64" s="73">
        <f t="shared" si="77"/>
        <v>796</v>
      </c>
      <c r="T64" s="73">
        <f t="shared" si="77"/>
        <v>0</v>
      </c>
      <c r="U64" s="73">
        <f t="shared" si="77"/>
        <v>5463</v>
      </c>
      <c r="V64" s="2" t="s">
        <v>114</v>
      </c>
    </row>
    <row r="65" ht="15.0" customHeight="1">
      <c r="A65" s="74" t="s">
        <v>100</v>
      </c>
      <c r="B65" s="75">
        <v>50.0</v>
      </c>
      <c r="C65" s="75">
        <v>14.0</v>
      </c>
      <c r="D65" s="75">
        <v>48.0</v>
      </c>
      <c r="E65" s="75"/>
      <c r="F65" s="76">
        <f t="shared" ref="F65:F79" si="79">SUM(B65:E65)</f>
        <v>112</v>
      </c>
      <c r="G65" s="75">
        <v>15.0</v>
      </c>
      <c r="H65" s="75">
        <v>192.0</v>
      </c>
      <c r="I65" s="75">
        <v>9.0</v>
      </c>
      <c r="J65" s="75"/>
      <c r="K65" s="76">
        <f t="shared" ref="K65:K79" si="80">SUM(G65:J65)</f>
        <v>216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65</v>
      </c>
      <c r="R65" s="75">
        <f t="shared" si="78"/>
        <v>206</v>
      </c>
      <c r="S65" s="75">
        <f t="shared" si="78"/>
        <v>57</v>
      </c>
      <c r="T65" s="75">
        <f t="shared" si="78"/>
        <v>0</v>
      </c>
      <c r="U65" s="76">
        <f t="shared" ref="U65:U79" si="83">SUM(Q65:T65)</f>
        <v>328</v>
      </c>
      <c r="V65" s="2"/>
    </row>
    <row r="66" ht="15.0" customHeight="1">
      <c r="A66" s="74" t="s">
        <v>101</v>
      </c>
      <c r="B66" s="77">
        <v>113.0</v>
      </c>
      <c r="C66" s="77">
        <v>341.0</v>
      </c>
      <c r="D66" s="77">
        <v>20.0</v>
      </c>
      <c r="E66" s="77"/>
      <c r="F66" s="76">
        <f t="shared" si="79"/>
        <v>474</v>
      </c>
      <c r="G66" s="77"/>
      <c r="H66" s="77">
        <v>73.0</v>
      </c>
      <c r="I66" s="77">
        <v>8.0</v>
      </c>
      <c r="J66" s="77"/>
      <c r="K66" s="76">
        <f t="shared" si="80"/>
        <v>81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113</v>
      </c>
      <c r="R66" s="75">
        <f t="shared" si="82"/>
        <v>414</v>
      </c>
      <c r="S66" s="75">
        <f t="shared" si="82"/>
        <v>28</v>
      </c>
      <c r="T66" s="75">
        <f t="shared" si="82"/>
        <v>0</v>
      </c>
      <c r="U66" s="76">
        <f t="shared" si="83"/>
        <v>555</v>
      </c>
      <c r="V66" s="2"/>
    </row>
    <row r="67" ht="15.0" customHeight="1">
      <c r="A67" s="74" t="s">
        <v>102</v>
      </c>
      <c r="B67" s="77">
        <v>11.0</v>
      </c>
      <c r="C67" s="77">
        <v>38.0</v>
      </c>
      <c r="D67" s="77">
        <v>12.0</v>
      </c>
      <c r="E67" s="77"/>
      <c r="F67" s="76">
        <f t="shared" si="79"/>
        <v>61</v>
      </c>
      <c r="G67" s="77">
        <v>5.0</v>
      </c>
      <c r="H67" s="77">
        <v>45.0</v>
      </c>
      <c r="I67" s="77">
        <v>3.0</v>
      </c>
      <c r="J67" s="77"/>
      <c r="K67" s="76">
        <f t="shared" si="80"/>
        <v>53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16</v>
      </c>
      <c r="R67" s="75">
        <f t="shared" si="84"/>
        <v>83</v>
      </c>
      <c r="S67" s="75">
        <f t="shared" si="84"/>
        <v>15</v>
      </c>
      <c r="T67" s="75">
        <f t="shared" si="84"/>
        <v>0</v>
      </c>
      <c r="U67" s="76">
        <f t="shared" si="83"/>
        <v>114</v>
      </c>
      <c r="V67" s="2"/>
    </row>
    <row r="68" ht="15.0" customHeight="1">
      <c r="A68" s="74" t="s">
        <v>103</v>
      </c>
      <c r="B68" s="77">
        <v>20.0</v>
      </c>
      <c r="C68" s="77">
        <v>30.0</v>
      </c>
      <c r="D68" s="77">
        <v>11.0</v>
      </c>
      <c r="E68" s="77"/>
      <c r="F68" s="76">
        <f t="shared" si="79"/>
        <v>61</v>
      </c>
      <c r="G68" s="77">
        <v>20.0</v>
      </c>
      <c r="H68" s="77">
        <v>125.0</v>
      </c>
      <c r="I68" s="77"/>
      <c r="J68" s="77"/>
      <c r="K68" s="76">
        <f t="shared" si="80"/>
        <v>145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40</v>
      </c>
      <c r="R68" s="75">
        <f t="shared" si="85"/>
        <v>155</v>
      </c>
      <c r="S68" s="75">
        <f t="shared" si="85"/>
        <v>11</v>
      </c>
      <c r="T68" s="75">
        <f t="shared" si="85"/>
        <v>0</v>
      </c>
      <c r="U68" s="76">
        <f t="shared" si="83"/>
        <v>206</v>
      </c>
      <c r="V68" s="2"/>
    </row>
    <row r="69" ht="15.0" customHeight="1">
      <c r="A69" s="74" t="s">
        <v>59</v>
      </c>
      <c r="B69" s="77">
        <v>108.0</v>
      </c>
      <c r="C69" s="77">
        <v>214.0</v>
      </c>
      <c r="D69" s="77">
        <v>40.0</v>
      </c>
      <c r="E69" s="77"/>
      <c r="F69" s="76">
        <f t="shared" si="79"/>
        <v>362</v>
      </c>
      <c r="G69" s="77">
        <v>153.0</v>
      </c>
      <c r="H69" s="77">
        <v>222.0</v>
      </c>
      <c r="I69" s="77">
        <v>15.0</v>
      </c>
      <c r="J69" s="77"/>
      <c r="K69" s="76">
        <f t="shared" si="80"/>
        <v>390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261</v>
      </c>
      <c r="R69" s="75">
        <f t="shared" si="86"/>
        <v>436</v>
      </c>
      <c r="S69" s="75">
        <f t="shared" si="86"/>
        <v>55</v>
      </c>
      <c r="T69" s="75">
        <f t="shared" si="86"/>
        <v>0</v>
      </c>
      <c r="U69" s="76">
        <f t="shared" si="83"/>
        <v>752</v>
      </c>
      <c r="V69" s="2"/>
    </row>
    <row r="70" ht="15.0" customHeight="1">
      <c r="A70" s="74" t="s">
        <v>104</v>
      </c>
      <c r="B70" s="77">
        <v>112.0</v>
      </c>
      <c r="C70" s="77">
        <v>239.0</v>
      </c>
      <c r="D70" s="77">
        <v>61.0</v>
      </c>
      <c r="E70" s="77"/>
      <c r="F70" s="76">
        <f t="shared" si="79"/>
        <v>412</v>
      </c>
      <c r="G70" s="77">
        <v>15.0</v>
      </c>
      <c r="H70" s="77">
        <v>76.0</v>
      </c>
      <c r="I70" s="77">
        <v>12.0</v>
      </c>
      <c r="J70" s="77"/>
      <c r="K70" s="76">
        <f t="shared" si="80"/>
        <v>103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127</v>
      </c>
      <c r="R70" s="75">
        <f t="shared" si="87"/>
        <v>315</v>
      </c>
      <c r="S70" s="75">
        <f t="shared" si="87"/>
        <v>73</v>
      </c>
      <c r="T70" s="75">
        <f t="shared" si="87"/>
        <v>0</v>
      </c>
      <c r="U70" s="76">
        <f t="shared" si="83"/>
        <v>515</v>
      </c>
      <c r="V70" s="2"/>
    </row>
    <row r="71" ht="15.0" customHeight="1">
      <c r="A71" s="74" t="s">
        <v>105</v>
      </c>
      <c r="B71" s="77">
        <v>159.0</v>
      </c>
      <c r="C71" s="77">
        <v>30.0</v>
      </c>
      <c r="D71" s="77">
        <v>119.0</v>
      </c>
      <c r="E71" s="77"/>
      <c r="F71" s="76">
        <f t="shared" si="79"/>
        <v>308</v>
      </c>
      <c r="G71" s="77">
        <v>140.0</v>
      </c>
      <c r="H71" s="77">
        <v>240.0</v>
      </c>
      <c r="I71" s="77">
        <v>81.0</v>
      </c>
      <c r="J71" s="77"/>
      <c r="K71" s="76">
        <f t="shared" si="80"/>
        <v>461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299</v>
      </c>
      <c r="R71" s="75">
        <f t="shared" si="88"/>
        <v>270</v>
      </c>
      <c r="S71" s="75">
        <f t="shared" si="88"/>
        <v>200</v>
      </c>
      <c r="T71" s="75">
        <f t="shared" si="88"/>
        <v>0</v>
      </c>
      <c r="U71" s="76">
        <f t="shared" si="83"/>
        <v>769</v>
      </c>
      <c r="V71" s="2"/>
    </row>
    <row r="72" ht="15.0" customHeight="1">
      <c r="A72" s="74" t="s">
        <v>106</v>
      </c>
      <c r="B72" s="90">
        <v>20.0</v>
      </c>
      <c r="C72" s="90">
        <v>80.0</v>
      </c>
      <c r="D72" s="90">
        <v>35.0</v>
      </c>
      <c r="E72" s="90"/>
      <c r="F72" s="76">
        <f t="shared" si="79"/>
        <v>135</v>
      </c>
      <c r="G72" s="90">
        <v>68.0</v>
      </c>
      <c r="H72" s="90">
        <v>9.0</v>
      </c>
      <c r="I72" s="90">
        <v>8.0</v>
      </c>
      <c r="J72" s="90"/>
      <c r="K72" s="76">
        <f t="shared" si="80"/>
        <v>85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88</v>
      </c>
      <c r="R72" s="75">
        <f t="shared" si="89"/>
        <v>89</v>
      </c>
      <c r="S72" s="75">
        <f t="shared" si="89"/>
        <v>43</v>
      </c>
      <c r="T72" s="75">
        <f t="shared" si="89"/>
        <v>0</v>
      </c>
      <c r="U72" s="76">
        <f t="shared" si="83"/>
        <v>220</v>
      </c>
      <c r="V72" s="2"/>
    </row>
    <row r="73" ht="15.0" customHeight="1">
      <c r="A73" s="74" t="s">
        <v>107</v>
      </c>
      <c r="B73" s="77">
        <v>58.0</v>
      </c>
      <c r="C73" s="77">
        <v>40.0</v>
      </c>
      <c r="D73" s="77">
        <v>10.0</v>
      </c>
      <c r="E73" s="77"/>
      <c r="F73" s="76">
        <f t="shared" si="79"/>
        <v>108</v>
      </c>
      <c r="G73" s="77">
        <v>20.0</v>
      </c>
      <c r="H73" s="77">
        <v>30.0</v>
      </c>
      <c r="I73" s="77"/>
      <c r="J73" s="77"/>
      <c r="K73" s="76">
        <f t="shared" si="80"/>
        <v>50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78</v>
      </c>
      <c r="R73" s="75">
        <f t="shared" si="90"/>
        <v>70</v>
      </c>
      <c r="S73" s="75">
        <f t="shared" si="90"/>
        <v>10</v>
      </c>
      <c r="T73" s="75">
        <f t="shared" si="90"/>
        <v>0</v>
      </c>
      <c r="U73" s="76">
        <f t="shared" si="83"/>
        <v>158</v>
      </c>
      <c r="V73" s="2"/>
    </row>
    <row r="74" ht="15.0" customHeight="1">
      <c r="A74" s="74" t="s">
        <v>108</v>
      </c>
      <c r="B74" s="77">
        <v>88.0</v>
      </c>
      <c r="C74" s="77">
        <v>131.0</v>
      </c>
      <c r="D74" s="77">
        <v>76.0</v>
      </c>
      <c r="E74" s="77"/>
      <c r="F74" s="76">
        <f t="shared" si="79"/>
        <v>295</v>
      </c>
      <c r="G74" s="77">
        <v>97.0</v>
      </c>
      <c r="H74" s="77">
        <v>104.0</v>
      </c>
      <c r="I74" s="77">
        <v>79.0</v>
      </c>
      <c r="J74" s="77"/>
      <c r="K74" s="76">
        <f t="shared" si="80"/>
        <v>280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185</v>
      </c>
      <c r="R74" s="75">
        <f t="shared" si="91"/>
        <v>235</v>
      </c>
      <c r="S74" s="75">
        <f t="shared" si="91"/>
        <v>155</v>
      </c>
      <c r="T74" s="75">
        <f t="shared" si="91"/>
        <v>0</v>
      </c>
      <c r="U74" s="76">
        <f t="shared" si="83"/>
        <v>575</v>
      </c>
      <c r="V74" s="2"/>
    </row>
    <row r="75" ht="15.0" customHeight="1">
      <c r="A75" s="74" t="s">
        <v>109</v>
      </c>
      <c r="B75" s="77">
        <v>115.0</v>
      </c>
      <c r="C75" s="77">
        <v>257.0</v>
      </c>
      <c r="D75" s="77">
        <v>53.0</v>
      </c>
      <c r="E75" s="77"/>
      <c r="F75" s="76">
        <f t="shared" si="79"/>
        <v>425</v>
      </c>
      <c r="G75" s="77"/>
      <c r="H75" s="77">
        <v>16.0</v>
      </c>
      <c r="I75" s="77">
        <v>2.0</v>
      </c>
      <c r="J75" s="77"/>
      <c r="K75" s="76">
        <f t="shared" si="80"/>
        <v>18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115</v>
      </c>
      <c r="R75" s="75">
        <f t="shared" si="92"/>
        <v>273</v>
      </c>
      <c r="S75" s="75">
        <f t="shared" si="92"/>
        <v>55</v>
      </c>
      <c r="T75" s="75">
        <f t="shared" si="92"/>
        <v>0</v>
      </c>
      <c r="U75" s="76">
        <f t="shared" si="83"/>
        <v>443</v>
      </c>
      <c r="V75" s="2"/>
    </row>
    <row r="76" ht="15.0" customHeight="1">
      <c r="A76" s="74" t="s">
        <v>65</v>
      </c>
      <c r="B76" s="77">
        <v>6.0</v>
      </c>
      <c r="C76" s="77">
        <v>2.0</v>
      </c>
      <c r="D76" s="77">
        <v>12.0</v>
      </c>
      <c r="E76" s="77"/>
      <c r="F76" s="76">
        <f t="shared" si="79"/>
        <v>20</v>
      </c>
      <c r="G76" s="77">
        <v>8.0</v>
      </c>
      <c r="H76" s="77">
        <v>20.0</v>
      </c>
      <c r="I76" s="77"/>
      <c r="J76" s="77"/>
      <c r="K76" s="76">
        <f t="shared" si="80"/>
        <v>28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14</v>
      </c>
      <c r="R76" s="75">
        <f t="shared" si="93"/>
        <v>22</v>
      </c>
      <c r="S76" s="75">
        <f t="shared" si="93"/>
        <v>12</v>
      </c>
      <c r="T76" s="75">
        <f t="shared" si="93"/>
        <v>0</v>
      </c>
      <c r="U76" s="76">
        <f t="shared" si="83"/>
        <v>48</v>
      </c>
      <c r="V76" s="2"/>
    </row>
    <row r="77" ht="15.0" customHeight="1">
      <c r="A77" s="74" t="s">
        <v>110</v>
      </c>
      <c r="B77" s="77">
        <v>27.0</v>
      </c>
      <c r="C77" s="77"/>
      <c r="D77" s="77">
        <v>20.0</v>
      </c>
      <c r="E77" s="77"/>
      <c r="F77" s="76">
        <f t="shared" si="79"/>
        <v>47</v>
      </c>
      <c r="G77" s="77">
        <v>52.0</v>
      </c>
      <c r="H77" s="77">
        <v>408.0</v>
      </c>
      <c r="I77" s="77">
        <v>55.0</v>
      </c>
      <c r="J77" s="77"/>
      <c r="K77" s="76">
        <f t="shared" si="80"/>
        <v>515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79</v>
      </c>
      <c r="R77" s="75">
        <f t="shared" si="94"/>
        <v>408</v>
      </c>
      <c r="S77" s="75">
        <f t="shared" si="94"/>
        <v>75</v>
      </c>
      <c r="T77" s="75">
        <f t="shared" si="94"/>
        <v>0</v>
      </c>
      <c r="U77" s="76">
        <f t="shared" si="83"/>
        <v>562</v>
      </c>
      <c r="V77" s="2"/>
    </row>
    <row r="78" ht="15.0" customHeight="1">
      <c r="A78" s="74" t="s">
        <v>111</v>
      </c>
      <c r="B78" s="77">
        <v>2.0</v>
      </c>
      <c r="C78" s="77">
        <v>39.0</v>
      </c>
      <c r="D78" s="77">
        <v>7.0</v>
      </c>
      <c r="E78" s="77"/>
      <c r="F78" s="76">
        <f t="shared" si="79"/>
        <v>48</v>
      </c>
      <c r="G78" s="77">
        <v>12.0</v>
      </c>
      <c r="H78" s="77">
        <v>40.0</v>
      </c>
      <c r="I78" s="77"/>
      <c r="J78" s="77"/>
      <c r="K78" s="76">
        <f t="shared" si="80"/>
        <v>52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14</v>
      </c>
      <c r="R78" s="75">
        <f t="shared" si="95"/>
        <v>79</v>
      </c>
      <c r="S78" s="75">
        <f t="shared" si="95"/>
        <v>7</v>
      </c>
      <c r="T78" s="75">
        <f t="shared" si="95"/>
        <v>0</v>
      </c>
      <c r="U78" s="76">
        <f t="shared" si="83"/>
        <v>100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>
        <v>58.0</v>
      </c>
      <c r="H79" s="77">
        <v>60.0</v>
      </c>
      <c r="I79" s="77"/>
      <c r="J79" s="77"/>
      <c r="K79" s="76">
        <f t="shared" si="80"/>
        <v>118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58</v>
      </c>
      <c r="R79" s="75">
        <f t="shared" si="96"/>
        <v>60</v>
      </c>
      <c r="S79" s="75">
        <f t="shared" si="96"/>
        <v>0</v>
      </c>
      <c r="T79" s="75">
        <f t="shared" si="96"/>
        <v>0</v>
      </c>
      <c r="U79" s="76">
        <f t="shared" si="83"/>
        <v>118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29869</v>
      </c>
      <c r="C9" s="70">
        <f t="shared" si="1"/>
        <v>51591</v>
      </c>
      <c r="D9" s="70">
        <f t="shared" si="1"/>
        <v>16393</v>
      </c>
      <c r="E9" s="70">
        <f t="shared" si="1"/>
        <v>6114</v>
      </c>
      <c r="F9" s="71">
        <f t="shared" si="1"/>
        <v>103967</v>
      </c>
      <c r="G9" s="70">
        <f t="shared" si="1"/>
        <v>17178</v>
      </c>
      <c r="H9" s="70">
        <f t="shared" si="1"/>
        <v>13276</v>
      </c>
      <c r="I9" s="70">
        <f t="shared" si="1"/>
        <v>2515</v>
      </c>
      <c r="J9" s="70">
        <f t="shared" si="1"/>
        <v>233</v>
      </c>
      <c r="K9" s="71">
        <f t="shared" si="1"/>
        <v>33202</v>
      </c>
      <c r="L9" s="70">
        <f t="shared" si="1"/>
        <v>1606</v>
      </c>
      <c r="M9" s="70">
        <f t="shared" si="1"/>
        <v>2340</v>
      </c>
      <c r="N9" s="70">
        <f t="shared" si="1"/>
        <v>464</v>
      </c>
      <c r="O9" s="70">
        <f t="shared" si="1"/>
        <v>277</v>
      </c>
      <c r="P9" s="71">
        <f t="shared" si="1"/>
        <v>4687</v>
      </c>
      <c r="Q9" s="70">
        <f t="shared" si="1"/>
        <v>48713</v>
      </c>
      <c r="R9" s="70">
        <f t="shared" si="1"/>
        <v>67207</v>
      </c>
      <c r="S9" s="70">
        <f t="shared" si="1"/>
        <v>19372</v>
      </c>
      <c r="T9" s="70">
        <f t="shared" si="1"/>
        <v>6624</v>
      </c>
      <c r="U9" s="71">
        <f t="shared" si="1"/>
        <v>141916</v>
      </c>
      <c r="V9" s="2"/>
    </row>
    <row r="10" ht="15.75" customHeight="1">
      <c r="A10" s="72" t="s">
        <v>49</v>
      </c>
      <c r="B10" s="73">
        <f t="shared" ref="B10:U10" si="2">SUM(B11:B16)</f>
        <v>85</v>
      </c>
      <c r="C10" s="73">
        <f t="shared" si="2"/>
        <v>758</v>
      </c>
      <c r="D10" s="73">
        <f t="shared" si="2"/>
        <v>209</v>
      </c>
      <c r="E10" s="73">
        <f t="shared" si="2"/>
        <v>4</v>
      </c>
      <c r="F10" s="73">
        <f t="shared" si="2"/>
        <v>1056</v>
      </c>
      <c r="G10" s="73">
        <f t="shared" si="2"/>
        <v>18</v>
      </c>
      <c r="H10" s="73">
        <f t="shared" si="2"/>
        <v>533</v>
      </c>
      <c r="I10" s="73">
        <f t="shared" si="2"/>
        <v>35</v>
      </c>
      <c r="J10" s="73">
        <f t="shared" si="2"/>
        <v>70</v>
      </c>
      <c r="K10" s="73">
        <f t="shared" si="2"/>
        <v>656</v>
      </c>
      <c r="L10" s="73">
        <f t="shared" si="2"/>
        <v>3</v>
      </c>
      <c r="M10" s="73">
        <f t="shared" si="2"/>
        <v>47</v>
      </c>
      <c r="N10" s="73">
        <f t="shared" si="2"/>
        <v>77</v>
      </c>
      <c r="O10" s="73">
        <f t="shared" si="2"/>
        <v>0</v>
      </c>
      <c r="P10" s="73">
        <f t="shared" si="2"/>
        <v>127</v>
      </c>
      <c r="Q10" s="73">
        <f t="shared" si="2"/>
        <v>106</v>
      </c>
      <c r="R10" s="73">
        <f t="shared" si="2"/>
        <v>1338</v>
      </c>
      <c r="S10" s="73">
        <f t="shared" si="2"/>
        <v>321</v>
      </c>
      <c r="T10" s="73">
        <f t="shared" si="2"/>
        <v>74</v>
      </c>
      <c r="U10" s="73">
        <f t="shared" si="2"/>
        <v>1839</v>
      </c>
      <c r="V10" s="2" t="s">
        <v>114</v>
      </c>
    </row>
    <row r="11" ht="15.0" customHeight="1">
      <c r="A11" s="74" t="s">
        <v>50</v>
      </c>
      <c r="B11" s="75">
        <v>2.0</v>
      </c>
      <c r="C11" s="75">
        <v>268.0</v>
      </c>
      <c r="D11" s="75">
        <v>3.0</v>
      </c>
      <c r="E11" s="75"/>
      <c r="F11" s="76">
        <f t="shared" ref="F11:F16" si="4">SUM(B11:E11)</f>
        <v>273</v>
      </c>
      <c r="G11" s="75">
        <v>8.0</v>
      </c>
      <c r="H11" s="75">
        <v>143.0</v>
      </c>
      <c r="I11" s="75"/>
      <c r="J11" s="75"/>
      <c r="K11" s="76">
        <f t="shared" ref="K11:K16" si="5">SUM(G11:J11)</f>
        <v>151</v>
      </c>
      <c r="L11" s="75"/>
      <c r="M11" s="75"/>
      <c r="N11" s="75">
        <v>75.0</v>
      </c>
      <c r="O11" s="75"/>
      <c r="P11" s="76">
        <f t="shared" ref="P11:P16" si="6">SUM(L11:O11)</f>
        <v>75</v>
      </c>
      <c r="Q11" s="75">
        <f t="shared" ref="Q11:T11" si="3">SUM(B11,G11,L11)</f>
        <v>10</v>
      </c>
      <c r="R11" s="75">
        <f t="shared" si="3"/>
        <v>411</v>
      </c>
      <c r="S11" s="75">
        <f t="shared" si="3"/>
        <v>78</v>
      </c>
      <c r="T11" s="75">
        <f t="shared" si="3"/>
        <v>0</v>
      </c>
      <c r="U11" s="76">
        <f t="shared" ref="U11:U16" si="8">SUM(Q11:T11)</f>
        <v>499</v>
      </c>
      <c r="V11" s="2"/>
    </row>
    <row r="12" ht="15.0" customHeight="1">
      <c r="A12" s="74" t="s">
        <v>51</v>
      </c>
      <c r="B12" s="77">
        <v>10.0</v>
      </c>
      <c r="C12" s="77">
        <v>5.0</v>
      </c>
      <c r="D12" s="77">
        <v>5.0</v>
      </c>
      <c r="E12" s="77">
        <v>4.0</v>
      </c>
      <c r="F12" s="78">
        <f t="shared" si="4"/>
        <v>24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10</v>
      </c>
      <c r="R12" s="77">
        <f t="shared" si="7"/>
        <v>5</v>
      </c>
      <c r="S12" s="77">
        <f t="shared" si="7"/>
        <v>5</v>
      </c>
      <c r="T12" s="77">
        <f t="shared" si="7"/>
        <v>4</v>
      </c>
      <c r="U12" s="78">
        <f t="shared" si="8"/>
        <v>24</v>
      </c>
      <c r="V12" s="2"/>
    </row>
    <row r="13" ht="15.0" customHeight="1">
      <c r="A13" s="74" t="s">
        <v>52</v>
      </c>
      <c r="B13" s="77">
        <v>20.0</v>
      </c>
      <c r="C13" s="77">
        <v>24.0</v>
      </c>
      <c r="D13" s="77"/>
      <c r="E13" s="77"/>
      <c r="F13" s="78">
        <f t="shared" si="4"/>
        <v>44</v>
      </c>
      <c r="G13" s="77">
        <v>9.0</v>
      </c>
      <c r="H13" s="77">
        <v>6.0</v>
      </c>
      <c r="I13" s="77">
        <v>2.0</v>
      </c>
      <c r="J13" s="77"/>
      <c r="K13" s="78">
        <f t="shared" si="5"/>
        <v>17</v>
      </c>
      <c r="L13" s="77">
        <v>3.0</v>
      </c>
      <c r="M13" s="77">
        <v>26.0</v>
      </c>
      <c r="N13" s="77"/>
      <c r="O13" s="77"/>
      <c r="P13" s="78">
        <f t="shared" si="6"/>
        <v>29</v>
      </c>
      <c r="Q13" s="77">
        <f t="shared" ref="Q13:T13" si="9">SUM(B13,G13,L13)</f>
        <v>32</v>
      </c>
      <c r="R13" s="77">
        <f t="shared" si="9"/>
        <v>56</v>
      </c>
      <c r="S13" s="77">
        <f t="shared" si="9"/>
        <v>2</v>
      </c>
      <c r="T13" s="77">
        <f t="shared" si="9"/>
        <v>0</v>
      </c>
      <c r="U13" s="78">
        <f t="shared" si="8"/>
        <v>90</v>
      </c>
      <c r="V13" s="2"/>
    </row>
    <row r="14" ht="15.0" customHeight="1">
      <c r="A14" s="74" t="s">
        <v>53</v>
      </c>
      <c r="B14" s="77"/>
      <c r="C14" s="77">
        <v>203.0</v>
      </c>
      <c r="D14" s="77"/>
      <c r="E14" s="77"/>
      <c r="F14" s="78">
        <f t="shared" si="4"/>
        <v>203</v>
      </c>
      <c r="G14" s="77"/>
      <c r="H14" s="77">
        <v>167.0</v>
      </c>
      <c r="I14" s="77"/>
      <c r="J14" s="77"/>
      <c r="K14" s="78">
        <f t="shared" si="5"/>
        <v>167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370</v>
      </c>
      <c r="S14" s="77">
        <f t="shared" si="10"/>
        <v>0</v>
      </c>
      <c r="T14" s="77">
        <f t="shared" si="10"/>
        <v>0</v>
      </c>
      <c r="U14" s="78">
        <f t="shared" si="8"/>
        <v>370</v>
      </c>
      <c r="V14" s="2"/>
    </row>
    <row r="15" ht="15.0" customHeight="1">
      <c r="A15" s="74" t="s">
        <v>54</v>
      </c>
      <c r="B15" s="77">
        <v>53.0</v>
      </c>
      <c r="C15" s="77">
        <v>137.0</v>
      </c>
      <c r="D15" s="77">
        <v>201.0</v>
      </c>
      <c r="E15" s="77"/>
      <c r="F15" s="78">
        <f t="shared" si="4"/>
        <v>391</v>
      </c>
      <c r="G15" s="77"/>
      <c r="H15" s="77"/>
      <c r="I15" s="77">
        <v>33.0</v>
      </c>
      <c r="J15" s="77">
        <v>70.0</v>
      </c>
      <c r="K15" s="78">
        <f t="shared" si="5"/>
        <v>103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53</v>
      </c>
      <c r="R15" s="77">
        <f t="shared" si="11"/>
        <v>137</v>
      </c>
      <c r="S15" s="77">
        <f t="shared" si="11"/>
        <v>234</v>
      </c>
      <c r="T15" s="77">
        <f t="shared" si="11"/>
        <v>70</v>
      </c>
      <c r="U15" s="78">
        <f t="shared" si="8"/>
        <v>494</v>
      </c>
      <c r="V15" s="2"/>
    </row>
    <row r="16" ht="15.75" customHeight="1">
      <c r="A16" s="74" t="s">
        <v>55</v>
      </c>
      <c r="B16" s="77"/>
      <c r="C16" s="77">
        <v>121.0</v>
      </c>
      <c r="D16" s="77"/>
      <c r="E16" s="77"/>
      <c r="F16" s="78">
        <f t="shared" si="4"/>
        <v>121</v>
      </c>
      <c r="G16" s="77">
        <v>1.0</v>
      </c>
      <c r="H16" s="77">
        <v>217.0</v>
      </c>
      <c r="I16" s="77"/>
      <c r="J16" s="77"/>
      <c r="K16" s="78">
        <f t="shared" si="5"/>
        <v>218</v>
      </c>
      <c r="L16" s="77"/>
      <c r="M16" s="77">
        <v>21.0</v>
      </c>
      <c r="N16" s="77">
        <v>2.0</v>
      </c>
      <c r="O16" s="77"/>
      <c r="P16" s="78">
        <f t="shared" si="6"/>
        <v>23</v>
      </c>
      <c r="Q16" s="77">
        <f t="shared" ref="Q16:T16" si="12">SUM(B16,G16,L16)</f>
        <v>1</v>
      </c>
      <c r="R16" s="77">
        <f t="shared" si="12"/>
        <v>359</v>
      </c>
      <c r="S16" s="77">
        <f t="shared" si="12"/>
        <v>2</v>
      </c>
      <c r="T16" s="77">
        <f t="shared" si="12"/>
        <v>0</v>
      </c>
      <c r="U16" s="78">
        <f t="shared" si="8"/>
        <v>362</v>
      </c>
      <c r="V16" s="2"/>
    </row>
    <row r="17" ht="15.75" customHeight="1">
      <c r="A17" s="72" t="s">
        <v>56</v>
      </c>
      <c r="B17" s="73">
        <f t="shared" ref="B17:Q17" si="13">SUM(B18:B28)</f>
        <v>12997</v>
      </c>
      <c r="C17" s="73">
        <f t="shared" si="13"/>
        <v>15731</v>
      </c>
      <c r="D17" s="73">
        <f t="shared" si="13"/>
        <v>391</v>
      </c>
      <c r="E17" s="73">
        <f t="shared" si="13"/>
        <v>254</v>
      </c>
      <c r="F17" s="73">
        <f t="shared" si="13"/>
        <v>29373</v>
      </c>
      <c r="G17" s="73">
        <f t="shared" si="13"/>
        <v>10469</v>
      </c>
      <c r="H17" s="73">
        <f t="shared" si="13"/>
        <v>6145</v>
      </c>
      <c r="I17" s="73">
        <f t="shared" si="13"/>
        <v>387</v>
      </c>
      <c r="J17" s="73">
        <f t="shared" si="13"/>
        <v>0</v>
      </c>
      <c r="K17" s="73">
        <f t="shared" si="13"/>
        <v>17001</v>
      </c>
      <c r="L17" s="73">
        <f t="shared" si="13"/>
        <v>737</v>
      </c>
      <c r="M17" s="73">
        <f t="shared" si="13"/>
        <v>991</v>
      </c>
      <c r="N17" s="73">
        <f t="shared" si="13"/>
        <v>0</v>
      </c>
      <c r="O17" s="73">
        <f t="shared" si="13"/>
        <v>0</v>
      </c>
      <c r="P17" s="73">
        <f t="shared" si="13"/>
        <v>1728</v>
      </c>
      <c r="Q17" s="73">
        <f t="shared" si="13"/>
        <v>24203</v>
      </c>
      <c r="R17" s="73">
        <f>R18+R19+R20+R21+R22+R23+R24+R25+R26+R27+R28</f>
        <v>22867</v>
      </c>
      <c r="S17" s="73">
        <f t="shared" ref="S17:U17" si="14">SUM(S18:S28)</f>
        <v>778</v>
      </c>
      <c r="T17" s="73">
        <f t="shared" si="14"/>
        <v>254</v>
      </c>
      <c r="U17" s="73">
        <f t="shared" si="14"/>
        <v>48102</v>
      </c>
      <c r="V17" s="2"/>
    </row>
    <row r="18" ht="15.0" customHeight="1">
      <c r="A18" s="74" t="s">
        <v>57</v>
      </c>
      <c r="B18" s="75">
        <v>208.0</v>
      </c>
      <c r="C18" s="75">
        <v>669.0</v>
      </c>
      <c r="D18" s="75"/>
      <c r="E18" s="75"/>
      <c r="F18" s="76">
        <f t="shared" ref="F18:F28" si="16">SUM(B18:E18)</f>
        <v>877</v>
      </c>
      <c r="G18" s="75">
        <v>256.0</v>
      </c>
      <c r="H18" s="75">
        <v>450.0</v>
      </c>
      <c r="I18" s="75"/>
      <c r="J18" s="75"/>
      <c r="K18" s="76">
        <f t="shared" ref="K18:K28" si="17">SUM(G18:J18)</f>
        <v>706</v>
      </c>
      <c r="L18" s="75"/>
      <c r="M18" s="75">
        <v>38.0</v>
      </c>
      <c r="N18" s="75"/>
      <c r="O18" s="75"/>
      <c r="P18" s="76">
        <f t="shared" ref="P18:P28" si="18">SUM(L18:O18)</f>
        <v>38</v>
      </c>
      <c r="Q18" s="75">
        <f t="shared" ref="Q18:T18" si="15">B18+G18+L18</f>
        <v>464</v>
      </c>
      <c r="R18" s="75">
        <f t="shared" si="15"/>
        <v>1157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1621</v>
      </c>
      <c r="V18" s="2"/>
    </row>
    <row r="19" ht="15.0" customHeight="1">
      <c r="A19" s="74" t="s">
        <v>58</v>
      </c>
      <c r="B19" s="77">
        <v>1098.0</v>
      </c>
      <c r="C19" s="77">
        <v>2803.0</v>
      </c>
      <c r="D19" s="75">
        <v>62.0</v>
      </c>
      <c r="E19" s="75"/>
      <c r="F19" s="76">
        <f t="shared" si="16"/>
        <v>3963</v>
      </c>
      <c r="G19" s="77">
        <v>1558.0</v>
      </c>
      <c r="H19" s="77">
        <v>166.0</v>
      </c>
      <c r="I19" s="77"/>
      <c r="J19" s="77"/>
      <c r="K19" s="76">
        <f t="shared" si="17"/>
        <v>1724</v>
      </c>
      <c r="L19" s="77">
        <v>43.0</v>
      </c>
      <c r="M19" s="77">
        <v>256.0</v>
      </c>
      <c r="N19" s="77"/>
      <c r="O19" s="77"/>
      <c r="P19" s="76">
        <f t="shared" si="18"/>
        <v>299</v>
      </c>
      <c r="Q19" s="75">
        <f t="shared" ref="Q19:T19" si="19">B19+G19+L19</f>
        <v>2699</v>
      </c>
      <c r="R19" s="75">
        <f t="shared" si="19"/>
        <v>3225</v>
      </c>
      <c r="S19" s="75">
        <f t="shared" si="19"/>
        <v>62</v>
      </c>
      <c r="T19" s="75">
        <f t="shared" si="19"/>
        <v>0</v>
      </c>
      <c r="U19" s="78">
        <f t="shared" si="20"/>
        <v>5986</v>
      </c>
      <c r="V19" s="2"/>
    </row>
    <row r="20" ht="15.0" customHeight="1">
      <c r="A20" s="74" t="s">
        <v>59</v>
      </c>
      <c r="B20" s="77">
        <v>102.0</v>
      </c>
      <c r="C20" s="77"/>
      <c r="D20" s="77"/>
      <c r="E20" s="77"/>
      <c r="F20" s="76">
        <f t="shared" si="16"/>
        <v>102</v>
      </c>
      <c r="G20" s="77">
        <v>8.0</v>
      </c>
      <c r="H20" s="77"/>
      <c r="I20" s="77"/>
      <c r="J20" s="77"/>
      <c r="K20" s="76">
        <f t="shared" si="17"/>
        <v>8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110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110</v>
      </c>
      <c r="V20" s="2"/>
    </row>
    <row r="21" ht="15.0" customHeight="1">
      <c r="A21" s="74" t="s">
        <v>60</v>
      </c>
      <c r="B21" s="77">
        <v>372.0</v>
      </c>
      <c r="C21" s="77">
        <v>747.0</v>
      </c>
      <c r="D21" s="77"/>
      <c r="E21" s="77"/>
      <c r="F21" s="76">
        <f t="shared" si="16"/>
        <v>1119</v>
      </c>
      <c r="G21" s="77">
        <v>199.0</v>
      </c>
      <c r="H21" s="77">
        <v>35.0</v>
      </c>
      <c r="I21" s="77"/>
      <c r="J21" s="77"/>
      <c r="K21" s="76">
        <f t="shared" si="17"/>
        <v>234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571</v>
      </c>
      <c r="R21" s="75">
        <f t="shared" si="22"/>
        <v>782</v>
      </c>
      <c r="S21" s="75">
        <f t="shared" si="22"/>
        <v>0</v>
      </c>
      <c r="T21" s="75">
        <f t="shared" si="22"/>
        <v>0</v>
      </c>
      <c r="U21" s="78">
        <f t="shared" si="20"/>
        <v>1353</v>
      </c>
      <c r="V21" s="2"/>
    </row>
    <row r="22" ht="15.0" customHeight="1">
      <c r="A22" s="74" t="s">
        <v>61</v>
      </c>
      <c r="B22" s="77">
        <v>688.0</v>
      </c>
      <c r="C22" s="77">
        <v>264.0</v>
      </c>
      <c r="D22" s="77"/>
      <c r="E22" s="77"/>
      <c r="F22" s="76">
        <f t="shared" si="16"/>
        <v>952</v>
      </c>
      <c r="G22" s="77">
        <v>174.0</v>
      </c>
      <c r="H22" s="77">
        <v>16.0</v>
      </c>
      <c r="I22" s="77"/>
      <c r="J22" s="77"/>
      <c r="K22" s="76">
        <f t="shared" si="17"/>
        <v>190</v>
      </c>
      <c r="L22" s="77">
        <v>10.0</v>
      </c>
      <c r="M22" s="77"/>
      <c r="N22" s="77"/>
      <c r="O22" s="77"/>
      <c r="P22" s="76">
        <f t="shared" si="18"/>
        <v>10</v>
      </c>
      <c r="Q22" s="75">
        <f t="shared" ref="Q22:T22" si="23">B22+G22+L22</f>
        <v>872</v>
      </c>
      <c r="R22" s="75">
        <f t="shared" si="23"/>
        <v>280</v>
      </c>
      <c r="S22" s="75">
        <f t="shared" si="23"/>
        <v>0</v>
      </c>
      <c r="T22" s="75">
        <f t="shared" si="23"/>
        <v>0</v>
      </c>
      <c r="U22" s="78">
        <f t="shared" si="20"/>
        <v>1152</v>
      </c>
      <c r="V22" s="2"/>
    </row>
    <row r="23" ht="15.0" customHeight="1">
      <c r="A23" s="74" t="s">
        <v>62</v>
      </c>
      <c r="B23" s="77">
        <v>29.0</v>
      </c>
      <c r="C23" s="77">
        <v>495.0</v>
      </c>
      <c r="D23" s="77"/>
      <c r="E23" s="77"/>
      <c r="F23" s="76">
        <f t="shared" si="16"/>
        <v>524</v>
      </c>
      <c r="G23" s="77">
        <v>24.0</v>
      </c>
      <c r="H23" s="77">
        <v>292.0</v>
      </c>
      <c r="I23" s="77"/>
      <c r="J23" s="77"/>
      <c r="K23" s="76">
        <f t="shared" si="17"/>
        <v>316</v>
      </c>
      <c r="L23" s="77"/>
      <c r="M23" s="77">
        <v>59.0</v>
      </c>
      <c r="N23" s="77"/>
      <c r="O23" s="77"/>
      <c r="P23" s="76">
        <f t="shared" si="18"/>
        <v>59</v>
      </c>
      <c r="Q23" s="75">
        <f t="shared" ref="Q23:T23" si="24">B23+G23+L23</f>
        <v>53</v>
      </c>
      <c r="R23" s="75">
        <f t="shared" si="24"/>
        <v>846</v>
      </c>
      <c r="S23" s="75">
        <f t="shared" si="24"/>
        <v>0</v>
      </c>
      <c r="T23" s="75">
        <f t="shared" si="24"/>
        <v>0</v>
      </c>
      <c r="U23" s="78">
        <f t="shared" si="20"/>
        <v>899</v>
      </c>
      <c r="V23" s="2"/>
    </row>
    <row r="24" ht="15.0" customHeight="1">
      <c r="A24" s="74" t="s">
        <v>63</v>
      </c>
      <c r="B24" s="79">
        <v>146.0</v>
      </c>
      <c r="C24" s="77"/>
      <c r="D24" s="77"/>
      <c r="E24" s="77"/>
      <c r="F24" s="76">
        <f t="shared" si="16"/>
        <v>146</v>
      </c>
      <c r="G24" s="77"/>
      <c r="H24" s="77"/>
      <c r="I24" s="77"/>
      <c r="J24" s="77"/>
      <c r="K24" s="76">
        <f t="shared" si="17"/>
        <v>0</v>
      </c>
      <c r="L24" s="77">
        <v>129.0</v>
      </c>
      <c r="M24" s="77">
        <v>146.0</v>
      </c>
      <c r="N24" s="77"/>
      <c r="O24" s="77"/>
      <c r="P24" s="76">
        <f t="shared" si="18"/>
        <v>275</v>
      </c>
      <c r="Q24" s="75">
        <f t="shared" ref="Q24:T24" si="25">B24+G24+L24</f>
        <v>275</v>
      </c>
      <c r="R24" s="75">
        <f t="shared" si="25"/>
        <v>146</v>
      </c>
      <c r="S24" s="75">
        <f t="shared" si="25"/>
        <v>0</v>
      </c>
      <c r="T24" s="75">
        <f t="shared" si="25"/>
        <v>0</v>
      </c>
      <c r="U24" s="78">
        <f t="shared" si="20"/>
        <v>421</v>
      </c>
      <c r="V24" s="2"/>
    </row>
    <row r="25" ht="15.0" customHeight="1">
      <c r="A25" s="74" t="s">
        <v>17</v>
      </c>
      <c r="B25" s="75">
        <v>2429.0</v>
      </c>
      <c r="C25" s="75">
        <v>3397.0</v>
      </c>
      <c r="D25" s="77"/>
      <c r="E25" s="77"/>
      <c r="F25" s="76">
        <f t="shared" si="16"/>
        <v>5826</v>
      </c>
      <c r="G25" s="75">
        <v>468.0</v>
      </c>
      <c r="H25" s="75">
        <v>827.0</v>
      </c>
      <c r="I25" s="75"/>
      <c r="J25" s="75"/>
      <c r="K25" s="76">
        <f t="shared" si="17"/>
        <v>1295</v>
      </c>
      <c r="L25" s="75">
        <v>64.0</v>
      </c>
      <c r="M25" s="75">
        <v>77.0</v>
      </c>
      <c r="N25" s="75"/>
      <c r="O25" s="75"/>
      <c r="P25" s="76">
        <f t="shared" si="18"/>
        <v>141</v>
      </c>
      <c r="Q25" s="75">
        <f t="shared" ref="Q25:T25" si="26">B25+G25+L25</f>
        <v>2961</v>
      </c>
      <c r="R25" s="75">
        <f t="shared" si="26"/>
        <v>4301</v>
      </c>
      <c r="S25" s="75">
        <f t="shared" si="26"/>
        <v>0</v>
      </c>
      <c r="T25" s="75">
        <f t="shared" si="26"/>
        <v>0</v>
      </c>
      <c r="U25" s="76">
        <f t="shared" si="20"/>
        <v>7262</v>
      </c>
      <c r="V25" s="2"/>
    </row>
    <row r="26" ht="15.0" customHeight="1">
      <c r="A26" s="74" t="s">
        <v>64</v>
      </c>
      <c r="B26" s="77">
        <v>3690.0</v>
      </c>
      <c r="C26" s="80">
        <v>2409.0</v>
      </c>
      <c r="D26" s="80">
        <v>27.0</v>
      </c>
      <c r="E26" s="75"/>
      <c r="F26" s="76">
        <f t="shared" si="16"/>
        <v>6126</v>
      </c>
      <c r="G26" s="77">
        <v>4941.0</v>
      </c>
      <c r="H26" s="77">
        <v>924.0</v>
      </c>
      <c r="I26" s="77">
        <v>5.0</v>
      </c>
      <c r="J26" s="77"/>
      <c r="K26" s="76">
        <f t="shared" si="17"/>
        <v>5870</v>
      </c>
      <c r="L26" s="77">
        <v>323.0</v>
      </c>
      <c r="M26" s="77">
        <v>80.0</v>
      </c>
      <c r="N26" s="77"/>
      <c r="O26" s="77"/>
      <c r="P26" s="76">
        <f t="shared" si="18"/>
        <v>403</v>
      </c>
      <c r="Q26" s="75">
        <f t="shared" ref="Q26:T26" si="27">B26+G26+L26</f>
        <v>8954</v>
      </c>
      <c r="R26" s="75">
        <f t="shared" si="27"/>
        <v>3413</v>
      </c>
      <c r="S26" s="75">
        <f t="shared" si="27"/>
        <v>32</v>
      </c>
      <c r="T26" s="75">
        <f t="shared" si="27"/>
        <v>0</v>
      </c>
      <c r="U26" s="78">
        <f t="shared" si="20"/>
        <v>12399</v>
      </c>
      <c r="V26" s="2"/>
    </row>
    <row r="27" ht="15.0" customHeight="1">
      <c r="A27" s="74" t="s">
        <v>65</v>
      </c>
      <c r="B27" s="77">
        <v>3736.0</v>
      </c>
      <c r="C27" s="77">
        <v>2567.0</v>
      </c>
      <c r="D27" s="77">
        <v>7.0</v>
      </c>
      <c r="E27" s="77"/>
      <c r="F27" s="76">
        <f t="shared" si="16"/>
        <v>6310</v>
      </c>
      <c r="G27" s="77">
        <v>2611.0</v>
      </c>
      <c r="H27" s="77">
        <v>789.0</v>
      </c>
      <c r="I27" s="77">
        <v>21.0</v>
      </c>
      <c r="J27" s="77"/>
      <c r="K27" s="76">
        <f t="shared" si="17"/>
        <v>3421</v>
      </c>
      <c r="L27" s="77">
        <v>168.0</v>
      </c>
      <c r="M27" s="77">
        <v>77.0</v>
      </c>
      <c r="N27" s="77"/>
      <c r="O27" s="77"/>
      <c r="P27" s="76">
        <f t="shared" si="18"/>
        <v>245</v>
      </c>
      <c r="Q27" s="75">
        <f t="shared" ref="Q27:T27" si="28">B27+G27+L27</f>
        <v>6515</v>
      </c>
      <c r="R27" s="75">
        <f t="shared" si="28"/>
        <v>3433</v>
      </c>
      <c r="S27" s="75">
        <f t="shared" si="28"/>
        <v>28</v>
      </c>
      <c r="T27" s="75">
        <f t="shared" si="28"/>
        <v>0</v>
      </c>
      <c r="U27" s="78">
        <f t="shared" si="20"/>
        <v>9976</v>
      </c>
      <c r="V27" s="2"/>
    </row>
    <row r="28" ht="15.75" customHeight="1">
      <c r="A28" s="74" t="s">
        <v>54</v>
      </c>
      <c r="B28" s="77">
        <v>499.0</v>
      </c>
      <c r="C28" s="77">
        <v>2380.0</v>
      </c>
      <c r="D28" s="77">
        <v>295.0</v>
      </c>
      <c r="E28" s="77">
        <v>254.0</v>
      </c>
      <c r="F28" s="76">
        <f t="shared" si="16"/>
        <v>3428</v>
      </c>
      <c r="G28" s="77">
        <v>230.0</v>
      </c>
      <c r="H28" s="77">
        <v>2646.0</v>
      </c>
      <c r="I28" s="77">
        <v>361.0</v>
      </c>
      <c r="J28" s="77"/>
      <c r="K28" s="76">
        <f t="shared" si="17"/>
        <v>3237</v>
      </c>
      <c r="L28" s="77"/>
      <c r="M28" s="77">
        <v>258.0</v>
      </c>
      <c r="N28" s="77"/>
      <c r="O28" s="77"/>
      <c r="P28" s="76">
        <f t="shared" si="18"/>
        <v>258</v>
      </c>
      <c r="Q28" s="75">
        <f t="shared" ref="Q28:T28" si="29">B28+G28+L28</f>
        <v>729</v>
      </c>
      <c r="R28" s="75">
        <f t="shared" si="29"/>
        <v>5284</v>
      </c>
      <c r="S28" s="75">
        <f t="shared" si="29"/>
        <v>656</v>
      </c>
      <c r="T28" s="75">
        <f t="shared" si="29"/>
        <v>254</v>
      </c>
      <c r="U28" s="78">
        <f t="shared" si="20"/>
        <v>6923</v>
      </c>
      <c r="V28" s="2"/>
    </row>
    <row r="29" ht="15.75" customHeight="1">
      <c r="A29" s="72" t="s">
        <v>66</v>
      </c>
      <c r="B29" s="73">
        <f t="shared" ref="B29:U29" si="30">SUM(B30:B44)</f>
        <v>7713</v>
      </c>
      <c r="C29" s="73">
        <f t="shared" si="30"/>
        <v>28634</v>
      </c>
      <c r="D29" s="73">
        <f t="shared" si="30"/>
        <v>11876</v>
      </c>
      <c r="E29" s="73">
        <f t="shared" si="30"/>
        <v>2259</v>
      </c>
      <c r="F29" s="81">
        <f t="shared" si="30"/>
        <v>50482</v>
      </c>
      <c r="G29" s="73">
        <f t="shared" si="30"/>
        <v>1291</v>
      </c>
      <c r="H29" s="73">
        <f t="shared" si="30"/>
        <v>3407</v>
      </c>
      <c r="I29" s="73">
        <f t="shared" si="30"/>
        <v>2087</v>
      </c>
      <c r="J29" s="73">
        <f t="shared" si="30"/>
        <v>103</v>
      </c>
      <c r="K29" s="81">
        <f t="shared" si="30"/>
        <v>6888</v>
      </c>
      <c r="L29" s="73">
        <f t="shared" si="30"/>
        <v>0</v>
      </c>
      <c r="M29" s="73">
        <f t="shared" si="30"/>
        <v>0</v>
      </c>
      <c r="N29" s="73">
        <f t="shared" si="30"/>
        <v>52</v>
      </c>
      <c r="O29" s="73">
        <f t="shared" si="30"/>
        <v>26</v>
      </c>
      <c r="P29" s="81">
        <f t="shared" si="30"/>
        <v>78</v>
      </c>
      <c r="Q29" s="73">
        <f t="shared" si="30"/>
        <v>9004</v>
      </c>
      <c r="R29" s="73">
        <f t="shared" si="30"/>
        <v>32041</v>
      </c>
      <c r="S29" s="73">
        <f t="shared" si="30"/>
        <v>14015</v>
      </c>
      <c r="T29" s="73">
        <f t="shared" si="30"/>
        <v>2388</v>
      </c>
      <c r="U29" s="81">
        <f t="shared" si="30"/>
        <v>57448</v>
      </c>
      <c r="V29" s="2" t="s">
        <v>114</v>
      </c>
    </row>
    <row r="30" ht="15.0" customHeight="1">
      <c r="A30" s="74" t="s">
        <v>67</v>
      </c>
      <c r="B30" s="75"/>
      <c r="C30" s="75">
        <v>755.0</v>
      </c>
      <c r="D30" s="75">
        <v>580.0</v>
      </c>
      <c r="E30" s="75">
        <v>145.0</v>
      </c>
      <c r="F30" s="76">
        <f t="shared" ref="F30:F44" si="32">SUM(B30:E30)</f>
        <v>1480</v>
      </c>
      <c r="G30" s="75"/>
      <c r="H30" s="75">
        <v>713.0</v>
      </c>
      <c r="I30" s="75">
        <v>449.0</v>
      </c>
      <c r="J30" s="75"/>
      <c r="K30" s="76">
        <f t="shared" ref="K30:K44" si="33">SUM(G30:J30)</f>
        <v>1162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1468</v>
      </c>
      <c r="S30" s="75">
        <f t="shared" si="31"/>
        <v>1029</v>
      </c>
      <c r="T30" s="75">
        <f t="shared" si="31"/>
        <v>145</v>
      </c>
      <c r="U30" s="76">
        <f t="shared" ref="U30:U44" si="36">SUM(Q30:T30)</f>
        <v>2642</v>
      </c>
      <c r="V30" s="2"/>
    </row>
    <row r="31" ht="15.0" customHeight="1">
      <c r="A31" s="74" t="s">
        <v>68</v>
      </c>
      <c r="B31" s="77">
        <v>166.0</v>
      </c>
      <c r="C31" s="77">
        <v>819.0</v>
      </c>
      <c r="D31" s="77">
        <v>1509.0</v>
      </c>
      <c r="E31" s="77">
        <v>529.0</v>
      </c>
      <c r="F31" s="76">
        <f t="shared" si="32"/>
        <v>3023</v>
      </c>
      <c r="G31" s="77"/>
      <c r="H31" s="77">
        <v>23.0</v>
      </c>
      <c r="I31" s="77">
        <v>76.0</v>
      </c>
      <c r="J31" s="77">
        <v>15.0</v>
      </c>
      <c r="K31" s="76">
        <f t="shared" si="33"/>
        <v>114</v>
      </c>
      <c r="L31" s="77"/>
      <c r="M31" s="77"/>
      <c r="N31" s="77">
        <v>52.0</v>
      </c>
      <c r="O31" s="77">
        <v>26.0</v>
      </c>
      <c r="P31" s="78">
        <f t="shared" si="34"/>
        <v>78</v>
      </c>
      <c r="Q31" s="77">
        <f t="shared" ref="Q31:T31" si="35">SUM(B31,G31,L31)</f>
        <v>166</v>
      </c>
      <c r="R31" s="77">
        <f t="shared" si="35"/>
        <v>842</v>
      </c>
      <c r="S31" s="77">
        <f t="shared" si="35"/>
        <v>1637</v>
      </c>
      <c r="T31" s="77">
        <f t="shared" si="35"/>
        <v>570</v>
      </c>
      <c r="U31" s="78">
        <f t="shared" si="36"/>
        <v>3215</v>
      </c>
      <c r="V31" s="2"/>
    </row>
    <row r="32" ht="15.0" customHeight="1">
      <c r="A32" s="74" t="s">
        <v>69</v>
      </c>
      <c r="B32" s="77">
        <v>750.0</v>
      </c>
      <c r="C32" s="77">
        <v>3889.0</v>
      </c>
      <c r="D32" s="77">
        <v>446.0</v>
      </c>
      <c r="E32" s="77"/>
      <c r="F32" s="76">
        <f t="shared" si="32"/>
        <v>5085</v>
      </c>
      <c r="G32" s="77"/>
      <c r="H32" s="77">
        <v>588.0</v>
      </c>
      <c r="I32" s="77"/>
      <c r="J32" s="77"/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750</v>
      </c>
      <c r="R32" s="77">
        <f t="shared" si="37"/>
        <v>4477</v>
      </c>
      <c r="S32" s="77">
        <f t="shared" si="37"/>
        <v>446</v>
      </c>
      <c r="T32" s="77">
        <f t="shared" si="37"/>
        <v>0</v>
      </c>
      <c r="U32" s="78">
        <f t="shared" si="36"/>
        <v>5673</v>
      </c>
      <c r="V32" s="2"/>
    </row>
    <row r="33" ht="15.0" customHeight="1">
      <c r="A33" s="74" t="s">
        <v>70</v>
      </c>
      <c r="B33" s="77">
        <v>1459.0</v>
      </c>
      <c r="C33" s="77">
        <v>42.0</v>
      </c>
      <c r="D33" s="77"/>
      <c r="E33" s="77"/>
      <c r="F33" s="76">
        <f t="shared" si="32"/>
        <v>1501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1459</v>
      </c>
      <c r="R33" s="77">
        <f t="shared" si="38"/>
        <v>42</v>
      </c>
      <c r="S33" s="77">
        <f t="shared" si="38"/>
        <v>0</v>
      </c>
      <c r="T33" s="77">
        <f t="shared" si="38"/>
        <v>0</v>
      </c>
      <c r="U33" s="78">
        <f t="shared" si="36"/>
        <v>1501</v>
      </c>
      <c r="V33" s="2"/>
    </row>
    <row r="34" ht="15.0" customHeight="1">
      <c r="A34" s="74" t="s">
        <v>71</v>
      </c>
      <c r="B34" s="77">
        <v>79.0</v>
      </c>
      <c r="C34" s="77">
        <v>3166.0</v>
      </c>
      <c r="D34" s="77">
        <v>3730.0</v>
      </c>
      <c r="E34" s="77">
        <v>906.0</v>
      </c>
      <c r="F34" s="76">
        <f t="shared" si="32"/>
        <v>7881</v>
      </c>
      <c r="G34" s="77">
        <v>15.0</v>
      </c>
      <c r="H34" s="77">
        <v>143.0</v>
      </c>
      <c r="I34" s="77">
        <v>107.0</v>
      </c>
      <c r="J34" s="77">
        <v>34.0</v>
      </c>
      <c r="K34" s="76">
        <f t="shared" si="33"/>
        <v>299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94</v>
      </c>
      <c r="R34" s="77">
        <f t="shared" si="39"/>
        <v>3309</v>
      </c>
      <c r="S34" s="77">
        <f t="shared" si="39"/>
        <v>3837</v>
      </c>
      <c r="T34" s="77">
        <f t="shared" si="39"/>
        <v>940</v>
      </c>
      <c r="U34" s="78">
        <f t="shared" si="36"/>
        <v>8180</v>
      </c>
      <c r="V34" s="2"/>
    </row>
    <row r="35" ht="15.0" customHeight="1">
      <c r="A35" s="74" t="s">
        <v>72</v>
      </c>
      <c r="B35" s="77"/>
      <c r="C35" s="77">
        <v>2500.0</v>
      </c>
      <c r="D35" s="77"/>
      <c r="E35" s="77"/>
      <c r="F35" s="76">
        <f t="shared" si="32"/>
        <v>2500</v>
      </c>
      <c r="G35" s="77"/>
      <c r="H35" s="77">
        <v>113.0</v>
      </c>
      <c r="I35" s="77"/>
      <c r="J35" s="77"/>
      <c r="K35" s="76">
        <f t="shared" si="33"/>
        <v>113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2613</v>
      </c>
      <c r="S35" s="77">
        <f t="shared" si="40"/>
        <v>0</v>
      </c>
      <c r="T35" s="77">
        <f t="shared" si="40"/>
        <v>0</v>
      </c>
      <c r="U35" s="78">
        <f t="shared" si="36"/>
        <v>2613</v>
      </c>
      <c r="V35" s="2"/>
    </row>
    <row r="36" ht="15.0" customHeight="1">
      <c r="A36" s="74" t="s">
        <v>73</v>
      </c>
      <c r="B36" s="77">
        <v>69.0</v>
      </c>
      <c r="C36" s="77">
        <v>1047.0</v>
      </c>
      <c r="D36" s="77">
        <v>479.0</v>
      </c>
      <c r="E36" s="77">
        <v>345.0</v>
      </c>
      <c r="F36" s="76">
        <f t="shared" si="32"/>
        <v>1940</v>
      </c>
      <c r="G36" s="77">
        <v>290.0</v>
      </c>
      <c r="H36" s="77">
        <v>252.0</v>
      </c>
      <c r="I36" s="77"/>
      <c r="J36" s="77"/>
      <c r="K36" s="76">
        <f t="shared" si="33"/>
        <v>542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359</v>
      </c>
      <c r="R36" s="77">
        <f t="shared" si="41"/>
        <v>1299</v>
      </c>
      <c r="S36" s="77">
        <f t="shared" si="41"/>
        <v>479</v>
      </c>
      <c r="T36" s="77">
        <f t="shared" si="41"/>
        <v>345</v>
      </c>
      <c r="U36" s="78">
        <f t="shared" si="36"/>
        <v>2482</v>
      </c>
      <c r="V36" s="2"/>
    </row>
    <row r="37" ht="15.0" customHeight="1">
      <c r="A37" s="74" t="s">
        <v>74</v>
      </c>
      <c r="B37" s="77">
        <v>2302.0</v>
      </c>
      <c r="C37" s="77">
        <v>9880.0</v>
      </c>
      <c r="D37" s="77">
        <v>1191.0</v>
      </c>
      <c r="E37" s="77">
        <v>84.0</v>
      </c>
      <c r="F37" s="76">
        <f t="shared" si="32"/>
        <v>13457</v>
      </c>
      <c r="G37" s="77">
        <v>544.0</v>
      </c>
      <c r="H37" s="77">
        <v>676.0</v>
      </c>
      <c r="I37" s="77">
        <v>831.0</v>
      </c>
      <c r="J37" s="77">
        <v>54.0</v>
      </c>
      <c r="K37" s="76">
        <f t="shared" si="33"/>
        <v>2105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2846</v>
      </c>
      <c r="R37" s="77">
        <f t="shared" si="42"/>
        <v>10556</v>
      </c>
      <c r="S37" s="77">
        <f t="shared" ref="S37:S41" si="44">SUM(D37,I36,N37)</f>
        <v>1191</v>
      </c>
      <c r="T37" s="77">
        <f t="shared" ref="T37:T41" si="45">SUM(E37,J37,O37)</f>
        <v>138</v>
      </c>
      <c r="U37" s="78">
        <f t="shared" si="36"/>
        <v>14731</v>
      </c>
      <c r="V37" s="2"/>
    </row>
    <row r="38" ht="15.0" customHeight="1">
      <c r="A38" s="74" t="s">
        <v>75</v>
      </c>
      <c r="B38" s="77">
        <v>2175.0</v>
      </c>
      <c r="C38" s="77">
        <v>1355.0</v>
      </c>
      <c r="D38" s="77"/>
      <c r="E38" s="77"/>
      <c r="F38" s="76">
        <f t="shared" si="32"/>
        <v>3530</v>
      </c>
      <c r="G38" s="77">
        <v>349.0</v>
      </c>
      <c r="H38" s="77">
        <v>103.0</v>
      </c>
      <c r="I38" s="77"/>
      <c r="J38" s="77"/>
      <c r="K38" s="76">
        <f t="shared" si="33"/>
        <v>452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2524</v>
      </c>
      <c r="R38" s="77">
        <f t="shared" si="43"/>
        <v>1458</v>
      </c>
      <c r="S38" s="77">
        <f t="shared" si="44"/>
        <v>831</v>
      </c>
      <c r="T38" s="77">
        <f t="shared" si="45"/>
        <v>0</v>
      </c>
      <c r="U38" s="78">
        <f t="shared" si="36"/>
        <v>4813</v>
      </c>
      <c r="V38" s="2"/>
    </row>
    <row r="39" ht="15.0" customHeight="1">
      <c r="A39" s="74" t="s">
        <v>76</v>
      </c>
      <c r="B39" s="77">
        <v>599.0</v>
      </c>
      <c r="C39" s="77">
        <v>678.0</v>
      </c>
      <c r="D39" s="77"/>
      <c r="E39" s="77"/>
      <c r="F39" s="76">
        <f t="shared" si="32"/>
        <v>1277</v>
      </c>
      <c r="G39" s="77">
        <v>84.0</v>
      </c>
      <c r="H39" s="77">
        <v>140.0</v>
      </c>
      <c r="I39" s="77"/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683</v>
      </c>
      <c r="R39" s="77">
        <f t="shared" si="46"/>
        <v>818</v>
      </c>
      <c r="S39" s="77">
        <f t="shared" si="44"/>
        <v>0</v>
      </c>
      <c r="T39" s="77">
        <f t="shared" si="45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>
        <v>3.0</v>
      </c>
      <c r="C40" s="77">
        <v>3.0</v>
      </c>
      <c r="D40" s="77"/>
      <c r="E40" s="77"/>
      <c r="F40" s="76">
        <f t="shared" si="32"/>
        <v>6</v>
      </c>
      <c r="G40" s="77">
        <v>9.0</v>
      </c>
      <c r="H40" s="77">
        <v>4.0</v>
      </c>
      <c r="I40" s="77"/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12</v>
      </c>
      <c r="R40" s="77">
        <f t="shared" si="47"/>
        <v>7</v>
      </c>
      <c r="S40" s="77">
        <f t="shared" si="44"/>
        <v>0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/>
      <c r="C41" s="77">
        <v>2188.0</v>
      </c>
      <c r="D41" s="77">
        <v>82.0</v>
      </c>
      <c r="E41" s="77">
        <v>138.0</v>
      </c>
      <c r="F41" s="76">
        <f t="shared" si="32"/>
        <v>2408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2188</v>
      </c>
      <c r="S41" s="77">
        <f t="shared" si="44"/>
        <v>82</v>
      </c>
      <c r="T41" s="77">
        <f t="shared" si="45"/>
        <v>138</v>
      </c>
      <c r="U41" s="78">
        <f t="shared" si="36"/>
        <v>2408</v>
      </c>
      <c r="V41" s="2"/>
    </row>
    <row r="42" ht="15.0" customHeight="1">
      <c r="A42" s="74" t="s">
        <v>79</v>
      </c>
      <c r="B42" s="77"/>
      <c r="C42" s="77">
        <v>149.0</v>
      </c>
      <c r="D42" s="77">
        <v>10.0</v>
      </c>
      <c r="E42" s="77"/>
      <c r="F42" s="76">
        <f t="shared" si="32"/>
        <v>159</v>
      </c>
      <c r="G42" s="77"/>
      <c r="H42" s="77">
        <v>207.0</v>
      </c>
      <c r="I42" s="77">
        <v>50.0</v>
      </c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356</v>
      </c>
      <c r="S42" s="77">
        <f t="shared" si="49"/>
        <v>60</v>
      </c>
      <c r="T42" s="77">
        <f t="shared" si="49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/>
      <c r="C43" s="77">
        <v>99.0</v>
      </c>
      <c r="D43" s="77">
        <v>1651.0</v>
      </c>
      <c r="E43" s="77">
        <v>112.0</v>
      </c>
      <c r="F43" s="76">
        <f t="shared" si="32"/>
        <v>1862</v>
      </c>
      <c r="G43" s="77"/>
      <c r="H43" s="77">
        <v>92.0</v>
      </c>
      <c r="I43" s="77">
        <v>143.0</v>
      </c>
      <c r="J43" s="77"/>
      <c r="K43" s="76">
        <f t="shared" si="33"/>
        <v>235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191</v>
      </c>
      <c r="S43" s="77">
        <f t="shared" si="50"/>
        <v>1794</v>
      </c>
      <c r="T43" s="77">
        <f t="shared" si="50"/>
        <v>112</v>
      </c>
      <c r="U43" s="78">
        <f t="shared" si="36"/>
        <v>2097</v>
      </c>
      <c r="V43" s="2"/>
    </row>
    <row r="44" ht="15.75" customHeight="1">
      <c r="A44" s="74" t="s">
        <v>81</v>
      </c>
      <c r="B44" s="77">
        <v>111.0</v>
      </c>
      <c r="C44" s="77">
        <v>2064.0</v>
      </c>
      <c r="D44" s="77">
        <v>2198.0</v>
      </c>
      <c r="E44" s="77"/>
      <c r="F44" s="76">
        <f t="shared" si="32"/>
        <v>4373</v>
      </c>
      <c r="G44" s="77"/>
      <c r="H44" s="77">
        <v>353.0</v>
      </c>
      <c r="I44" s="77">
        <v>431.0</v>
      </c>
      <c r="J44" s="77"/>
      <c r="K44" s="76">
        <f t="shared" si="33"/>
        <v>784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111</v>
      </c>
      <c r="R44" s="77">
        <f t="shared" si="51"/>
        <v>2417</v>
      </c>
      <c r="S44" s="77">
        <f t="shared" si="51"/>
        <v>2629</v>
      </c>
      <c r="T44" s="77">
        <f t="shared" si="51"/>
        <v>0</v>
      </c>
      <c r="U44" s="78">
        <f t="shared" si="36"/>
        <v>5157</v>
      </c>
      <c r="V44" s="2"/>
    </row>
    <row r="45" ht="15.75" customHeight="1">
      <c r="A45" s="72" t="s">
        <v>82</v>
      </c>
      <c r="B45" s="73">
        <f t="shared" ref="B45:U45" si="52">SUM(B46:B63)</f>
        <v>7619</v>
      </c>
      <c r="C45" s="73">
        <f t="shared" si="52"/>
        <v>5944</v>
      </c>
      <c r="D45" s="73">
        <f t="shared" si="52"/>
        <v>3917</v>
      </c>
      <c r="E45" s="73">
        <f t="shared" si="52"/>
        <v>3597</v>
      </c>
      <c r="F45" s="81">
        <f t="shared" si="52"/>
        <v>21077</v>
      </c>
      <c r="G45" s="73">
        <f t="shared" si="52"/>
        <v>3800</v>
      </c>
      <c r="H45" s="73">
        <f t="shared" si="52"/>
        <v>2919</v>
      </c>
      <c r="I45" s="73">
        <f t="shared" si="52"/>
        <v>6</v>
      </c>
      <c r="J45" s="73">
        <f t="shared" si="52"/>
        <v>60</v>
      </c>
      <c r="K45" s="81">
        <f t="shared" si="52"/>
        <v>6785</v>
      </c>
      <c r="L45" s="73">
        <f t="shared" si="52"/>
        <v>866</v>
      </c>
      <c r="M45" s="73">
        <f t="shared" si="52"/>
        <v>1302</v>
      </c>
      <c r="N45" s="73">
        <f t="shared" si="52"/>
        <v>335</v>
      </c>
      <c r="O45" s="73">
        <f t="shared" si="52"/>
        <v>251</v>
      </c>
      <c r="P45" s="81">
        <f t="shared" si="52"/>
        <v>2754</v>
      </c>
      <c r="Q45" s="73">
        <f t="shared" si="52"/>
        <v>12285</v>
      </c>
      <c r="R45" s="73">
        <f t="shared" si="52"/>
        <v>10165</v>
      </c>
      <c r="S45" s="73">
        <f t="shared" si="52"/>
        <v>4258</v>
      </c>
      <c r="T45" s="73">
        <f t="shared" si="52"/>
        <v>3908</v>
      </c>
      <c r="U45" s="73">
        <f t="shared" si="52"/>
        <v>30616</v>
      </c>
      <c r="V45" s="2"/>
    </row>
    <row r="46" ht="15.0" customHeight="1">
      <c r="A46" s="74" t="s">
        <v>83</v>
      </c>
      <c r="B46" s="75">
        <v>490.0</v>
      </c>
      <c r="C46" s="75">
        <v>120.0</v>
      </c>
      <c r="D46" s="75">
        <v>120.0</v>
      </c>
      <c r="E46" s="75"/>
      <c r="F46" s="76">
        <f t="shared" ref="F46:F63" si="54">SUM(B46:E46)</f>
        <v>730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/>
      <c r="N46" s="75">
        <v>90.0</v>
      </c>
      <c r="O46" s="75"/>
      <c r="P46" s="76">
        <f t="shared" ref="P46:P63" si="56">SUM(L46:O46)</f>
        <v>90</v>
      </c>
      <c r="Q46" s="75">
        <f t="shared" ref="Q46:T46" si="53">SUM(B46,G46,L46)</f>
        <v>490</v>
      </c>
      <c r="R46" s="75">
        <f t="shared" si="53"/>
        <v>120</v>
      </c>
      <c r="S46" s="75">
        <f t="shared" si="53"/>
        <v>210</v>
      </c>
      <c r="T46" s="75">
        <f t="shared" si="53"/>
        <v>0</v>
      </c>
      <c r="U46" s="76">
        <f t="shared" ref="U46:U63" si="58">SUM(Q46:T46)</f>
        <v>820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1557.0</v>
      </c>
      <c r="C49" s="77">
        <v>473.0</v>
      </c>
      <c r="D49" s="77">
        <v>15.0</v>
      </c>
      <c r="E49" s="77">
        <v>2.0</v>
      </c>
      <c r="F49" s="76">
        <f t="shared" si="54"/>
        <v>2047</v>
      </c>
      <c r="G49" s="77">
        <v>544.0</v>
      </c>
      <c r="H49" s="77">
        <v>132.0</v>
      </c>
      <c r="I49" s="77"/>
      <c r="J49" s="77"/>
      <c r="K49" s="76">
        <f t="shared" si="55"/>
        <v>676</v>
      </c>
      <c r="L49" s="77">
        <v>99.0</v>
      </c>
      <c r="M49" s="77">
        <v>65.0</v>
      </c>
      <c r="N49" s="77"/>
      <c r="O49" s="77"/>
      <c r="P49" s="76">
        <f t="shared" si="56"/>
        <v>164</v>
      </c>
      <c r="Q49" s="75">
        <f t="shared" ref="Q49:T49" si="60">SUM(B49,G49,L49)</f>
        <v>2200</v>
      </c>
      <c r="R49" s="75">
        <f t="shared" si="60"/>
        <v>670</v>
      </c>
      <c r="S49" s="75">
        <f t="shared" si="60"/>
        <v>15</v>
      </c>
      <c r="T49" s="75">
        <f t="shared" si="60"/>
        <v>2</v>
      </c>
      <c r="U49" s="78">
        <f t="shared" si="58"/>
        <v>2887</v>
      </c>
      <c r="V49" s="2"/>
    </row>
    <row r="50" ht="15.0" customHeight="1">
      <c r="A50" s="74" t="s">
        <v>87</v>
      </c>
      <c r="B50" s="77">
        <v>645.0</v>
      </c>
      <c r="C50" s="77">
        <v>2353.0</v>
      </c>
      <c r="D50" s="77">
        <v>131.0</v>
      </c>
      <c r="E50" s="77">
        <v>20.0</v>
      </c>
      <c r="F50" s="76">
        <f t="shared" si="54"/>
        <v>3149</v>
      </c>
      <c r="G50" s="77">
        <v>305.0</v>
      </c>
      <c r="H50" s="77">
        <v>291.0</v>
      </c>
      <c r="I50" s="77"/>
      <c r="J50" s="77"/>
      <c r="K50" s="76">
        <f t="shared" si="55"/>
        <v>596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950</v>
      </c>
      <c r="R50" s="75">
        <f t="shared" si="61"/>
        <v>2644</v>
      </c>
      <c r="S50" s="75">
        <f t="shared" si="61"/>
        <v>131</v>
      </c>
      <c r="T50" s="75">
        <f t="shared" si="61"/>
        <v>20</v>
      </c>
      <c r="U50" s="78">
        <f t="shared" si="58"/>
        <v>3745</v>
      </c>
      <c r="V50" s="2" t="s">
        <v>114</v>
      </c>
    </row>
    <row r="51" ht="15.0" customHeight="1">
      <c r="A51" s="74" t="s">
        <v>88</v>
      </c>
      <c r="B51" s="77">
        <v>56.0</v>
      </c>
      <c r="C51" s="77">
        <v>49.0</v>
      </c>
      <c r="D51" s="77"/>
      <c r="E51" s="77"/>
      <c r="F51" s="76">
        <f t="shared" si="54"/>
        <v>105</v>
      </c>
      <c r="G51" s="77">
        <v>28.0</v>
      </c>
      <c r="H51" s="77">
        <v>11.0</v>
      </c>
      <c r="I51" s="77"/>
      <c r="K51" s="76">
        <f t="shared" si="55"/>
        <v>39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84</v>
      </c>
      <c r="R51" s="75">
        <f t="shared" si="62"/>
        <v>60</v>
      </c>
      <c r="S51" s="75">
        <f t="shared" ref="S51:T51" si="63">SUM(D51,I56,N51)</f>
        <v>0</v>
      </c>
      <c r="T51" s="75">
        <f t="shared" si="63"/>
        <v>0</v>
      </c>
      <c r="U51" s="78">
        <f t="shared" si="58"/>
        <v>144</v>
      </c>
      <c r="V51" s="2"/>
    </row>
    <row r="52" ht="15.0" customHeight="1">
      <c r="A52" s="83" t="s">
        <v>89</v>
      </c>
      <c r="B52" s="84">
        <v>244.0</v>
      </c>
      <c r="C52" s="84">
        <v>121.0</v>
      </c>
      <c r="D52" s="84"/>
      <c r="E52" s="84"/>
      <c r="F52" s="85">
        <f t="shared" si="54"/>
        <v>365</v>
      </c>
      <c r="G52" s="84">
        <v>331.0</v>
      </c>
      <c r="H52" s="84">
        <v>127.0</v>
      </c>
      <c r="I52" s="84"/>
      <c r="J52" s="84"/>
      <c r="K52" s="85">
        <f t="shared" si="55"/>
        <v>458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575</v>
      </c>
      <c r="R52" s="86">
        <f t="shared" si="64"/>
        <v>248</v>
      </c>
      <c r="S52" s="86">
        <f t="shared" si="64"/>
        <v>0</v>
      </c>
      <c r="T52" s="86">
        <f t="shared" si="64"/>
        <v>0</v>
      </c>
      <c r="U52" s="87">
        <f t="shared" si="58"/>
        <v>823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1.0</v>
      </c>
      <c r="D53" s="77"/>
      <c r="E53" s="77"/>
      <c r="F53" s="76">
        <f t="shared" si="54"/>
        <v>3</v>
      </c>
      <c r="G53" s="77">
        <v>9.0</v>
      </c>
      <c r="H53" s="77"/>
      <c r="I53" s="77"/>
      <c r="J53" s="77"/>
      <c r="K53" s="76">
        <f t="shared" si="55"/>
        <v>9</v>
      </c>
      <c r="L53" s="77">
        <v>161.0</v>
      </c>
      <c r="M53" s="77"/>
      <c r="N53" s="77"/>
      <c r="O53" s="77"/>
      <c r="P53" s="76">
        <f t="shared" si="56"/>
        <v>161</v>
      </c>
      <c r="Q53" s="75">
        <f t="shared" ref="Q53:T53" si="65">SUM(B53,G53,L53)</f>
        <v>172</v>
      </c>
      <c r="R53" s="75">
        <f t="shared" si="65"/>
        <v>1</v>
      </c>
      <c r="S53" s="86">
        <f t="shared" si="65"/>
        <v>0</v>
      </c>
      <c r="T53" s="86">
        <f t="shared" si="65"/>
        <v>0</v>
      </c>
      <c r="U53" s="78">
        <f t="shared" si="58"/>
        <v>173</v>
      </c>
      <c r="V53" s="2"/>
    </row>
    <row r="54" ht="15.0" customHeight="1">
      <c r="A54" s="74" t="s">
        <v>91</v>
      </c>
      <c r="B54" s="77">
        <v>499.0</v>
      </c>
      <c r="C54" s="77">
        <v>15.0</v>
      </c>
      <c r="D54" s="77"/>
      <c r="E54" s="77"/>
      <c r="F54" s="76">
        <f t="shared" si="54"/>
        <v>514</v>
      </c>
      <c r="G54" s="77">
        <v>75.0</v>
      </c>
      <c r="H54" s="77"/>
      <c r="I54" s="77"/>
      <c r="J54" s="77"/>
      <c r="K54" s="76">
        <f t="shared" si="55"/>
        <v>75</v>
      </c>
      <c r="L54" s="77"/>
      <c r="M54" s="77">
        <v>940.0</v>
      </c>
      <c r="N54" s="77"/>
      <c r="O54" s="77"/>
      <c r="P54" s="76">
        <f t="shared" si="56"/>
        <v>940</v>
      </c>
      <c r="Q54" s="75">
        <f t="shared" ref="Q54:T54" si="66">SUM(B54,G54,L54)</f>
        <v>574</v>
      </c>
      <c r="R54" s="75">
        <f t="shared" si="66"/>
        <v>955</v>
      </c>
      <c r="S54" s="86">
        <f t="shared" si="66"/>
        <v>0</v>
      </c>
      <c r="T54" s="86">
        <f t="shared" si="66"/>
        <v>0</v>
      </c>
      <c r="U54" s="78">
        <f t="shared" si="58"/>
        <v>1529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212.0</v>
      </c>
      <c r="C56" s="77">
        <v>4.0</v>
      </c>
      <c r="D56" s="77"/>
      <c r="E56" s="77"/>
      <c r="F56" s="76">
        <f t="shared" si="54"/>
        <v>216</v>
      </c>
      <c r="G56" s="77">
        <v>601.0</v>
      </c>
      <c r="H56" s="77">
        <v>9.0</v>
      </c>
      <c r="I56" s="77"/>
      <c r="J56" s="77"/>
      <c r="K56" s="76">
        <f t="shared" si="55"/>
        <v>610</v>
      </c>
      <c r="L56" s="90"/>
      <c r="M56" s="90">
        <v>228.0</v>
      </c>
      <c r="N56" s="90"/>
      <c r="O56" s="90"/>
      <c r="P56" s="76">
        <f t="shared" si="56"/>
        <v>228</v>
      </c>
      <c r="Q56" s="75">
        <f t="shared" ref="Q56:T56" si="68">SUM(B56,G56,L56)</f>
        <v>813</v>
      </c>
      <c r="R56" s="75">
        <f t="shared" si="68"/>
        <v>241</v>
      </c>
      <c r="S56" s="86">
        <f t="shared" si="68"/>
        <v>0</v>
      </c>
      <c r="T56" s="86">
        <f t="shared" si="68"/>
        <v>0</v>
      </c>
      <c r="U56" s="91">
        <f t="shared" si="58"/>
        <v>1054</v>
      </c>
      <c r="V56" s="2"/>
    </row>
    <row r="57" ht="15.0" customHeight="1">
      <c r="A57" s="74" t="s">
        <v>94</v>
      </c>
      <c r="B57" s="77">
        <v>1796.0</v>
      </c>
      <c r="C57" s="77"/>
      <c r="D57" s="77">
        <v>2982.0</v>
      </c>
      <c r="E57" s="77">
        <v>3318.0</v>
      </c>
      <c r="F57" s="76">
        <f t="shared" si="54"/>
        <v>8096</v>
      </c>
      <c r="G57" s="77"/>
      <c r="H57" s="77">
        <v>5.0</v>
      </c>
      <c r="I57" s="77">
        <v>5.0</v>
      </c>
      <c r="J57" s="2">
        <v>60.0</v>
      </c>
      <c r="K57" s="76">
        <f t="shared" si="55"/>
        <v>70</v>
      </c>
      <c r="L57" s="77">
        <v>20.0</v>
      </c>
      <c r="M57" s="77">
        <v>20.0</v>
      </c>
      <c r="N57" s="77">
        <v>20.0</v>
      </c>
      <c r="O57" s="77">
        <v>150.0</v>
      </c>
      <c r="P57" s="76">
        <f t="shared" si="56"/>
        <v>210</v>
      </c>
      <c r="Q57" s="75">
        <f t="shared" ref="Q57:T57" si="69">SUM(B57,G57,L57)</f>
        <v>1816</v>
      </c>
      <c r="R57" s="75">
        <f t="shared" si="69"/>
        <v>25</v>
      </c>
      <c r="S57" s="86">
        <f t="shared" si="69"/>
        <v>3007</v>
      </c>
      <c r="T57" s="86">
        <f t="shared" si="69"/>
        <v>3528</v>
      </c>
      <c r="U57" s="91">
        <f t="shared" si="58"/>
        <v>8376</v>
      </c>
      <c r="V57" s="2" t="s">
        <v>114</v>
      </c>
    </row>
    <row r="58" ht="15.0" customHeight="1">
      <c r="A58" s="74" t="s">
        <v>95</v>
      </c>
      <c r="B58" s="77">
        <v>25.0</v>
      </c>
      <c r="C58" s="77">
        <v>45.0</v>
      </c>
      <c r="D58" s="77"/>
      <c r="E58" s="77"/>
      <c r="F58" s="76">
        <f t="shared" si="54"/>
        <v>70</v>
      </c>
      <c r="G58" s="77">
        <v>7.0</v>
      </c>
      <c r="H58" s="77">
        <v>5.0</v>
      </c>
      <c r="I58" s="77">
        <v>1.0</v>
      </c>
      <c r="J58" s="77"/>
      <c r="K58" s="76">
        <f t="shared" si="55"/>
        <v>13</v>
      </c>
      <c r="L58" s="77">
        <v>96.0</v>
      </c>
      <c r="M58" s="77">
        <v>49.0</v>
      </c>
      <c r="N58" s="77">
        <v>89.0</v>
      </c>
      <c r="O58" s="77"/>
      <c r="P58" s="76">
        <f t="shared" si="56"/>
        <v>234</v>
      </c>
      <c r="Q58" s="75">
        <f t="shared" ref="Q58:T58" si="70">SUM(B58,G58,L58)</f>
        <v>128</v>
      </c>
      <c r="R58" s="75">
        <f t="shared" si="70"/>
        <v>99</v>
      </c>
      <c r="S58" s="75">
        <f t="shared" si="70"/>
        <v>90</v>
      </c>
      <c r="T58" s="86">
        <f t="shared" si="70"/>
        <v>0</v>
      </c>
      <c r="U58" s="91">
        <f t="shared" si="58"/>
        <v>317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/>
      <c r="C60" s="77">
        <v>2225.0</v>
      </c>
      <c r="D60" s="77">
        <v>669.0</v>
      </c>
      <c r="E60" s="77">
        <v>250.0</v>
      </c>
      <c r="F60" s="76">
        <f t="shared" si="54"/>
        <v>3144</v>
      </c>
      <c r="G60" s="77"/>
      <c r="H60" s="77">
        <v>1769.0</v>
      </c>
      <c r="I60" s="77"/>
      <c r="J60" s="77"/>
      <c r="K60" s="76">
        <f t="shared" si="55"/>
        <v>1769</v>
      </c>
      <c r="L60" s="77"/>
      <c r="M60" s="77"/>
      <c r="N60" s="77">
        <v>126.0</v>
      </c>
      <c r="O60" s="77"/>
      <c r="P60" s="76">
        <f t="shared" si="56"/>
        <v>126</v>
      </c>
      <c r="Q60" s="75">
        <f t="shared" ref="Q60:T60" si="72">SUM(B60,G60,L60)</f>
        <v>0</v>
      </c>
      <c r="R60" s="75">
        <f t="shared" si="72"/>
        <v>3994</v>
      </c>
      <c r="S60" s="75">
        <f t="shared" si="72"/>
        <v>795</v>
      </c>
      <c r="T60" s="75">
        <f t="shared" si="72"/>
        <v>250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239.0</v>
      </c>
      <c r="C61" s="80">
        <v>285.0</v>
      </c>
      <c r="D61" s="80"/>
      <c r="E61" s="80"/>
      <c r="F61" s="76">
        <f t="shared" si="54"/>
        <v>524</v>
      </c>
      <c r="G61" s="77">
        <v>387.0</v>
      </c>
      <c r="H61" s="77">
        <v>570.0</v>
      </c>
      <c r="I61" s="77"/>
      <c r="J61" s="77"/>
      <c r="K61" s="76">
        <f t="shared" si="55"/>
        <v>957</v>
      </c>
      <c r="L61" s="77"/>
      <c r="M61" s="77"/>
      <c r="N61" s="77">
        <v>10.0</v>
      </c>
      <c r="O61" s="77">
        <v>101.0</v>
      </c>
      <c r="P61" s="76">
        <f t="shared" si="56"/>
        <v>111</v>
      </c>
      <c r="Q61" s="75">
        <f t="shared" ref="Q61:T61" si="73">SUM(B61,G61,L61)</f>
        <v>626</v>
      </c>
      <c r="R61" s="75">
        <f t="shared" si="73"/>
        <v>855</v>
      </c>
      <c r="S61" s="75">
        <f t="shared" si="73"/>
        <v>10</v>
      </c>
      <c r="T61" s="75">
        <f t="shared" si="73"/>
        <v>101</v>
      </c>
      <c r="U61" s="78">
        <f t="shared" si="58"/>
        <v>1592</v>
      </c>
      <c r="V61" s="2"/>
    </row>
    <row r="62" ht="15.0" customHeight="1">
      <c r="A62" s="74" t="s">
        <v>97</v>
      </c>
      <c r="B62" s="77">
        <v>584.0</v>
      </c>
      <c r="C62" s="77">
        <v>30.0</v>
      </c>
      <c r="D62" s="77"/>
      <c r="E62" s="77"/>
      <c r="F62" s="76">
        <f t="shared" si="54"/>
        <v>614</v>
      </c>
      <c r="G62" s="77">
        <v>73.0</v>
      </c>
      <c r="H62" s="77"/>
      <c r="I62" s="77"/>
      <c r="J62" s="77"/>
      <c r="K62" s="76">
        <f t="shared" si="55"/>
        <v>73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657</v>
      </c>
      <c r="R62" s="75">
        <f t="shared" si="74"/>
        <v>30</v>
      </c>
      <c r="S62" s="75">
        <f t="shared" si="74"/>
        <v>0</v>
      </c>
      <c r="T62" s="75">
        <f t="shared" si="74"/>
        <v>0</v>
      </c>
      <c r="U62" s="78">
        <f t="shared" si="58"/>
        <v>687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1455</v>
      </c>
      <c r="C64" s="73">
        <f t="shared" ref="C64:K64" si="76">SUM(C65:C78)</f>
        <v>524</v>
      </c>
      <c r="D64" s="73">
        <f t="shared" si="76"/>
        <v>0</v>
      </c>
      <c r="E64" s="73">
        <f t="shared" si="76"/>
        <v>0</v>
      </c>
      <c r="F64" s="73">
        <f t="shared" si="76"/>
        <v>1979</v>
      </c>
      <c r="G64" s="73">
        <f t="shared" si="76"/>
        <v>1600</v>
      </c>
      <c r="H64" s="73">
        <f t="shared" si="76"/>
        <v>272</v>
      </c>
      <c r="I64" s="73">
        <f t="shared" si="76"/>
        <v>0</v>
      </c>
      <c r="J64" s="73">
        <f t="shared" si="76"/>
        <v>0</v>
      </c>
      <c r="K64" s="73">
        <f t="shared" si="76"/>
        <v>1872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3115</v>
      </c>
      <c r="R64" s="73">
        <f t="shared" si="77"/>
        <v>796</v>
      </c>
      <c r="S64" s="73">
        <f t="shared" si="77"/>
        <v>0</v>
      </c>
      <c r="T64" s="73">
        <f t="shared" si="77"/>
        <v>0</v>
      </c>
      <c r="U64" s="73">
        <f t="shared" si="77"/>
        <v>3911</v>
      </c>
      <c r="V64" s="2"/>
    </row>
    <row r="65" ht="15.0" customHeight="1">
      <c r="A65" s="74" t="s">
        <v>100</v>
      </c>
      <c r="B65" s="75">
        <v>14.0</v>
      </c>
      <c r="C65" s="75">
        <v>48.0</v>
      </c>
      <c r="D65" s="75"/>
      <c r="E65" s="75"/>
      <c r="F65" s="76">
        <f t="shared" ref="F65:F79" si="79">SUM(B65:E65)</f>
        <v>62</v>
      </c>
      <c r="G65" s="75">
        <v>192.0</v>
      </c>
      <c r="H65" s="75">
        <v>9.0</v>
      </c>
      <c r="I65" s="75"/>
      <c r="J65" s="75"/>
      <c r="K65" s="76">
        <f t="shared" ref="K65:K79" si="80">SUM(G65:J65)</f>
        <v>201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206</v>
      </c>
      <c r="R65" s="75">
        <f t="shared" si="78"/>
        <v>57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263</v>
      </c>
      <c r="V65" s="2"/>
    </row>
    <row r="66" ht="15.0" customHeight="1">
      <c r="A66" s="74" t="s">
        <v>101</v>
      </c>
      <c r="B66" s="77">
        <v>341.0</v>
      </c>
      <c r="C66" s="77">
        <v>20.0</v>
      </c>
      <c r="D66" s="77"/>
      <c r="E66" s="77"/>
      <c r="F66" s="76">
        <f t="shared" si="79"/>
        <v>361</v>
      </c>
      <c r="G66" s="77">
        <v>73.0</v>
      </c>
      <c r="H66" s="77">
        <v>8.0</v>
      </c>
      <c r="I66" s="77"/>
      <c r="J66" s="77"/>
      <c r="K66" s="76">
        <f t="shared" si="80"/>
        <v>81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414</v>
      </c>
      <c r="R66" s="75">
        <f t="shared" si="82"/>
        <v>28</v>
      </c>
      <c r="S66" s="75">
        <f t="shared" si="82"/>
        <v>0</v>
      </c>
      <c r="T66" s="75">
        <f t="shared" si="82"/>
        <v>0</v>
      </c>
      <c r="U66" s="76">
        <f t="shared" si="83"/>
        <v>442</v>
      </c>
      <c r="V66" s="2"/>
    </row>
    <row r="67" ht="15.0" customHeight="1">
      <c r="A67" s="74" t="s">
        <v>102</v>
      </c>
      <c r="B67" s="77">
        <v>38.0</v>
      </c>
      <c r="C67" s="77">
        <v>12.0</v>
      </c>
      <c r="D67" s="77"/>
      <c r="E67" s="77"/>
      <c r="F67" s="76">
        <f t="shared" si="79"/>
        <v>50</v>
      </c>
      <c r="G67" s="77">
        <v>45.0</v>
      </c>
      <c r="H67" s="77">
        <v>3.0</v>
      </c>
      <c r="I67" s="77"/>
      <c r="J67" s="77"/>
      <c r="K67" s="76">
        <f t="shared" si="80"/>
        <v>48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83</v>
      </c>
      <c r="R67" s="75">
        <f t="shared" si="84"/>
        <v>15</v>
      </c>
      <c r="S67" s="75">
        <f t="shared" si="84"/>
        <v>0</v>
      </c>
      <c r="T67" s="75">
        <f t="shared" si="84"/>
        <v>0</v>
      </c>
      <c r="U67" s="76">
        <f t="shared" si="83"/>
        <v>98</v>
      </c>
      <c r="V67" s="2"/>
    </row>
    <row r="68" ht="15.0" customHeight="1">
      <c r="A68" s="74" t="s">
        <v>103</v>
      </c>
      <c r="B68" s="77">
        <v>30.0</v>
      </c>
      <c r="C68" s="77">
        <v>11.0</v>
      </c>
      <c r="D68" s="77"/>
      <c r="E68" s="77"/>
      <c r="F68" s="76">
        <f t="shared" si="79"/>
        <v>41</v>
      </c>
      <c r="G68" s="77">
        <v>125.0</v>
      </c>
      <c r="H68" s="77"/>
      <c r="I68" s="77"/>
      <c r="J68" s="77"/>
      <c r="K68" s="76">
        <f t="shared" si="80"/>
        <v>125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155</v>
      </c>
      <c r="R68" s="75">
        <f t="shared" si="85"/>
        <v>11</v>
      </c>
      <c r="S68" s="75">
        <f t="shared" si="85"/>
        <v>0</v>
      </c>
      <c r="T68" s="75">
        <f t="shared" si="85"/>
        <v>0</v>
      </c>
      <c r="U68" s="76">
        <f t="shared" si="83"/>
        <v>166</v>
      </c>
      <c r="V68" s="2"/>
    </row>
    <row r="69" ht="15.0" customHeight="1">
      <c r="A69" s="74" t="s">
        <v>59</v>
      </c>
      <c r="B69" s="77">
        <v>214.0</v>
      </c>
      <c r="C69" s="77">
        <v>40.0</v>
      </c>
      <c r="D69" s="77"/>
      <c r="E69" s="77"/>
      <c r="F69" s="76">
        <f t="shared" si="79"/>
        <v>254</v>
      </c>
      <c r="G69" s="77">
        <v>222.0</v>
      </c>
      <c r="H69" s="77">
        <v>15.0</v>
      </c>
      <c r="I69" s="77"/>
      <c r="J69" s="77"/>
      <c r="K69" s="76">
        <f t="shared" si="80"/>
        <v>237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436</v>
      </c>
      <c r="R69" s="75">
        <f t="shared" si="86"/>
        <v>55</v>
      </c>
      <c r="S69" s="75">
        <f t="shared" si="86"/>
        <v>0</v>
      </c>
      <c r="T69" s="75">
        <f t="shared" si="86"/>
        <v>0</v>
      </c>
      <c r="U69" s="76">
        <f t="shared" si="83"/>
        <v>491</v>
      </c>
      <c r="V69" s="2"/>
    </row>
    <row r="70" ht="15.0" customHeight="1">
      <c r="A70" s="74" t="s">
        <v>104</v>
      </c>
      <c r="B70" s="77">
        <v>239.0</v>
      </c>
      <c r="C70" s="77">
        <v>61.0</v>
      </c>
      <c r="D70" s="77"/>
      <c r="E70" s="77"/>
      <c r="F70" s="76">
        <f t="shared" si="79"/>
        <v>300</v>
      </c>
      <c r="G70" s="77">
        <v>76.0</v>
      </c>
      <c r="H70" s="77">
        <v>12.0</v>
      </c>
      <c r="I70" s="77"/>
      <c r="J70" s="77"/>
      <c r="K70" s="76">
        <f t="shared" si="80"/>
        <v>88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315</v>
      </c>
      <c r="R70" s="75">
        <f t="shared" si="87"/>
        <v>73</v>
      </c>
      <c r="S70" s="75">
        <f t="shared" si="87"/>
        <v>0</v>
      </c>
      <c r="T70" s="75">
        <f t="shared" si="87"/>
        <v>0</v>
      </c>
      <c r="U70" s="76">
        <f t="shared" si="83"/>
        <v>388</v>
      </c>
      <c r="V70" s="2"/>
    </row>
    <row r="71" ht="15.0" customHeight="1">
      <c r="A71" s="74" t="s">
        <v>105</v>
      </c>
      <c r="B71" s="77">
        <v>30.0</v>
      </c>
      <c r="C71" s="77">
        <v>119.0</v>
      </c>
      <c r="D71" s="77"/>
      <c r="E71" s="77"/>
      <c r="F71" s="76">
        <f t="shared" si="79"/>
        <v>149</v>
      </c>
      <c r="G71" s="77">
        <v>240.0</v>
      </c>
      <c r="H71" s="77">
        <v>81.0</v>
      </c>
      <c r="I71" s="77"/>
      <c r="J71" s="77"/>
      <c r="K71" s="76">
        <f t="shared" si="80"/>
        <v>321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270</v>
      </c>
      <c r="R71" s="75">
        <f t="shared" si="88"/>
        <v>200</v>
      </c>
      <c r="S71" s="75">
        <f t="shared" si="88"/>
        <v>0</v>
      </c>
      <c r="T71" s="75">
        <f t="shared" si="88"/>
        <v>0</v>
      </c>
      <c r="U71" s="76">
        <f t="shared" si="83"/>
        <v>470</v>
      </c>
      <c r="V71" s="2"/>
    </row>
    <row r="72" ht="15.0" customHeight="1">
      <c r="A72" s="74" t="s">
        <v>106</v>
      </c>
      <c r="B72" s="90">
        <v>80.0</v>
      </c>
      <c r="C72" s="90">
        <v>35.0</v>
      </c>
      <c r="D72" s="90"/>
      <c r="E72" s="90"/>
      <c r="F72" s="76">
        <f t="shared" si="79"/>
        <v>115</v>
      </c>
      <c r="G72" s="90">
        <v>9.0</v>
      </c>
      <c r="H72" s="90">
        <v>8.0</v>
      </c>
      <c r="I72" s="90"/>
      <c r="J72" s="90"/>
      <c r="K72" s="76">
        <f t="shared" si="80"/>
        <v>17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89</v>
      </c>
      <c r="R72" s="75">
        <f t="shared" si="89"/>
        <v>43</v>
      </c>
      <c r="S72" s="75">
        <f t="shared" si="89"/>
        <v>0</v>
      </c>
      <c r="T72" s="75">
        <f t="shared" si="89"/>
        <v>0</v>
      </c>
      <c r="U72" s="76">
        <f t="shared" si="83"/>
        <v>132</v>
      </c>
      <c r="V72" s="2"/>
    </row>
    <row r="73" ht="15.0" customHeight="1">
      <c r="A73" s="74" t="s">
        <v>107</v>
      </c>
      <c r="B73" s="77">
        <v>40.0</v>
      </c>
      <c r="C73" s="77">
        <v>10.0</v>
      </c>
      <c r="D73" s="77"/>
      <c r="E73" s="77"/>
      <c r="F73" s="76">
        <f t="shared" si="79"/>
        <v>50</v>
      </c>
      <c r="G73" s="77">
        <v>30.0</v>
      </c>
      <c r="H73" s="77"/>
      <c r="I73" s="77"/>
      <c r="J73" s="77"/>
      <c r="K73" s="76">
        <f t="shared" si="80"/>
        <v>30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70</v>
      </c>
      <c r="R73" s="75">
        <f t="shared" si="90"/>
        <v>10</v>
      </c>
      <c r="S73" s="75">
        <f t="shared" si="90"/>
        <v>0</v>
      </c>
      <c r="T73" s="75">
        <f t="shared" si="90"/>
        <v>0</v>
      </c>
      <c r="U73" s="76">
        <f t="shared" si="83"/>
        <v>80</v>
      </c>
      <c r="V73" s="2"/>
    </row>
    <row r="74" ht="15.0" customHeight="1">
      <c r="A74" s="74" t="s">
        <v>108</v>
      </c>
      <c r="B74" s="77">
        <v>131.0</v>
      </c>
      <c r="C74" s="77">
        <v>76.0</v>
      </c>
      <c r="D74" s="77"/>
      <c r="E74" s="77"/>
      <c r="F74" s="76">
        <f t="shared" si="79"/>
        <v>207</v>
      </c>
      <c r="G74" s="77">
        <v>104.0</v>
      </c>
      <c r="H74" s="77">
        <v>79.0</v>
      </c>
      <c r="I74" s="77"/>
      <c r="J74" s="77"/>
      <c r="K74" s="76">
        <f t="shared" si="80"/>
        <v>183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235</v>
      </c>
      <c r="R74" s="75">
        <f t="shared" si="91"/>
        <v>155</v>
      </c>
      <c r="S74" s="75">
        <f t="shared" si="91"/>
        <v>0</v>
      </c>
      <c r="T74" s="75">
        <f t="shared" si="91"/>
        <v>0</v>
      </c>
      <c r="U74" s="76">
        <f t="shared" si="83"/>
        <v>390</v>
      </c>
      <c r="V74" s="2"/>
    </row>
    <row r="75" ht="15.0" customHeight="1">
      <c r="A75" s="74" t="s">
        <v>109</v>
      </c>
      <c r="B75" s="77">
        <v>257.0</v>
      </c>
      <c r="C75" s="77">
        <v>53.0</v>
      </c>
      <c r="D75" s="77"/>
      <c r="E75" s="77"/>
      <c r="F75" s="76">
        <f t="shared" si="79"/>
        <v>310</v>
      </c>
      <c r="G75" s="77">
        <v>16.0</v>
      </c>
      <c r="H75" s="77">
        <v>2.0</v>
      </c>
      <c r="I75" s="77"/>
      <c r="J75" s="77"/>
      <c r="K75" s="76">
        <f t="shared" si="80"/>
        <v>18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273</v>
      </c>
      <c r="R75" s="75">
        <f t="shared" si="92"/>
        <v>55</v>
      </c>
      <c r="S75" s="75">
        <f t="shared" si="92"/>
        <v>0</v>
      </c>
      <c r="T75" s="75">
        <f t="shared" si="92"/>
        <v>0</v>
      </c>
      <c r="U75" s="76">
        <f t="shared" si="83"/>
        <v>328</v>
      </c>
      <c r="V75" s="2"/>
    </row>
    <row r="76" ht="15.0" customHeight="1">
      <c r="A76" s="74" t="s">
        <v>65</v>
      </c>
      <c r="B76" s="77">
        <v>2.0</v>
      </c>
      <c r="C76" s="77">
        <v>12.0</v>
      </c>
      <c r="D76" s="77"/>
      <c r="E76" s="77"/>
      <c r="F76" s="76">
        <f t="shared" si="79"/>
        <v>14</v>
      </c>
      <c r="G76" s="77">
        <v>20.0</v>
      </c>
      <c r="H76" s="77"/>
      <c r="I76" s="77"/>
      <c r="J76" s="77"/>
      <c r="K76" s="76">
        <f t="shared" si="80"/>
        <v>20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22</v>
      </c>
      <c r="R76" s="75">
        <f t="shared" si="93"/>
        <v>12</v>
      </c>
      <c r="S76" s="75">
        <f t="shared" si="93"/>
        <v>0</v>
      </c>
      <c r="T76" s="75">
        <f t="shared" si="93"/>
        <v>0</v>
      </c>
      <c r="U76" s="76">
        <f t="shared" si="83"/>
        <v>34</v>
      </c>
      <c r="V76" s="2"/>
    </row>
    <row r="77" ht="15.0" customHeight="1">
      <c r="A77" s="74" t="s">
        <v>110</v>
      </c>
      <c r="B77" s="77"/>
      <c r="C77" s="77">
        <v>20.0</v>
      </c>
      <c r="D77" s="77"/>
      <c r="E77" s="77"/>
      <c r="F77" s="76">
        <f t="shared" si="79"/>
        <v>20</v>
      </c>
      <c r="G77" s="77">
        <v>408.0</v>
      </c>
      <c r="H77" s="77">
        <v>55.0</v>
      </c>
      <c r="I77" s="77"/>
      <c r="J77" s="77"/>
      <c r="K77" s="76">
        <f t="shared" si="80"/>
        <v>463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408</v>
      </c>
      <c r="R77" s="75">
        <f t="shared" si="94"/>
        <v>75</v>
      </c>
      <c r="S77" s="75">
        <f t="shared" si="94"/>
        <v>0</v>
      </c>
      <c r="T77" s="75">
        <f t="shared" si="94"/>
        <v>0</v>
      </c>
      <c r="U77" s="76">
        <f t="shared" si="83"/>
        <v>483</v>
      </c>
      <c r="V77" s="2"/>
    </row>
    <row r="78" ht="15.0" customHeight="1">
      <c r="A78" s="74" t="s">
        <v>111</v>
      </c>
      <c r="B78" s="77">
        <v>39.0</v>
      </c>
      <c r="C78" s="77">
        <v>7.0</v>
      </c>
      <c r="D78" s="77"/>
      <c r="E78" s="77"/>
      <c r="F78" s="76">
        <f t="shared" si="79"/>
        <v>46</v>
      </c>
      <c r="G78" s="77">
        <v>40.0</v>
      </c>
      <c r="H78" s="77"/>
      <c r="I78" s="77"/>
      <c r="J78" s="77"/>
      <c r="K78" s="76">
        <f t="shared" si="80"/>
        <v>40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79</v>
      </c>
      <c r="R78" s="75">
        <f t="shared" si="95"/>
        <v>7</v>
      </c>
      <c r="S78" s="75">
        <f t="shared" si="95"/>
        <v>0</v>
      </c>
      <c r="T78" s="75">
        <f t="shared" si="95"/>
        <v>0</v>
      </c>
      <c r="U78" s="76">
        <f t="shared" si="83"/>
        <v>86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>
        <v>60.0</v>
      </c>
      <c r="H79" s="77"/>
      <c r="I79" s="77"/>
      <c r="J79" s="77"/>
      <c r="K79" s="76">
        <f t="shared" si="80"/>
        <v>60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60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60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35205</v>
      </c>
      <c r="C9" s="70">
        <f t="shared" si="1"/>
        <v>51583</v>
      </c>
      <c r="D9" s="70">
        <f t="shared" si="1"/>
        <v>8418</v>
      </c>
      <c r="E9" s="70">
        <f t="shared" si="1"/>
        <v>1552</v>
      </c>
      <c r="F9" s="71">
        <f t="shared" si="1"/>
        <v>96758</v>
      </c>
      <c r="G9" s="70">
        <f t="shared" si="1"/>
        <v>18023</v>
      </c>
      <c r="H9" s="70">
        <f t="shared" si="1"/>
        <v>13127</v>
      </c>
      <c r="I9" s="70">
        <f t="shared" si="1"/>
        <v>1573</v>
      </c>
      <c r="J9" s="70">
        <f t="shared" si="1"/>
        <v>129</v>
      </c>
      <c r="K9" s="71">
        <f t="shared" si="1"/>
        <v>32852</v>
      </c>
      <c r="L9" s="70">
        <f t="shared" si="1"/>
        <v>1736</v>
      </c>
      <c r="M9" s="70">
        <f t="shared" si="1"/>
        <v>2473</v>
      </c>
      <c r="N9" s="70">
        <f t="shared" si="1"/>
        <v>317</v>
      </c>
      <c r="O9" s="70">
        <f t="shared" si="1"/>
        <v>101</v>
      </c>
      <c r="P9" s="71">
        <f t="shared" si="1"/>
        <v>4627</v>
      </c>
      <c r="Q9" s="70">
        <f t="shared" si="1"/>
        <v>55024</v>
      </c>
      <c r="R9" s="70">
        <f t="shared" si="1"/>
        <v>67183</v>
      </c>
      <c r="S9" s="70">
        <f t="shared" si="1"/>
        <v>10308</v>
      </c>
      <c r="T9" s="70">
        <f t="shared" si="1"/>
        <v>1782</v>
      </c>
      <c r="U9" s="71">
        <f t="shared" si="1"/>
        <v>134297</v>
      </c>
      <c r="V9" s="2"/>
    </row>
    <row r="10" ht="15.75" customHeight="1">
      <c r="A10" s="72" t="s">
        <v>49</v>
      </c>
      <c r="B10" s="73">
        <f t="shared" ref="B10:U10" si="2">SUM(B11:B16)</f>
        <v>323</v>
      </c>
      <c r="C10" s="73">
        <f t="shared" si="2"/>
        <v>517</v>
      </c>
      <c r="D10" s="73">
        <f t="shared" si="2"/>
        <v>204</v>
      </c>
      <c r="E10" s="73">
        <f t="shared" si="2"/>
        <v>0</v>
      </c>
      <c r="F10" s="73">
        <f t="shared" si="2"/>
        <v>1044</v>
      </c>
      <c r="G10" s="73">
        <f t="shared" si="2"/>
        <v>265</v>
      </c>
      <c r="H10" s="73">
        <f t="shared" si="2"/>
        <v>265</v>
      </c>
      <c r="I10" s="73">
        <f t="shared" si="2"/>
        <v>35</v>
      </c>
      <c r="J10" s="73">
        <f t="shared" si="2"/>
        <v>70</v>
      </c>
      <c r="K10" s="73">
        <f t="shared" si="2"/>
        <v>635</v>
      </c>
      <c r="L10" s="73">
        <f t="shared" si="2"/>
        <v>3</v>
      </c>
      <c r="M10" s="73">
        <f t="shared" si="2"/>
        <v>122</v>
      </c>
      <c r="N10" s="73">
        <f t="shared" si="2"/>
        <v>2</v>
      </c>
      <c r="O10" s="73">
        <f t="shared" si="2"/>
        <v>0</v>
      </c>
      <c r="P10" s="73">
        <f t="shared" si="2"/>
        <v>127</v>
      </c>
      <c r="Q10" s="73">
        <f t="shared" si="2"/>
        <v>591</v>
      </c>
      <c r="R10" s="73">
        <f t="shared" si="2"/>
        <v>904</v>
      </c>
      <c r="S10" s="73">
        <f t="shared" si="2"/>
        <v>241</v>
      </c>
      <c r="T10" s="73">
        <f t="shared" si="2"/>
        <v>70</v>
      </c>
      <c r="U10" s="73">
        <f t="shared" si="2"/>
        <v>1806</v>
      </c>
      <c r="V10" s="2" t="s">
        <v>114</v>
      </c>
    </row>
    <row r="11" ht="15.0" customHeight="1">
      <c r="A11" s="74" t="s">
        <v>50</v>
      </c>
      <c r="B11" s="75">
        <v>35.0</v>
      </c>
      <c r="C11" s="75">
        <v>237.0</v>
      </c>
      <c r="D11" s="75"/>
      <c r="E11" s="75"/>
      <c r="F11" s="76">
        <f t="shared" ref="F11:F16" si="4">SUM(B11:E11)</f>
        <v>272</v>
      </c>
      <c r="G11" s="75">
        <v>70.0</v>
      </c>
      <c r="H11" s="75">
        <v>73.0</v>
      </c>
      <c r="I11" s="75"/>
      <c r="J11" s="75"/>
      <c r="K11" s="76">
        <f t="shared" ref="K11:K16" si="5">SUM(G11:J11)</f>
        <v>143</v>
      </c>
      <c r="L11" s="75"/>
      <c r="M11" s="75">
        <v>75.0</v>
      </c>
      <c r="N11" s="75"/>
      <c r="O11" s="75"/>
      <c r="P11" s="76">
        <f t="shared" ref="P11:P16" si="6">SUM(L11:O11)</f>
        <v>75</v>
      </c>
      <c r="Q11" s="75">
        <f t="shared" ref="Q11:T11" si="3">SUM(B11,G11,L11)</f>
        <v>105</v>
      </c>
      <c r="R11" s="75">
        <f t="shared" si="3"/>
        <v>385</v>
      </c>
      <c r="S11" s="75">
        <f t="shared" si="3"/>
        <v>0</v>
      </c>
      <c r="T11" s="75">
        <f t="shared" si="3"/>
        <v>0</v>
      </c>
      <c r="U11" s="76">
        <f t="shared" ref="U11:U16" si="8">SUM(Q11:T11)</f>
        <v>490</v>
      </c>
      <c r="V11" s="2"/>
    </row>
    <row r="12" ht="15.0" customHeight="1">
      <c r="A12" s="74" t="s">
        <v>51</v>
      </c>
      <c r="B12" s="77">
        <v>5.0</v>
      </c>
      <c r="C12" s="77">
        <v>5.0</v>
      </c>
      <c r="D12" s="77">
        <v>3.0</v>
      </c>
      <c r="E12" s="77"/>
      <c r="F12" s="78">
        <f t="shared" si="4"/>
        <v>13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5</v>
      </c>
      <c r="R12" s="77">
        <f t="shared" si="7"/>
        <v>5</v>
      </c>
      <c r="S12" s="77">
        <f t="shared" si="7"/>
        <v>3</v>
      </c>
      <c r="T12" s="77">
        <f t="shared" si="7"/>
        <v>0</v>
      </c>
      <c r="U12" s="78">
        <f t="shared" si="8"/>
        <v>13</v>
      </c>
      <c r="V12" s="2"/>
    </row>
    <row r="13" ht="15.0" customHeight="1">
      <c r="A13" s="74" t="s">
        <v>52</v>
      </c>
      <c r="B13" s="77">
        <v>20.0</v>
      </c>
      <c r="C13" s="77">
        <v>24.0</v>
      </c>
      <c r="D13" s="77"/>
      <c r="E13" s="77"/>
      <c r="F13" s="78">
        <f t="shared" si="4"/>
        <v>44</v>
      </c>
      <c r="G13" s="77">
        <v>9.0</v>
      </c>
      <c r="H13" s="77">
        <v>6.0</v>
      </c>
      <c r="I13" s="77">
        <v>2.0</v>
      </c>
      <c r="J13" s="77"/>
      <c r="K13" s="78">
        <f t="shared" si="5"/>
        <v>17</v>
      </c>
      <c r="L13" s="77">
        <v>3.0</v>
      </c>
      <c r="M13" s="77">
        <v>26.0</v>
      </c>
      <c r="N13" s="77"/>
      <c r="O13" s="77"/>
      <c r="P13" s="78">
        <f t="shared" si="6"/>
        <v>29</v>
      </c>
      <c r="Q13" s="77">
        <f t="shared" ref="Q13:T13" si="9">SUM(B13,G13,L13)</f>
        <v>32</v>
      </c>
      <c r="R13" s="77">
        <f t="shared" si="9"/>
        <v>56</v>
      </c>
      <c r="S13" s="77">
        <f t="shared" si="9"/>
        <v>2</v>
      </c>
      <c r="T13" s="77">
        <f t="shared" si="9"/>
        <v>0</v>
      </c>
      <c r="U13" s="78">
        <f t="shared" si="8"/>
        <v>90</v>
      </c>
      <c r="V13" s="2"/>
    </row>
    <row r="14" ht="15.0" customHeight="1">
      <c r="A14" s="74" t="s">
        <v>53</v>
      </c>
      <c r="B14" s="77">
        <v>203.0</v>
      </c>
      <c r="C14" s="77"/>
      <c r="D14" s="77"/>
      <c r="E14" s="77"/>
      <c r="F14" s="78">
        <f t="shared" si="4"/>
        <v>203</v>
      </c>
      <c r="G14" s="77">
        <v>167.0</v>
      </c>
      <c r="H14" s="77"/>
      <c r="I14" s="77"/>
      <c r="J14" s="77"/>
      <c r="K14" s="78">
        <f t="shared" si="5"/>
        <v>167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370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370</v>
      </c>
      <c r="V14" s="2"/>
    </row>
    <row r="15" ht="15.0" customHeight="1">
      <c r="A15" s="74" t="s">
        <v>54</v>
      </c>
      <c r="B15" s="77">
        <v>53.0</v>
      </c>
      <c r="C15" s="77">
        <v>137.0</v>
      </c>
      <c r="D15" s="77">
        <v>201.0</v>
      </c>
      <c r="E15" s="77"/>
      <c r="F15" s="78">
        <f t="shared" si="4"/>
        <v>391</v>
      </c>
      <c r="G15" s="77"/>
      <c r="H15" s="77"/>
      <c r="I15" s="77">
        <v>33.0</v>
      </c>
      <c r="J15" s="77">
        <v>70.0</v>
      </c>
      <c r="K15" s="78">
        <f t="shared" si="5"/>
        <v>103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53</v>
      </c>
      <c r="R15" s="77">
        <f t="shared" si="11"/>
        <v>137</v>
      </c>
      <c r="S15" s="77">
        <f t="shared" si="11"/>
        <v>234</v>
      </c>
      <c r="T15" s="77">
        <f t="shared" si="11"/>
        <v>70</v>
      </c>
      <c r="U15" s="78">
        <f t="shared" si="8"/>
        <v>494</v>
      </c>
      <c r="V15" s="2"/>
    </row>
    <row r="16" ht="15.75" customHeight="1">
      <c r="A16" s="74" t="s">
        <v>55</v>
      </c>
      <c r="B16" s="77">
        <v>7.0</v>
      </c>
      <c r="C16" s="77">
        <v>114.0</v>
      </c>
      <c r="D16" s="77"/>
      <c r="E16" s="77"/>
      <c r="F16" s="78">
        <f t="shared" si="4"/>
        <v>121</v>
      </c>
      <c r="G16" s="77">
        <v>19.0</v>
      </c>
      <c r="H16" s="77">
        <v>186.0</v>
      </c>
      <c r="I16" s="77"/>
      <c r="J16" s="77"/>
      <c r="K16" s="78">
        <f t="shared" si="5"/>
        <v>205</v>
      </c>
      <c r="L16" s="77"/>
      <c r="M16" s="77">
        <v>21.0</v>
      </c>
      <c r="N16" s="77">
        <v>2.0</v>
      </c>
      <c r="O16" s="77"/>
      <c r="P16" s="78">
        <f t="shared" si="6"/>
        <v>23</v>
      </c>
      <c r="Q16" s="77">
        <f t="shared" ref="Q16:T16" si="12">SUM(B16,G16,L16)</f>
        <v>26</v>
      </c>
      <c r="R16" s="77">
        <f t="shared" si="12"/>
        <v>321</v>
      </c>
      <c r="S16" s="77">
        <f t="shared" si="12"/>
        <v>2</v>
      </c>
      <c r="T16" s="77">
        <f t="shared" si="12"/>
        <v>0</v>
      </c>
      <c r="U16" s="78">
        <f t="shared" si="8"/>
        <v>349</v>
      </c>
      <c r="V16" s="2"/>
    </row>
    <row r="17" ht="15.75" customHeight="1">
      <c r="A17" s="72" t="s">
        <v>56</v>
      </c>
      <c r="B17" s="73">
        <f t="shared" ref="B17:Q17" si="13">SUM(B18:B28)</f>
        <v>12997</v>
      </c>
      <c r="C17" s="73">
        <f t="shared" si="13"/>
        <v>15731</v>
      </c>
      <c r="D17" s="73">
        <f t="shared" si="13"/>
        <v>391</v>
      </c>
      <c r="E17" s="73">
        <f t="shared" si="13"/>
        <v>254</v>
      </c>
      <c r="F17" s="73">
        <f t="shared" si="13"/>
        <v>29373</v>
      </c>
      <c r="G17" s="73">
        <f t="shared" si="13"/>
        <v>10469</v>
      </c>
      <c r="H17" s="73">
        <f t="shared" si="13"/>
        <v>6145</v>
      </c>
      <c r="I17" s="73">
        <f t="shared" si="13"/>
        <v>387</v>
      </c>
      <c r="J17" s="73">
        <f t="shared" si="13"/>
        <v>0</v>
      </c>
      <c r="K17" s="73">
        <f t="shared" si="13"/>
        <v>17001</v>
      </c>
      <c r="L17" s="73">
        <f t="shared" si="13"/>
        <v>737</v>
      </c>
      <c r="M17" s="73">
        <f t="shared" si="13"/>
        <v>991</v>
      </c>
      <c r="N17" s="73">
        <f t="shared" si="13"/>
        <v>0</v>
      </c>
      <c r="O17" s="73">
        <f t="shared" si="13"/>
        <v>0</v>
      </c>
      <c r="P17" s="73">
        <f t="shared" si="13"/>
        <v>1728</v>
      </c>
      <c r="Q17" s="73">
        <f t="shared" si="13"/>
        <v>24203</v>
      </c>
      <c r="R17" s="73">
        <f>R18+R19+R20+R21+R22+R23+R24+R25+R26+R27+R28</f>
        <v>22867</v>
      </c>
      <c r="S17" s="73">
        <f t="shared" ref="S17:U17" si="14">SUM(S18:S28)</f>
        <v>778</v>
      </c>
      <c r="T17" s="73">
        <f t="shared" si="14"/>
        <v>254</v>
      </c>
      <c r="U17" s="73">
        <f t="shared" si="14"/>
        <v>48102</v>
      </c>
      <c r="V17" s="2" t="s">
        <v>114</v>
      </c>
    </row>
    <row r="18" ht="15.0" customHeight="1">
      <c r="A18" s="74" t="s">
        <v>57</v>
      </c>
      <c r="B18" s="75">
        <v>208.0</v>
      </c>
      <c r="C18" s="75">
        <v>669.0</v>
      </c>
      <c r="D18" s="75"/>
      <c r="E18" s="75"/>
      <c r="F18" s="76">
        <f t="shared" ref="F18:F28" si="16">SUM(B18:E18)</f>
        <v>877</v>
      </c>
      <c r="G18" s="75">
        <v>256.0</v>
      </c>
      <c r="H18" s="75">
        <v>450.0</v>
      </c>
      <c r="I18" s="75"/>
      <c r="J18" s="75"/>
      <c r="K18" s="76">
        <f t="shared" ref="K18:K28" si="17">SUM(G18:J18)</f>
        <v>706</v>
      </c>
      <c r="L18" s="75"/>
      <c r="M18" s="75">
        <v>38.0</v>
      </c>
      <c r="N18" s="75"/>
      <c r="O18" s="75"/>
      <c r="P18" s="76">
        <f t="shared" ref="P18:P28" si="18">SUM(L18:O18)</f>
        <v>38</v>
      </c>
      <c r="Q18" s="75">
        <f t="shared" ref="Q18:T18" si="15">B18+G18+L18</f>
        <v>464</v>
      </c>
      <c r="R18" s="75">
        <f t="shared" si="15"/>
        <v>1157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1621</v>
      </c>
      <c r="V18" s="2"/>
    </row>
    <row r="19" ht="15.0" customHeight="1">
      <c r="A19" s="74" t="s">
        <v>58</v>
      </c>
      <c r="B19" s="77">
        <v>1098.0</v>
      </c>
      <c r="C19" s="77">
        <v>2803.0</v>
      </c>
      <c r="D19" s="75">
        <v>62.0</v>
      </c>
      <c r="E19" s="75"/>
      <c r="F19" s="76">
        <f t="shared" si="16"/>
        <v>3963</v>
      </c>
      <c r="G19" s="77">
        <v>1558.0</v>
      </c>
      <c r="H19" s="77">
        <v>166.0</v>
      </c>
      <c r="I19" s="77"/>
      <c r="J19" s="77"/>
      <c r="K19" s="76">
        <f t="shared" si="17"/>
        <v>1724</v>
      </c>
      <c r="L19" s="77">
        <v>43.0</v>
      </c>
      <c r="M19" s="77">
        <v>256.0</v>
      </c>
      <c r="N19" s="77"/>
      <c r="O19" s="77"/>
      <c r="P19" s="76">
        <f t="shared" si="18"/>
        <v>299</v>
      </c>
      <c r="Q19" s="75">
        <f t="shared" ref="Q19:T19" si="19">B19+G19+L19</f>
        <v>2699</v>
      </c>
      <c r="R19" s="75">
        <f t="shared" si="19"/>
        <v>3225</v>
      </c>
      <c r="S19" s="75">
        <f t="shared" si="19"/>
        <v>62</v>
      </c>
      <c r="T19" s="75">
        <f t="shared" si="19"/>
        <v>0</v>
      </c>
      <c r="U19" s="78">
        <f t="shared" si="20"/>
        <v>5986</v>
      </c>
      <c r="V19" s="2"/>
    </row>
    <row r="20" ht="15.0" customHeight="1">
      <c r="A20" s="74" t="s">
        <v>59</v>
      </c>
      <c r="B20" s="77">
        <v>102.0</v>
      </c>
      <c r="C20" s="77"/>
      <c r="D20" s="77"/>
      <c r="E20" s="77"/>
      <c r="F20" s="76">
        <f t="shared" si="16"/>
        <v>102</v>
      </c>
      <c r="G20" s="77">
        <v>8.0</v>
      </c>
      <c r="H20" s="77"/>
      <c r="I20" s="77"/>
      <c r="J20" s="77"/>
      <c r="K20" s="76">
        <f t="shared" si="17"/>
        <v>8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110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110</v>
      </c>
      <c r="V20" s="2"/>
    </row>
    <row r="21" ht="15.0" customHeight="1">
      <c r="A21" s="74" t="s">
        <v>60</v>
      </c>
      <c r="B21" s="77">
        <v>372.0</v>
      </c>
      <c r="C21" s="77">
        <v>747.0</v>
      </c>
      <c r="D21" s="77"/>
      <c r="E21" s="77"/>
      <c r="F21" s="76">
        <f t="shared" si="16"/>
        <v>1119</v>
      </c>
      <c r="G21" s="77">
        <v>199.0</v>
      </c>
      <c r="H21" s="77">
        <v>35.0</v>
      </c>
      <c r="I21" s="77"/>
      <c r="J21" s="77"/>
      <c r="K21" s="76">
        <f t="shared" si="17"/>
        <v>234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571</v>
      </c>
      <c r="R21" s="75">
        <f t="shared" si="22"/>
        <v>782</v>
      </c>
      <c r="S21" s="75">
        <f t="shared" si="22"/>
        <v>0</v>
      </c>
      <c r="T21" s="75">
        <f t="shared" si="22"/>
        <v>0</v>
      </c>
      <c r="U21" s="78">
        <f t="shared" si="20"/>
        <v>1353</v>
      </c>
      <c r="V21" s="2"/>
    </row>
    <row r="22" ht="15.0" customHeight="1">
      <c r="A22" s="74" t="s">
        <v>61</v>
      </c>
      <c r="B22" s="77">
        <v>688.0</v>
      </c>
      <c r="C22" s="77">
        <v>264.0</v>
      </c>
      <c r="D22" s="77"/>
      <c r="E22" s="77"/>
      <c r="F22" s="76">
        <f t="shared" si="16"/>
        <v>952</v>
      </c>
      <c r="G22" s="77">
        <v>174.0</v>
      </c>
      <c r="H22" s="77">
        <v>16.0</v>
      </c>
      <c r="I22" s="77"/>
      <c r="J22" s="77"/>
      <c r="K22" s="76">
        <f t="shared" si="17"/>
        <v>190</v>
      </c>
      <c r="L22" s="77">
        <v>10.0</v>
      </c>
      <c r="M22" s="77"/>
      <c r="N22" s="77"/>
      <c r="O22" s="77"/>
      <c r="P22" s="76">
        <f t="shared" si="18"/>
        <v>10</v>
      </c>
      <c r="Q22" s="75">
        <f t="shared" ref="Q22:T22" si="23">B22+G22+L22</f>
        <v>872</v>
      </c>
      <c r="R22" s="75">
        <f t="shared" si="23"/>
        <v>280</v>
      </c>
      <c r="S22" s="75">
        <f t="shared" si="23"/>
        <v>0</v>
      </c>
      <c r="T22" s="75">
        <f t="shared" si="23"/>
        <v>0</v>
      </c>
      <c r="U22" s="78">
        <f t="shared" si="20"/>
        <v>1152</v>
      </c>
      <c r="V22" s="2"/>
    </row>
    <row r="23" ht="15.0" customHeight="1">
      <c r="A23" s="74" t="s">
        <v>62</v>
      </c>
      <c r="B23" s="77">
        <v>29.0</v>
      </c>
      <c r="C23" s="77">
        <v>495.0</v>
      </c>
      <c r="D23" s="77"/>
      <c r="E23" s="77"/>
      <c r="F23" s="76">
        <f t="shared" si="16"/>
        <v>524</v>
      </c>
      <c r="G23" s="77">
        <v>24.0</v>
      </c>
      <c r="H23" s="77">
        <v>292.0</v>
      </c>
      <c r="I23" s="77"/>
      <c r="J23" s="77"/>
      <c r="K23" s="76">
        <f t="shared" si="17"/>
        <v>316</v>
      </c>
      <c r="L23" s="77"/>
      <c r="M23" s="77">
        <v>59.0</v>
      </c>
      <c r="N23" s="77"/>
      <c r="O23" s="77"/>
      <c r="P23" s="76">
        <f t="shared" si="18"/>
        <v>59</v>
      </c>
      <c r="Q23" s="75">
        <f t="shared" ref="Q23:T23" si="24">B23+G23+L23</f>
        <v>53</v>
      </c>
      <c r="R23" s="75">
        <f t="shared" si="24"/>
        <v>846</v>
      </c>
      <c r="S23" s="75">
        <f t="shared" si="24"/>
        <v>0</v>
      </c>
      <c r="T23" s="75">
        <f t="shared" si="24"/>
        <v>0</v>
      </c>
      <c r="U23" s="78">
        <f t="shared" si="20"/>
        <v>899</v>
      </c>
      <c r="V23" s="2"/>
    </row>
    <row r="24" ht="15.0" customHeight="1">
      <c r="A24" s="74" t="s">
        <v>63</v>
      </c>
      <c r="B24" s="79">
        <v>146.0</v>
      </c>
      <c r="C24" s="77"/>
      <c r="D24" s="77"/>
      <c r="E24" s="77"/>
      <c r="F24" s="76">
        <f t="shared" si="16"/>
        <v>146</v>
      </c>
      <c r="G24" s="77"/>
      <c r="H24" s="77"/>
      <c r="I24" s="77"/>
      <c r="J24" s="77"/>
      <c r="K24" s="76">
        <f t="shared" si="17"/>
        <v>0</v>
      </c>
      <c r="L24" s="77">
        <v>129.0</v>
      </c>
      <c r="M24" s="77">
        <v>146.0</v>
      </c>
      <c r="N24" s="77"/>
      <c r="O24" s="77"/>
      <c r="P24" s="76">
        <f t="shared" si="18"/>
        <v>275</v>
      </c>
      <c r="Q24" s="75">
        <f t="shared" ref="Q24:T24" si="25">B24+G24+L24</f>
        <v>275</v>
      </c>
      <c r="R24" s="75">
        <f t="shared" si="25"/>
        <v>146</v>
      </c>
      <c r="S24" s="75">
        <f t="shared" si="25"/>
        <v>0</v>
      </c>
      <c r="T24" s="75">
        <f t="shared" si="25"/>
        <v>0</v>
      </c>
      <c r="U24" s="78">
        <f t="shared" si="20"/>
        <v>421</v>
      </c>
      <c r="V24" s="2"/>
    </row>
    <row r="25" ht="15.0" customHeight="1">
      <c r="A25" s="74" t="s">
        <v>17</v>
      </c>
      <c r="B25" s="75">
        <v>2429.0</v>
      </c>
      <c r="C25" s="75">
        <v>3397.0</v>
      </c>
      <c r="D25" s="77"/>
      <c r="E25" s="77"/>
      <c r="F25" s="76">
        <f t="shared" si="16"/>
        <v>5826</v>
      </c>
      <c r="G25" s="75">
        <v>468.0</v>
      </c>
      <c r="H25" s="75">
        <v>827.0</v>
      </c>
      <c r="I25" s="75"/>
      <c r="J25" s="75"/>
      <c r="K25" s="76">
        <f t="shared" si="17"/>
        <v>1295</v>
      </c>
      <c r="L25" s="75">
        <v>64.0</v>
      </c>
      <c r="M25" s="75">
        <v>77.0</v>
      </c>
      <c r="N25" s="75"/>
      <c r="O25" s="75"/>
      <c r="P25" s="76">
        <f t="shared" si="18"/>
        <v>141</v>
      </c>
      <c r="Q25" s="75">
        <f t="shared" ref="Q25:T25" si="26">B25+G25+L25</f>
        <v>2961</v>
      </c>
      <c r="R25" s="75">
        <f t="shared" si="26"/>
        <v>4301</v>
      </c>
      <c r="S25" s="75">
        <f t="shared" si="26"/>
        <v>0</v>
      </c>
      <c r="T25" s="75">
        <f t="shared" si="26"/>
        <v>0</v>
      </c>
      <c r="U25" s="76">
        <f t="shared" si="20"/>
        <v>7262</v>
      </c>
      <c r="V25" s="2"/>
    </row>
    <row r="26" ht="15.0" customHeight="1">
      <c r="A26" s="74" t="s">
        <v>64</v>
      </c>
      <c r="B26" s="77">
        <v>3690.0</v>
      </c>
      <c r="C26" s="80">
        <v>2409.0</v>
      </c>
      <c r="D26" s="80">
        <v>27.0</v>
      </c>
      <c r="E26" s="75"/>
      <c r="F26" s="76">
        <f t="shared" si="16"/>
        <v>6126</v>
      </c>
      <c r="G26" s="77">
        <v>4941.0</v>
      </c>
      <c r="H26" s="77">
        <v>924.0</v>
      </c>
      <c r="I26" s="77">
        <v>5.0</v>
      </c>
      <c r="J26" s="77"/>
      <c r="K26" s="76">
        <f t="shared" si="17"/>
        <v>5870</v>
      </c>
      <c r="L26" s="77">
        <v>323.0</v>
      </c>
      <c r="M26" s="77">
        <v>80.0</v>
      </c>
      <c r="N26" s="77"/>
      <c r="O26" s="77"/>
      <c r="P26" s="76">
        <f t="shared" si="18"/>
        <v>403</v>
      </c>
      <c r="Q26" s="75">
        <f t="shared" ref="Q26:T26" si="27">B26+G26+L26</f>
        <v>8954</v>
      </c>
      <c r="R26" s="75">
        <f t="shared" si="27"/>
        <v>3413</v>
      </c>
      <c r="S26" s="75">
        <f t="shared" si="27"/>
        <v>32</v>
      </c>
      <c r="T26" s="75">
        <f t="shared" si="27"/>
        <v>0</v>
      </c>
      <c r="U26" s="78">
        <f t="shared" si="20"/>
        <v>12399</v>
      </c>
      <c r="V26" s="2"/>
    </row>
    <row r="27" ht="15.0" customHeight="1">
      <c r="A27" s="74" t="s">
        <v>65</v>
      </c>
      <c r="B27" s="77">
        <v>3736.0</v>
      </c>
      <c r="C27" s="77">
        <v>2567.0</v>
      </c>
      <c r="D27" s="77">
        <v>7.0</v>
      </c>
      <c r="E27" s="77"/>
      <c r="F27" s="76">
        <f t="shared" si="16"/>
        <v>6310</v>
      </c>
      <c r="G27" s="77">
        <v>2611.0</v>
      </c>
      <c r="H27" s="77">
        <v>789.0</v>
      </c>
      <c r="I27" s="77">
        <v>21.0</v>
      </c>
      <c r="J27" s="77"/>
      <c r="K27" s="76">
        <f t="shared" si="17"/>
        <v>3421</v>
      </c>
      <c r="L27" s="77">
        <v>168.0</v>
      </c>
      <c r="M27" s="77">
        <v>77.0</v>
      </c>
      <c r="N27" s="77"/>
      <c r="O27" s="77"/>
      <c r="P27" s="76">
        <f t="shared" si="18"/>
        <v>245</v>
      </c>
      <c r="Q27" s="75">
        <f t="shared" ref="Q27:T27" si="28">B27+G27+L27</f>
        <v>6515</v>
      </c>
      <c r="R27" s="75">
        <f t="shared" si="28"/>
        <v>3433</v>
      </c>
      <c r="S27" s="75">
        <f t="shared" si="28"/>
        <v>28</v>
      </c>
      <c r="T27" s="75">
        <f t="shared" si="28"/>
        <v>0</v>
      </c>
      <c r="U27" s="78">
        <f t="shared" si="20"/>
        <v>9976</v>
      </c>
      <c r="V27" s="2"/>
    </row>
    <row r="28" ht="15.75" customHeight="1">
      <c r="A28" s="74" t="s">
        <v>54</v>
      </c>
      <c r="B28" s="77">
        <v>499.0</v>
      </c>
      <c r="C28" s="77">
        <v>2380.0</v>
      </c>
      <c r="D28" s="77">
        <v>295.0</v>
      </c>
      <c r="E28" s="77">
        <v>254.0</v>
      </c>
      <c r="F28" s="76">
        <f t="shared" si="16"/>
        <v>3428</v>
      </c>
      <c r="G28" s="77">
        <v>230.0</v>
      </c>
      <c r="H28" s="77">
        <v>2646.0</v>
      </c>
      <c r="I28" s="77">
        <v>361.0</v>
      </c>
      <c r="J28" s="77"/>
      <c r="K28" s="76">
        <f t="shared" si="17"/>
        <v>3237</v>
      </c>
      <c r="L28" s="77"/>
      <c r="M28" s="77">
        <v>258.0</v>
      </c>
      <c r="N28" s="77"/>
      <c r="O28" s="77"/>
      <c r="P28" s="76">
        <f t="shared" si="18"/>
        <v>258</v>
      </c>
      <c r="Q28" s="75">
        <f t="shared" ref="Q28:T28" si="29">B28+G28+L28</f>
        <v>729</v>
      </c>
      <c r="R28" s="75">
        <f t="shared" si="29"/>
        <v>5284</v>
      </c>
      <c r="S28" s="75">
        <f t="shared" si="29"/>
        <v>656</v>
      </c>
      <c r="T28" s="75">
        <f t="shared" si="29"/>
        <v>254</v>
      </c>
      <c r="U28" s="78">
        <f t="shared" si="20"/>
        <v>6923</v>
      </c>
      <c r="V28" s="2"/>
    </row>
    <row r="29" ht="15.75" customHeight="1">
      <c r="A29" s="72" t="s">
        <v>66</v>
      </c>
      <c r="B29" s="73">
        <f t="shared" ref="B29:U29" si="30">SUM(B30:B44)</f>
        <v>11246</v>
      </c>
      <c r="C29" s="73">
        <f t="shared" si="30"/>
        <v>31122</v>
      </c>
      <c r="D29" s="73">
        <f t="shared" si="30"/>
        <v>6987</v>
      </c>
      <c r="E29" s="73">
        <f t="shared" si="30"/>
        <v>803</v>
      </c>
      <c r="F29" s="81">
        <f t="shared" si="30"/>
        <v>50158</v>
      </c>
      <c r="G29" s="73">
        <f t="shared" si="30"/>
        <v>2032</v>
      </c>
      <c r="H29" s="73">
        <f t="shared" si="30"/>
        <v>3633</v>
      </c>
      <c r="I29" s="73">
        <f t="shared" si="30"/>
        <v>1150</v>
      </c>
      <c r="J29" s="73">
        <f t="shared" si="30"/>
        <v>59</v>
      </c>
      <c r="K29" s="81">
        <f t="shared" si="30"/>
        <v>6874</v>
      </c>
      <c r="L29" s="73">
        <f t="shared" si="30"/>
        <v>0</v>
      </c>
      <c r="M29" s="73">
        <f t="shared" si="30"/>
        <v>78</v>
      </c>
      <c r="N29" s="73">
        <f t="shared" si="30"/>
        <v>0</v>
      </c>
      <c r="O29" s="73">
        <f t="shared" si="30"/>
        <v>0</v>
      </c>
      <c r="P29" s="81">
        <f t="shared" si="30"/>
        <v>78</v>
      </c>
      <c r="Q29" s="73">
        <f t="shared" si="30"/>
        <v>13278</v>
      </c>
      <c r="R29" s="73">
        <f t="shared" si="30"/>
        <v>34833</v>
      </c>
      <c r="S29" s="73">
        <f t="shared" si="30"/>
        <v>8137</v>
      </c>
      <c r="T29" s="73">
        <f t="shared" si="30"/>
        <v>862</v>
      </c>
      <c r="U29" s="81">
        <f t="shared" si="30"/>
        <v>57110</v>
      </c>
      <c r="V29" s="2" t="s">
        <v>114</v>
      </c>
    </row>
    <row r="30" ht="15.0" customHeight="1">
      <c r="A30" s="74" t="s">
        <v>67</v>
      </c>
      <c r="B30" s="75">
        <v>249.0</v>
      </c>
      <c r="C30" s="75">
        <v>1028.0</v>
      </c>
      <c r="D30" s="75">
        <v>203.0</v>
      </c>
      <c r="E30" s="75"/>
      <c r="F30" s="76">
        <f t="shared" ref="F30:F44" si="32">SUM(B30:E30)</f>
        <v>1480</v>
      </c>
      <c r="G30" s="75">
        <v>286.0</v>
      </c>
      <c r="H30" s="75">
        <v>682.0</v>
      </c>
      <c r="I30" s="75">
        <v>195.0</v>
      </c>
      <c r="J30" s="75"/>
      <c r="K30" s="76">
        <f t="shared" ref="K30:K44" si="33">SUM(G30:J30)</f>
        <v>1163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535</v>
      </c>
      <c r="R30" s="75">
        <f t="shared" si="31"/>
        <v>1710</v>
      </c>
      <c r="S30" s="75">
        <f t="shared" si="31"/>
        <v>398</v>
      </c>
      <c r="T30" s="75">
        <f t="shared" si="31"/>
        <v>0</v>
      </c>
      <c r="U30" s="76">
        <f t="shared" ref="U30:U44" si="36">SUM(Q30:T30)</f>
        <v>2643</v>
      </c>
      <c r="V30" s="2"/>
    </row>
    <row r="31" ht="15.0" customHeight="1">
      <c r="A31" s="74" t="s">
        <v>68</v>
      </c>
      <c r="B31" s="77">
        <v>157.0</v>
      </c>
      <c r="C31" s="77">
        <v>1335.0</v>
      </c>
      <c r="D31" s="77">
        <v>1365.0</v>
      </c>
      <c r="E31" s="77"/>
      <c r="F31" s="76">
        <f t="shared" si="32"/>
        <v>2857</v>
      </c>
      <c r="G31" s="77">
        <v>3.0</v>
      </c>
      <c r="H31" s="77">
        <v>75.0</v>
      </c>
      <c r="I31" s="77">
        <v>36.0</v>
      </c>
      <c r="J31" s="77"/>
      <c r="K31" s="76">
        <f t="shared" si="33"/>
        <v>114</v>
      </c>
      <c r="L31" s="77"/>
      <c r="M31" s="77">
        <v>78.0</v>
      </c>
      <c r="N31" s="77"/>
      <c r="O31" s="77"/>
      <c r="P31" s="78">
        <f t="shared" si="34"/>
        <v>78</v>
      </c>
      <c r="Q31" s="77">
        <f t="shared" ref="Q31:T31" si="35">SUM(B31,G31,L31)</f>
        <v>160</v>
      </c>
      <c r="R31" s="77">
        <f t="shared" si="35"/>
        <v>1488</v>
      </c>
      <c r="S31" s="77">
        <f t="shared" si="35"/>
        <v>1401</v>
      </c>
      <c r="T31" s="77">
        <f t="shared" si="35"/>
        <v>0</v>
      </c>
      <c r="U31" s="78">
        <f t="shared" si="36"/>
        <v>3049</v>
      </c>
      <c r="V31" s="2"/>
    </row>
    <row r="32" ht="15.0" customHeight="1">
      <c r="A32" s="74" t="s">
        <v>69</v>
      </c>
      <c r="B32" s="77">
        <v>750.0</v>
      </c>
      <c r="C32" s="77">
        <v>3889.0</v>
      </c>
      <c r="D32" s="77">
        <v>446.0</v>
      </c>
      <c r="E32" s="77"/>
      <c r="F32" s="76">
        <f t="shared" si="32"/>
        <v>5085</v>
      </c>
      <c r="G32" s="77"/>
      <c r="H32" s="77">
        <v>588.0</v>
      </c>
      <c r="I32" s="77"/>
      <c r="J32" s="77"/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750</v>
      </c>
      <c r="R32" s="77">
        <f t="shared" si="37"/>
        <v>4477</v>
      </c>
      <c r="S32" s="77">
        <f t="shared" si="37"/>
        <v>446</v>
      </c>
      <c r="T32" s="77">
        <f t="shared" si="37"/>
        <v>0</v>
      </c>
      <c r="U32" s="78">
        <f t="shared" si="36"/>
        <v>5673</v>
      </c>
      <c r="V32" s="2"/>
    </row>
    <row r="33" ht="15.0" customHeight="1">
      <c r="A33" s="74" t="s">
        <v>70</v>
      </c>
      <c r="B33" s="77">
        <v>1459.0</v>
      </c>
      <c r="C33" s="77">
        <v>42.0</v>
      </c>
      <c r="D33" s="77"/>
      <c r="E33" s="77"/>
      <c r="F33" s="76">
        <f t="shared" si="32"/>
        <v>1501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1459</v>
      </c>
      <c r="R33" s="77">
        <f t="shared" si="38"/>
        <v>42</v>
      </c>
      <c r="S33" s="77">
        <f t="shared" si="38"/>
        <v>0</v>
      </c>
      <c r="T33" s="77">
        <f t="shared" si="38"/>
        <v>0</v>
      </c>
      <c r="U33" s="78">
        <f t="shared" si="36"/>
        <v>1501</v>
      </c>
      <c r="V33" s="2"/>
    </row>
    <row r="34" ht="15.0" customHeight="1">
      <c r="A34" s="74" t="s">
        <v>71</v>
      </c>
      <c r="B34" s="77">
        <v>679.0</v>
      </c>
      <c r="C34" s="77">
        <v>4595.0</v>
      </c>
      <c r="D34" s="77">
        <v>2324.0</v>
      </c>
      <c r="E34" s="77">
        <v>236.0</v>
      </c>
      <c r="F34" s="76">
        <f t="shared" si="32"/>
        <v>7834</v>
      </c>
      <c r="G34" s="77">
        <v>85.0</v>
      </c>
      <c r="H34" s="77">
        <v>143.0</v>
      </c>
      <c r="I34" s="77">
        <v>51.0</v>
      </c>
      <c r="J34" s="77">
        <v>5.0</v>
      </c>
      <c r="K34" s="76">
        <f t="shared" si="33"/>
        <v>284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764</v>
      </c>
      <c r="R34" s="77">
        <f t="shared" si="39"/>
        <v>4738</v>
      </c>
      <c r="S34" s="77">
        <f t="shared" si="39"/>
        <v>2375</v>
      </c>
      <c r="T34" s="77">
        <f t="shared" si="39"/>
        <v>241</v>
      </c>
      <c r="U34" s="78">
        <f t="shared" si="36"/>
        <v>8118</v>
      </c>
      <c r="V34" s="2"/>
    </row>
    <row r="35" ht="15.0" customHeight="1">
      <c r="A35" s="74" t="s">
        <v>72</v>
      </c>
      <c r="B35" s="77">
        <v>2500.0</v>
      </c>
      <c r="C35" s="77"/>
      <c r="D35" s="77"/>
      <c r="E35" s="77"/>
      <c r="F35" s="76">
        <f t="shared" si="32"/>
        <v>2500</v>
      </c>
      <c r="G35" s="77">
        <v>113.0</v>
      </c>
      <c r="H35" s="77"/>
      <c r="I35" s="77"/>
      <c r="J35" s="77"/>
      <c r="K35" s="76">
        <f t="shared" si="33"/>
        <v>113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2613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2613</v>
      </c>
      <c r="V35" s="2"/>
    </row>
    <row r="36" ht="15.0" customHeight="1">
      <c r="A36" s="74" t="s">
        <v>73</v>
      </c>
      <c r="B36" s="77">
        <v>69.0</v>
      </c>
      <c r="C36" s="77">
        <v>1047.0</v>
      </c>
      <c r="D36" s="77">
        <v>479.0</v>
      </c>
      <c r="E36" s="77">
        <v>345.0</v>
      </c>
      <c r="F36" s="76">
        <f t="shared" si="32"/>
        <v>1940</v>
      </c>
      <c r="G36" s="77">
        <v>290.0</v>
      </c>
      <c r="H36" s="77">
        <v>252.0</v>
      </c>
      <c r="I36" s="77"/>
      <c r="J36" s="77"/>
      <c r="K36" s="76">
        <f t="shared" si="33"/>
        <v>542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359</v>
      </c>
      <c r="R36" s="77">
        <f t="shared" si="41"/>
        <v>1299</v>
      </c>
      <c r="S36" s="77">
        <f t="shared" si="41"/>
        <v>479</v>
      </c>
      <c r="T36" s="77">
        <f t="shared" si="41"/>
        <v>345</v>
      </c>
      <c r="U36" s="78">
        <f t="shared" si="36"/>
        <v>2482</v>
      </c>
      <c r="V36" s="2"/>
    </row>
    <row r="37" ht="15.0" customHeight="1">
      <c r="A37" s="74" t="s">
        <v>74</v>
      </c>
      <c r="B37" s="77">
        <v>2302.0</v>
      </c>
      <c r="C37" s="77">
        <v>9880.0</v>
      </c>
      <c r="D37" s="77">
        <v>1191.0</v>
      </c>
      <c r="E37" s="77">
        <v>84.0</v>
      </c>
      <c r="F37" s="76">
        <f t="shared" si="32"/>
        <v>13457</v>
      </c>
      <c r="G37" s="77">
        <v>544.0</v>
      </c>
      <c r="H37" s="77">
        <v>676.0</v>
      </c>
      <c r="I37" s="77">
        <v>831.0</v>
      </c>
      <c r="J37" s="77">
        <v>54.0</v>
      </c>
      <c r="K37" s="76">
        <f t="shared" si="33"/>
        <v>2105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2846</v>
      </c>
      <c r="R37" s="77">
        <f t="shared" si="42"/>
        <v>10556</v>
      </c>
      <c r="S37" s="77">
        <f t="shared" ref="S37:S41" si="44">SUM(D37,I36,N37)</f>
        <v>1191</v>
      </c>
      <c r="T37" s="77">
        <f t="shared" ref="T37:T41" si="45">SUM(E37,J37,O37)</f>
        <v>138</v>
      </c>
      <c r="U37" s="78">
        <f t="shared" si="36"/>
        <v>14731</v>
      </c>
      <c r="V37" s="2"/>
    </row>
    <row r="38" ht="15.0" customHeight="1">
      <c r="A38" s="74" t="s">
        <v>75</v>
      </c>
      <c r="B38" s="77">
        <v>2175.0</v>
      </c>
      <c r="C38" s="77">
        <v>1355.0</v>
      </c>
      <c r="D38" s="77"/>
      <c r="E38" s="77"/>
      <c r="F38" s="76">
        <f t="shared" si="32"/>
        <v>3530</v>
      </c>
      <c r="G38" s="77">
        <v>349.0</v>
      </c>
      <c r="H38" s="77">
        <v>103.0</v>
      </c>
      <c r="I38" s="77"/>
      <c r="J38" s="77"/>
      <c r="K38" s="76">
        <f t="shared" si="33"/>
        <v>452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2524</v>
      </c>
      <c r="R38" s="77">
        <f t="shared" si="43"/>
        <v>1458</v>
      </c>
      <c r="S38" s="77">
        <f t="shared" si="44"/>
        <v>831</v>
      </c>
      <c r="T38" s="77">
        <f t="shared" si="45"/>
        <v>0</v>
      </c>
      <c r="U38" s="78">
        <f t="shared" si="36"/>
        <v>4813</v>
      </c>
      <c r="V38" s="2"/>
    </row>
    <row r="39" ht="15.0" customHeight="1">
      <c r="A39" s="74" t="s">
        <v>76</v>
      </c>
      <c r="B39" s="77">
        <v>599.0</v>
      </c>
      <c r="C39" s="77">
        <v>678.0</v>
      </c>
      <c r="D39" s="77"/>
      <c r="E39" s="77"/>
      <c r="F39" s="76">
        <f t="shared" si="32"/>
        <v>1277</v>
      </c>
      <c r="G39" s="77">
        <v>84.0</v>
      </c>
      <c r="H39" s="77">
        <v>140.0</v>
      </c>
      <c r="I39" s="77"/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683</v>
      </c>
      <c r="R39" s="77">
        <f t="shared" si="46"/>
        <v>818</v>
      </c>
      <c r="S39" s="77">
        <f t="shared" si="44"/>
        <v>0</v>
      </c>
      <c r="T39" s="77">
        <f t="shared" si="45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>
        <v>3.0</v>
      </c>
      <c r="C40" s="77">
        <v>3.0</v>
      </c>
      <c r="D40" s="77"/>
      <c r="E40" s="77"/>
      <c r="F40" s="76">
        <f t="shared" si="32"/>
        <v>6</v>
      </c>
      <c r="G40" s="77">
        <v>9.0</v>
      </c>
      <c r="H40" s="77">
        <v>4.0</v>
      </c>
      <c r="I40" s="77"/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12</v>
      </c>
      <c r="R40" s="77">
        <f t="shared" si="47"/>
        <v>7</v>
      </c>
      <c r="S40" s="77">
        <f t="shared" si="44"/>
        <v>0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/>
      <c r="C41" s="77">
        <v>2188.0</v>
      </c>
      <c r="D41" s="77">
        <v>82.0</v>
      </c>
      <c r="E41" s="77">
        <v>138.0</v>
      </c>
      <c r="F41" s="76">
        <f t="shared" si="32"/>
        <v>2408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2188</v>
      </c>
      <c r="S41" s="77">
        <f t="shared" si="44"/>
        <v>82</v>
      </c>
      <c r="T41" s="77">
        <f t="shared" si="45"/>
        <v>138</v>
      </c>
      <c r="U41" s="78">
        <f t="shared" si="36"/>
        <v>2408</v>
      </c>
      <c r="V41" s="2"/>
    </row>
    <row r="42" ht="15.0" customHeight="1">
      <c r="A42" s="74" t="s">
        <v>79</v>
      </c>
      <c r="B42" s="77">
        <v>4.0</v>
      </c>
      <c r="C42" s="77">
        <v>155.0</v>
      </c>
      <c r="D42" s="77"/>
      <c r="E42" s="77"/>
      <c r="F42" s="76">
        <f t="shared" si="32"/>
        <v>159</v>
      </c>
      <c r="G42" s="77">
        <v>101.0</v>
      </c>
      <c r="H42" s="77">
        <v>156.0</v>
      </c>
      <c r="I42" s="77"/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105</v>
      </c>
      <c r="R42" s="77">
        <f t="shared" si="49"/>
        <v>311</v>
      </c>
      <c r="S42" s="77">
        <f t="shared" si="49"/>
        <v>0</v>
      </c>
      <c r="T42" s="77">
        <f t="shared" si="49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>
        <v>99.0</v>
      </c>
      <c r="C43" s="77">
        <v>1651.0</v>
      </c>
      <c r="D43" s="77">
        <v>112.0</v>
      </c>
      <c r="E43" s="77"/>
      <c r="F43" s="76">
        <f t="shared" si="32"/>
        <v>1862</v>
      </c>
      <c r="G43" s="77">
        <v>92.0</v>
      </c>
      <c r="H43" s="77">
        <v>143.0</v>
      </c>
      <c r="I43" s="77"/>
      <c r="J43" s="77"/>
      <c r="K43" s="76">
        <f t="shared" si="33"/>
        <v>235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191</v>
      </c>
      <c r="R43" s="77">
        <f t="shared" si="50"/>
        <v>1794</v>
      </c>
      <c r="S43" s="77">
        <f t="shared" si="50"/>
        <v>112</v>
      </c>
      <c r="T43" s="77">
        <f t="shared" si="50"/>
        <v>0</v>
      </c>
      <c r="U43" s="78">
        <f t="shared" si="36"/>
        <v>2097</v>
      </c>
      <c r="V43" s="2"/>
    </row>
    <row r="44" ht="15.75" customHeight="1">
      <c r="A44" s="74" t="s">
        <v>81</v>
      </c>
      <c r="B44" s="77">
        <v>201.0</v>
      </c>
      <c r="C44" s="77">
        <v>3276.0</v>
      </c>
      <c r="D44" s="77">
        <v>785.0</v>
      </c>
      <c r="E44" s="77"/>
      <c r="F44" s="76">
        <f t="shared" si="32"/>
        <v>4262</v>
      </c>
      <c r="G44" s="77">
        <v>76.0</v>
      </c>
      <c r="H44" s="77">
        <v>671.0</v>
      </c>
      <c r="I44" s="77">
        <v>37.0</v>
      </c>
      <c r="J44" s="77"/>
      <c r="K44" s="76">
        <f t="shared" si="33"/>
        <v>784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277</v>
      </c>
      <c r="R44" s="77">
        <f t="shared" si="51"/>
        <v>3947</v>
      </c>
      <c r="S44" s="77">
        <f t="shared" si="51"/>
        <v>822</v>
      </c>
      <c r="T44" s="77">
        <f t="shared" si="51"/>
        <v>0</v>
      </c>
      <c r="U44" s="78">
        <f t="shared" si="36"/>
        <v>5046</v>
      </c>
      <c r="V44" s="2"/>
    </row>
    <row r="45" ht="15.75" customHeight="1">
      <c r="A45" s="72" t="s">
        <v>82</v>
      </c>
      <c r="B45" s="73">
        <f t="shared" ref="B45:U45" si="52">SUM(B46:B63)</f>
        <v>9184</v>
      </c>
      <c r="C45" s="73">
        <f t="shared" si="52"/>
        <v>3689</v>
      </c>
      <c r="D45" s="73">
        <f t="shared" si="52"/>
        <v>836</v>
      </c>
      <c r="E45" s="73">
        <f t="shared" si="52"/>
        <v>495</v>
      </c>
      <c r="F45" s="81">
        <f t="shared" si="52"/>
        <v>14204</v>
      </c>
      <c r="G45" s="73">
        <f t="shared" si="52"/>
        <v>3657</v>
      </c>
      <c r="H45" s="73">
        <f t="shared" si="52"/>
        <v>2812</v>
      </c>
      <c r="I45" s="73">
        <f t="shared" si="52"/>
        <v>1</v>
      </c>
      <c r="J45" s="73">
        <f t="shared" si="52"/>
        <v>0</v>
      </c>
      <c r="K45" s="81">
        <f t="shared" si="52"/>
        <v>6470</v>
      </c>
      <c r="L45" s="73">
        <f t="shared" si="52"/>
        <v>996</v>
      </c>
      <c r="M45" s="73">
        <f t="shared" si="52"/>
        <v>1282</v>
      </c>
      <c r="N45" s="73">
        <f t="shared" si="52"/>
        <v>315</v>
      </c>
      <c r="O45" s="73">
        <f t="shared" si="52"/>
        <v>101</v>
      </c>
      <c r="P45" s="81">
        <f t="shared" si="52"/>
        <v>2694</v>
      </c>
      <c r="Q45" s="73">
        <f t="shared" si="52"/>
        <v>13837</v>
      </c>
      <c r="R45" s="73">
        <f t="shared" si="52"/>
        <v>7783</v>
      </c>
      <c r="S45" s="73">
        <f t="shared" si="52"/>
        <v>1152</v>
      </c>
      <c r="T45" s="73">
        <f t="shared" si="52"/>
        <v>596</v>
      </c>
      <c r="U45" s="73">
        <f t="shared" si="52"/>
        <v>23368</v>
      </c>
      <c r="V45" s="2"/>
    </row>
    <row r="46" ht="15.0" customHeight="1">
      <c r="A46" s="74" t="s">
        <v>83</v>
      </c>
      <c r="B46" s="75">
        <v>490.0</v>
      </c>
      <c r="C46" s="75">
        <v>120.0</v>
      </c>
      <c r="D46" s="75">
        <v>120.0</v>
      </c>
      <c r="E46" s="75"/>
      <c r="F46" s="76">
        <f t="shared" ref="F46:F63" si="54">SUM(B46:E46)</f>
        <v>730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/>
      <c r="N46" s="75">
        <v>90.0</v>
      </c>
      <c r="O46" s="75"/>
      <c r="P46" s="76">
        <f t="shared" ref="P46:P63" si="56">SUM(L46:O46)</f>
        <v>90</v>
      </c>
      <c r="Q46" s="75">
        <f t="shared" ref="Q46:T46" si="53">SUM(B46,G46,L46)</f>
        <v>490</v>
      </c>
      <c r="R46" s="75">
        <f t="shared" si="53"/>
        <v>120</v>
      </c>
      <c r="S46" s="75">
        <f t="shared" si="53"/>
        <v>210</v>
      </c>
      <c r="T46" s="75">
        <f t="shared" si="53"/>
        <v>0</v>
      </c>
      <c r="U46" s="76">
        <f t="shared" ref="U46:U63" si="58">SUM(Q46:T46)</f>
        <v>820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1557.0</v>
      </c>
      <c r="C49" s="77">
        <v>473.0</v>
      </c>
      <c r="D49" s="77">
        <v>15.0</v>
      </c>
      <c r="E49" s="77">
        <v>2.0</v>
      </c>
      <c r="F49" s="76">
        <f t="shared" si="54"/>
        <v>2047</v>
      </c>
      <c r="G49" s="77">
        <v>544.0</v>
      </c>
      <c r="H49" s="77">
        <v>132.0</v>
      </c>
      <c r="I49" s="77"/>
      <c r="J49" s="77"/>
      <c r="K49" s="76">
        <f t="shared" si="55"/>
        <v>676</v>
      </c>
      <c r="L49" s="77">
        <v>99.0</v>
      </c>
      <c r="M49" s="77">
        <v>65.0</v>
      </c>
      <c r="N49" s="77"/>
      <c r="O49" s="77"/>
      <c r="P49" s="76">
        <f t="shared" si="56"/>
        <v>164</v>
      </c>
      <c r="Q49" s="75">
        <f t="shared" ref="Q49:T49" si="60">SUM(B49,G49,L49)</f>
        <v>2200</v>
      </c>
      <c r="R49" s="75">
        <f t="shared" si="60"/>
        <v>670</v>
      </c>
      <c r="S49" s="75">
        <f t="shared" si="60"/>
        <v>15</v>
      </c>
      <c r="T49" s="75">
        <f t="shared" si="60"/>
        <v>2</v>
      </c>
      <c r="U49" s="78">
        <f t="shared" si="58"/>
        <v>2887</v>
      </c>
      <c r="V49" s="2"/>
    </row>
    <row r="50" ht="15.0" customHeight="1">
      <c r="A50" s="74" t="s">
        <v>87</v>
      </c>
      <c r="B50" s="77">
        <v>1687.0</v>
      </c>
      <c r="C50" s="77">
        <v>98.0</v>
      </c>
      <c r="D50" s="77">
        <v>32.0</v>
      </c>
      <c r="E50" s="77">
        <v>19.0</v>
      </c>
      <c r="F50" s="76">
        <f t="shared" si="54"/>
        <v>1836</v>
      </c>
      <c r="G50" s="77">
        <v>102.0</v>
      </c>
      <c r="H50" s="77">
        <v>189.0</v>
      </c>
      <c r="I50" s="77"/>
      <c r="J50" s="77"/>
      <c r="K50" s="76">
        <f t="shared" si="55"/>
        <v>291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1789</v>
      </c>
      <c r="R50" s="75">
        <f t="shared" si="61"/>
        <v>287</v>
      </c>
      <c r="S50" s="75">
        <f t="shared" si="61"/>
        <v>32</v>
      </c>
      <c r="T50" s="75">
        <f t="shared" si="61"/>
        <v>19</v>
      </c>
      <c r="U50" s="78">
        <f t="shared" si="58"/>
        <v>2127</v>
      </c>
      <c r="V50" s="2" t="s">
        <v>114</v>
      </c>
    </row>
    <row r="51" ht="15.0" customHeight="1">
      <c r="A51" s="74" t="s">
        <v>88</v>
      </c>
      <c r="B51" s="77">
        <v>56.0</v>
      </c>
      <c r="C51" s="77">
        <v>49.0</v>
      </c>
      <c r="D51" s="77"/>
      <c r="E51" s="77"/>
      <c r="F51" s="76">
        <f t="shared" si="54"/>
        <v>105</v>
      </c>
      <c r="G51" s="77">
        <v>28.0</v>
      </c>
      <c r="H51" s="77">
        <v>11.0</v>
      </c>
      <c r="I51" s="77"/>
      <c r="K51" s="76">
        <f t="shared" si="55"/>
        <v>39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84</v>
      </c>
      <c r="R51" s="75">
        <f t="shared" si="62"/>
        <v>60</v>
      </c>
      <c r="S51" s="75">
        <f t="shared" ref="S51:T51" si="63">SUM(D51,I56,N51)</f>
        <v>0</v>
      </c>
      <c r="T51" s="75">
        <f t="shared" si="63"/>
        <v>0</v>
      </c>
      <c r="U51" s="78">
        <f t="shared" si="58"/>
        <v>144</v>
      </c>
      <c r="V51" s="2"/>
    </row>
    <row r="52" ht="15.0" customHeight="1">
      <c r="A52" s="83" t="s">
        <v>89</v>
      </c>
      <c r="B52" s="84">
        <v>244.0</v>
      </c>
      <c r="C52" s="84">
        <v>121.0</v>
      </c>
      <c r="D52" s="84"/>
      <c r="E52" s="84"/>
      <c r="F52" s="85">
        <f t="shared" si="54"/>
        <v>365</v>
      </c>
      <c r="G52" s="84">
        <v>331.0</v>
      </c>
      <c r="H52" s="84">
        <v>127.0</v>
      </c>
      <c r="I52" s="84"/>
      <c r="J52" s="84"/>
      <c r="K52" s="85">
        <f t="shared" si="55"/>
        <v>458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575</v>
      </c>
      <c r="R52" s="86">
        <f t="shared" si="64"/>
        <v>248</v>
      </c>
      <c r="S52" s="86">
        <f t="shared" si="64"/>
        <v>0</v>
      </c>
      <c r="T52" s="86">
        <f t="shared" si="64"/>
        <v>0</v>
      </c>
      <c r="U52" s="87">
        <f t="shared" si="58"/>
        <v>823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1.0</v>
      </c>
      <c r="D53" s="77"/>
      <c r="E53" s="77"/>
      <c r="F53" s="76">
        <f t="shared" si="54"/>
        <v>3</v>
      </c>
      <c r="G53" s="77">
        <v>9.0</v>
      </c>
      <c r="H53" s="77"/>
      <c r="I53" s="77"/>
      <c r="J53" s="77"/>
      <c r="K53" s="76">
        <f t="shared" si="55"/>
        <v>9</v>
      </c>
      <c r="L53" s="77">
        <v>161.0</v>
      </c>
      <c r="M53" s="77"/>
      <c r="N53" s="77"/>
      <c r="O53" s="77"/>
      <c r="P53" s="76">
        <f t="shared" si="56"/>
        <v>161</v>
      </c>
      <c r="Q53" s="75">
        <f t="shared" ref="Q53:T53" si="65">SUM(B53,G53,L53)</f>
        <v>172</v>
      </c>
      <c r="R53" s="75">
        <f t="shared" si="65"/>
        <v>1</v>
      </c>
      <c r="S53" s="86">
        <f t="shared" si="65"/>
        <v>0</v>
      </c>
      <c r="T53" s="86">
        <f t="shared" si="65"/>
        <v>0</v>
      </c>
      <c r="U53" s="78">
        <f t="shared" si="58"/>
        <v>173</v>
      </c>
      <c r="V53" s="2"/>
    </row>
    <row r="54" ht="15.0" customHeight="1">
      <c r="A54" s="74" t="s">
        <v>91</v>
      </c>
      <c r="B54" s="77">
        <v>499.0</v>
      </c>
      <c r="C54" s="77">
        <v>15.0</v>
      </c>
      <c r="D54" s="77"/>
      <c r="E54" s="77"/>
      <c r="F54" s="76">
        <f t="shared" si="54"/>
        <v>514</v>
      </c>
      <c r="G54" s="77">
        <v>75.0</v>
      </c>
      <c r="H54" s="77"/>
      <c r="I54" s="77"/>
      <c r="J54" s="77"/>
      <c r="K54" s="76">
        <f t="shared" si="55"/>
        <v>75</v>
      </c>
      <c r="L54" s="77"/>
      <c r="M54" s="77">
        <v>940.0</v>
      </c>
      <c r="N54" s="77"/>
      <c r="O54" s="77"/>
      <c r="P54" s="76">
        <f t="shared" si="56"/>
        <v>940</v>
      </c>
      <c r="Q54" s="75">
        <f t="shared" ref="Q54:T54" si="66">SUM(B54,G54,L54)</f>
        <v>574</v>
      </c>
      <c r="R54" s="75">
        <f t="shared" si="66"/>
        <v>955</v>
      </c>
      <c r="S54" s="86">
        <f t="shared" si="66"/>
        <v>0</v>
      </c>
      <c r="T54" s="86">
        <f t="shared" si="66"/>
        <v>0</v>
      </c>
      <c r="U54" s="78">
        <f t="shared" si="58"/>
        <v>1529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212.0</v>
      </c>
      <c r="C56" s="77">
        <v>4.0</v>
      </c>
      <c r="D56" s="77"/>
      <c r="E56" s="77"/>
      <c r="F56" s="76">
        <f t="shared" si="54"/>
        <v>216</v>
      </c>
      <c r="G56" s="77">
        <v>601.0</v>
      </c>
      <c r="H56" s="77">
        <v>9.0</v>
      </c>
      <c r="I56" s="77"/>
      <c r="J56" s="77"/>
      <c r="K56" s="76">
        <f t="shared" si="55"/>
        <v>610</v>
      </c>
      <c r="L56" s="90"/>
      <c r="M56" s="90">
        <v>228.0</v>
      </c>
      <c r="N56" s="90"/>
      <c r="O56" s="90"/>
      <c r="P56" s="76">
        <f t="shared" si="56"/>
        <v>228</v>
      </c>
      <c r="Q56" s="75">
        <f t="shared" ref="Q56:T56" si="68">SUM(B56,G56,L56)</f>
        <v>813</v>
      </c>
      <c r="R56" s="75">
        <f t="shared" si="68"/>
        <v>241</v>
      </c>
      <c r="S56" s="86">
        <f t="shared" si="68"/>
        <v>0</v>
      </c>
      <c r="T56" s="86">
        <f t="shared" si="68"/>
        <v>0</v>
      </c>
      <c r="U56" s="91">
        <f t="shared" si="58"/>
        <v>1054</v>
      </c>
      <c r="V56" s="2"/>
    </row>
    <row r="57" ht="15.0" customHeight="1">
      <c r="A57" s="74" t="s">
        <v>94</v>
      </c>
      <c r="B57" s="77">
        <v>2319.0</v>
      </c>
      <c r="C57" s="77"/>
      <c r="D57" s="77"/>
      <c r="E57" s="77">
        <v>217.0</v>
      </c>
      <c r="F57" s="76">
        <f t="shared" si="54"/>
        <v>2536</v>
      </c>
      <c r="G57" s="77">
        <v>60.0</v>
      </c>
      <c r="H57" s="77"/>
      <c r="I57" s="77"/>
      <c r="J57" s="2"/>
      <c r="K57" s="76">
        <f t="shared" si="55"/>
        <v>60</v>
      </c>
      <c r="L57" s="77">
        <v>150.0</v>
      </c>
      <c r="M57" s="77"/>
      <c r="N57" s="77"/>
      <c r="O57" s="77"/>
      <c r="P57" s="76">
        <f t="shared" si="56"/>
        <v>150</v>
      </c>
      <c r="Q57" s="75">
        <f t="shared" ref="Q57:T57" si="69">SUM(B57,G57,L57)</f>
        <v>2529</v>
      </c>
      <c r="R57" s="75">
        <f t="shared" si="69"/>
        <v>0</v>
      </c>
      <c r="S57" s="86">
        <f t="shared" si="69"/>
        <v>0</v>
      </c>
      <c r="T57" s="86">
        <f t="shared" si="69"/>
        <v>217</v>
      </c>
      <c r="U57" s="91">
        <f t="shared" si="58"/>
        <v>2746</v>
      </c>
      <c r="V57" s="2"/>
    </row>
    <row r="58" ht="15.0" customHeight="1">
      <c r="A58" s="74" t="s">
        <v>95</v>
      </c>
      <c r="B58" s="77">
        <v>25.0</v>
      </c>
      <c r="C58" s="77">
        <v>45.0</v>
      </c>
      <c r="D58" s="77"/>
      <c r="E58" s="77"/>
      <c r="F58" s="76">
        <f t="shared" si="54"/>
        <v>70</v>
      </c>
      <c r="G58" s="77">
        <v>7.0</v>
      </c>
      <c r="H58" s="77">
        <v>5.0</v>
      </c>
      <c r="I58" s="77">
        <v>1.0</v>
      </c>
      <c r="J58" s="77"/>
      <c r="K58" s="76">
        <f t="shared" si="55"/>
        <v>13</v>
      </c>
      <c r="L58" s="77">
        <v>96.0</v>
      </c>
      <c r="M58" s="77">
        <v>49.0</v>
      </c>
      <c r="N58" s="77">
        <v>89.0</v>
      </c>
      <c r="O58" s="77"/>
      <c r="P58" s="76">
        <f t="shared" si="56"/>
        <v>234</v>
      </c>
      <c r="Q58" s="75">
        <f t="shared" ref="Q58:T58" si="70">SUM(B58,G58,L58)</f>
        <v>128</v>
      </c>
      <c r="R58" s="75">
        <f t="shared" si="70"/>
        <v>99</v>
      </c>
      <c r="S58" s="75">
        <f t="shared" si="70"/>
        <v>90</v>
      </c>
      <c r="T58" s="86">
        <f t="shared" si="70"/>
        <v>0</v>
      </c>
      <c r="U58" s="91">
        <f t="shared" si="58"/>
        <v>317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/>
      <c r="C60" s="77">
        <v>2225.0</v>
      </c>
      <c r="D60" s="77">
        <v>669.0</v>
      </c>
      <c r="E60" s="77">
        <v>250.0</v>
      </c>
      <c r="F60" s="76">
        <f t="shared" si="54"/>
        <v>3144</v>
      </c>
      <c r="G60" s="77"/>
      <c r="H60" s="77">
        <v>1769.0</v>
      </c>
      <c r="I60" s="77"/>
      <c r="J60" s="77"/>
      <c r="K60" s="76">
        <f t="shared" si="55"/>
        <v>1769</v>
      </c>
      <c r="L60" s="77"/>
      <c r="M60" s="77"/>
      <c r="N60" s="77">
        <v>126.0</v>
      </c>
      <c r="O60" s="77"/>
      <c r="P60" s="76">
        <f t="shared" si="56"/>
        <v>126</v>
      </c>
      <c r="Q60" s="75">
        <f t="shared" ref="Q60:T60" si="72">SUM(B60,G60,L60)</f>
        <v>0</v>
      </c>
      <c r="R60" s="75">
        <f t="shared" si="72"/>
        <v>3994</v>
      </c>
      <c r="S60" s="75">
        <f t="shared" si="72"/>
        <v>795</v>
      </c>
      <c r="T60" s="75">
        <f t="shared" si="72"/>
        <v>250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239.0</v>
      </c>
      <c r="C61" s="80">
        <v>285.0</v>
      </c>
      <c r="D61" s="80"/>
      <c r="E61" s="80"/>
      <c r="F61" s="76">
        <f t="shared" si="54"/>
        <v>524</v>
      </c>
      <c r="G61" s="77">
        <v>387.0</v>
      </c>
      <c r="H61" s="77">
        <v>570.0</v>
      </c>
      <c r="I61" s="77"/>
      <c r="J61" s="77"/>
      <c r="K61" s="76">
        <f t="shared" si="55"/>
        <v>957</v>
      </c>
      <c r="L61" s="77"/>
      <c r="M61" s="77"/>
      <c r="N61" s="77">
        <v>10.0</v>
      </c>
      <c r="O61" s="77">
        <v>101.0</v>
      </c>
      <c r="P61" s="76">
        <f t="shared" si="56"/>
        <v>111</v>
      </c>
      <c r="Q61" s="75">
        <f t="shared" ref="Q61:T61" si="73">SUM(B61,G61,L61)</f>
        <v>626</v>
      </c>
      <c r="R61" s="75">
        <f t="shared" si="73"/>
        <v>855</v>
      </c>
      <c r="S61" s="75">
        <f t="shared" si="73"/>
        <v>10</v>
      </c>
      <c r="T61" s="75">
        <f t="shared" si="73"/>
        <v>101</v>
      </c>
      <c r="U61" s="78">
        <f t="shared" si="58"/>
        <v>1592</v>
      </c>
      <c r="V61" s="2"/>
    </row>
    <row r="62" ht="15.0" customHeight="1">
      <c r="A62" s="74" t="s">
        <v>97</v>
      </c>
      <c r="B62" s="77">
        <v>584.0</v>
      </c>
      <c r="C62" s="77">
        <v>30.0</v>
      </c>
      <c r="D62" s="77"/>
      <c r="E62" s="77"/>
      <c r="F62" s="76">
        <f t="shared" si="54"/>
        <v>614</v>
      </c>
      <c r="G62" s="77">
        <v>73.0</v>
      </c>
      <c r="H62" s="77"/>
      <c r="I62" s="77"/>
      <c r="J62" s="77"/>
      <c r="K62" s="76">
        <f t="shared" si="55"/>
        <v>73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657</v>
      </c>
      <c r="R62" s="75">
        <f t="shared" si="74"/>
        <v>30</v>
      </c>
      <c r="S62" s="75">
        <f t="shared" si="74"/>
        <v>0</v>
      </c>
      <c r="T62" s="75">
        <f t="shared" si="74"/>
        <v>0</v>
      </c>
      <c r="U62" s="78">
        <f t="shared" si="58"/>
        <v>687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1455</v>
      </c>
      <c r="C64" s="73">
        <f t="shared" ref="C64:K64" si="76">SUM(C65:C78)</f>
        <v>524</v>
      </c>
      <c r="D64" s="73">
        <f t="shared" si="76"/>
        <v>0</v>
      </c>
      <c r="E64" s="73">
        <f t="shared" si="76"/>
        <v>0</v>
      </c>
      <c r="F64" s="73">
        <f t="shared" si="76"/>
        <v>1979</v>
      </c>
      <c r="G64" s="73">
        <f t="shared" si="76"/>
        <v>1600</v>
      </c>
      <c r="H64" s="73">
        <f t="shared" si="76"/>
        <v>272</v>
      </c>
      <c r="I64" s="73">
        <f t="shared" si="76"/>
        <v>0</v>
      </c>
      <c r="J64" s="73">
        <f t="shared" si="76"/>
        <v>0</v>
      </c>
      <c r="K64" s="73">
        <f t="shared" si="76"/>
        <v>1872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3115</v>
      </c>
      <c r="R64" s="73">
        <f t="shared" si="77"/>
        <v>796</v>
      </c>
      <c r="S64" s="73">
        <f t="shared" si="77"/>
        <v>0</v>
      </c>
      <c r="T64" s="73">
        <f t="shared" si="77"/>
        <v>0</v>
      </c>
      <c r="U64" s="73">
        <f t="shared" si="77"/>
        <v>3911</v>
      </c>
      <c r="V64" s="2" t="s">
        <v>114</v>
      </c>
    </row>
    <row r="65" ht="15.0" customHeight="1">
      <c r="A65" s="74" t="s">
        <v>100</v>
      </c>
      <c r="B65" s="75">
        <v>14.0</v>
      </c>
      <c r="C65" s="75">
        <v>48.0</v>
      </c>
      <c r="D65" s="75"/>
      <c r="E65" s="75"/>
      <c r="F65" s="76">
        <f t="shared" ref="F65:F79" si="79">SUM(B65:E65)</f>
        <v>62</v>
      </c>
      <c r="G65" s="75">
        <v>192.0</v>
      </c>
      <c r="H65" s="75">
        <v>9.0</v>
      </c>
      <c r="I65" s="75"/>
      <c r="J65" s="75"/>
      <c r="K65" s="76">
        <f t="shared" ref="K65:K79" si="80">SUM(G65:J65)</f>
        <v>201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206</v>
      </c>
      <c r="R65" s="75">
        <f t="shared" si="78"/>
        <v>57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263</v>
      </c>
      <c r="V65" s="2"/>
    </row>
    <row r="66" ht="15.0" customHeight="1">
      <c r="A66" s="74" t="s">
        <v>101</v>
      </c>
      <c r="B66" s="77">
        <v>341.0</v>
      </c>
      <c r="C66" s="77">
        <v>20.0</v>
      </c>
      <c r="D66" s="77"/>
      <c r="E66" s="77"/>
      <c r="F66" s="76">
        <f t="shared" si="79"/>
        <v>361</v>
      </c>
      <c r="G66" s="77">
        <v>73.0</v>
      </c>
      <c r="H66" s="77">
        <v>8.0</v>
      </c>
      <c r="I66" s="77"/>
      <c r="J66" s="77"/>
      <c r="K66" s="76">
        <f t="shared" si="80"/>
        <v>81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414</v>
      </c>
      <c r="R66" s="75">
        <f t="shared" si="82"/>
        <v>28</v>
      </c>
      <c r="S66" s="75">
        <f t="shared" si="82"/>
        <v>0</v>
      </c>
      <c r="T66" s="75">
        <f t="shared" si="82"/>
        <v>0</v>
      </c>
      <c r="U66" s="76">
        <f t="shared" si="83"/>
        <v>442</v>
      </c>
      <c r="V66" s="2"/>
    </row>
    <row r="67" ht="15.0" customHeight="1">
      <c r="A67" s="74" t="s">
        <v>102</v>
      </c>
      <c r="B67" s="77">
        <v>38.0</v>
      </c>
      <c r="C67" s="77">
        <v>12.0</v>
      </c>
      <c r="D67" s="77"/>
      <c r="E67" s="77"/>
      <c r="F67" s="76">
        <f t="shared" si="79"/>
        <v>50</v>
      </c>
      <c r="G67" s="77">
        <v>45.0</v>
      </c>
      <c r="H67" s="77">
        <v>3.0</v>
      </c>
      <c r="I67" s="77"/>
      <c r="J67" s="77"/>
      <c r="K67" s="76">
        <f t="shared" si="80"/>
        <v>48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83</v>
      </c>
      <c r="R67" s="75">
        <f t="shared" si="84"/>
        <v>15</v>
      </c>
      <c r="S67" s="75">
        <f t="shared" si="84"/>
        <v>0</v>
      </c>
      <c r="T67" s="75">
        <f t="shared" si="84"/>
        <v>0</v>
      </c>
      <c r="U67" s="76">
        <f t="shared" si="83"/>
        <v>98</v>
      </c>
      <c r="V67" s="2"/>
    </row>
    <row r="68" ht="15.0" customHeight="1">
      <c r="A68" s="74" t="s">
        <v>103</v>
      </c>
      <c r="B68" s="77">
        <v>30.0</v>
      </c>
      <c r="C68" s="77">
        <v>11.0</v>
      </c>
      <c r="D68" s="77"/>
      <c r="E68" s="77"/>
      <c r="F68" s="76">
        <f t="shared" si="79"/>
        <v>41</v>
      </c>
      <c r="G68" s="77">
        <v>125.0</v>
      </c>
      <c r="H68" s="77"/>
      <c r="I68" s="77"/>
      <c r="J68" s="77"/>
      <c r="K68" s="76">
        <f t="shared" si="80"/>
        <v>125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155</v>
      </c>
      <c r="R68" s="75">
        <f t="shared" si="85"/>
        <v>11</v>
      </c>
      <c r="S68" s="75">
        <f t="shared" si="85"/>
        <v>0</v>
      </c>
      <c r="T68" s="75">
        <f t="shared" si="85"/>
        <v>0</v>
      </c>
      <c r="U68" s="76">
        <f t="shared" si="83"/>
        <v>166</v>
      </c>
      <c r="V68" s="2"/>
    </row>
    <row r="69" ht="15.0" customHeight="1">
      <c r="A69" s="74" t="s">
        <v>59</v>
      </c>
      <c r="B69" s="77">
        <v>214.0</v>
      </c>
      <c r="C69" s="77">
        <v>40.0</v>
      </c>
      <c r="D69" s="77"/>
      <c r="E69" s="77"/>
      <c r="F69" s="76">
        <f t="shared" si="79"/>
        <v>254</v>
      </c>
      <c r="G69" s="77">
        <v>222.0</v>
      </c>
      <c r="H69" s="77">
        <v>15.0</v>
      </c>
      <c r="I69" s="77"/>
      <c r="J69" s="77"/>
      <c r="K69" s="76">
        <f t="shared" si="80"/>
        <v>237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436</v>
      </c>
      <c r="R69" s="75">
        <f t="shared" si="86"/>
        <v>55</v>
      </c>
      <c r="S69" s="75">
        <f t="shared" si="86"/>
        <v>0</v>
      </c>
      <c r="T69" s="75">
        <f t="shared" si="86"/>
        <v>0</v>
      </c>
      <c r="U69" s="76">
        <f t="shared" si="83"/>
        <v>491</v>
      </c>
      <c r="V69" s="2"/>
    </row>
    <row r="70" ht="15.0" customHeight="1">
      <c r="A70" s="74" t="s">
        <v>104</v>
      </c>
      <c r="B70" s="77">
        <v>239.0</v>
      </c>
      <c r="C70" s="77">
        <v>61.0</v>
      </c>
      <c r="D70" s="77"/>
      <c r="E70" s="77"/>
      <c r="F70" s="76">
        <f t="shared" si="79"/>
        <v>300</v>
      </c>
      <c r="G70" s="77">
        <v>76.0</v>
      </c>
      <c r="H70" s="77">
        <v>12.0</v>
      </c>
      <c r="I70" s="77"/>
      <c r="J70" s="77"/>
      <c r="K70" s="76">
        <f t="shared" si="80"/>
        <v>88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315</v>
      </c>
      <c r="R70" s="75">
        <f t="shared" si="87"/>
        <v>73</v>
      </c>
      <c r="S70" s="75">
        <f t="shared" si="87"/>
        <v>0</v>
      </c>
      <c r="T70" s="75">
        <f t="shared" si="87"/>
        <v>0</v>
      </c>
      <c r="U70" s="76">
        <f t="shared" si="83"/>
        <v>388</v>
      </c>
      <c r="V70" s="2"/>
    </row>
    <row r="71" ht="15.0" customHeight="1">
      <c r="A71" s="74" t="s">
        <v>105</v>
      </c>
      <c r="B71" s="77">
        <v>30.0</v>
      </c>
      <c r="C71" s="77">
        <v>119.0</v>
      </c>
      <c r="D71" s="77"/>
      <c r="E71" s="77"/>
      <c r="F71" s="76">
        <f t="shared" si="79"/>
        <v>149</v>
      </c>
      <c r="G71" s="77">
        <v>240.0</v>
      </c>
      <c r="H71" s="77">
        <v>81.0</v>
      </c>
      <c r="I71" s="77"/>
      <c r="J71" s="77"/>
      <c r="K71" s="76">
        <f t="shared" si="80"/>
        <v>321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270</v>
      </c>
      <c r="R71" s="75">
        <f t="shared" si="88"/>
        <v>200</v>
      </c>
      <c r="S71" s="75">
        <f t="shared" si="88"/>
        <v>0</v>
      </c>
      <c r="T71" s="75">
        <f t="shared" si="88"/>
        <v>0</v>
      </c>
      <c r="U71" s="76">
        <f t="shared" si="83"/>
        <v>470</v>
      </c>
      <c r="V71" s="2"/>
    </row>
    <row r="72" ht="15.0" customHeight="1">
      <c r="A72" s="74" t="s">
        <v>106</v>
      </c>
      <c r="B72" s="90">
        <v>80.0</v>
      </c>
      <c r="C72" s="90">
        <v>35.0</v>
      </c>
      <c r="D72" s="90"/>
      <c r="E72" s="90"/>
      <c r="F72" s="76">
        <f t="shared" si="79"/>
        <v>115</v>
      </c>
      <c r="G72" s="90">
        <v>9.0</v>
      </c>
      <c r="H72" s="90">
        <v>8.0</v>
      </c>
      <c r="I72" s="90"/>
      <c r="J72" s="90"/>
      <c r="K72" s="76">
        <f t="shared" si="80"/>
        <v>17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89</v>
      </c>
      <c r="R72" s="75">
        <f t="shared" si="89"/>
        <v>43</v>
      </c>
      <c r="S72" s="75">
        <f t="shared" si="89"/>
        <v>0</v>
      </c>
      <c r="T72" s="75">
        <f t="shared" si="89"/>
        <v>0</v>
      </c>
      <c r="U72" s="76">
        <f t="shared" si="83"/>
        <v>132</v>
      </c>
      <c r="V72" s="2"/>
    </row>
    <row r="73" ht="15.0" customHeight="1">
      <c r="A73" s="74" t="s">
        <v>107</v>
      </c>
      <c r="B73" s="77">
        <v>40.0</v>
      </c>
      <c r="C73" s="77">
        <v>10.0</v>
      </c>
      <c r="D73" s="77"/>
      <c r="E73" s="77"/>
      <c r="F73" s="76">
        <f t="shared" si="79"/>
        <v>50</v>
      </c>
      <c r="G73" s="77">
        <v>30.0</v>
      </c>
      <c r="H73" s="77"/>
      <c r="I73" s="77"/>
      <c r="J73" s="77"/>
      <c r="K73" s="76">
        <f t="shared" si="80"/>
        <v>30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70</v>
      </c>
      <c r="R73" s="75">
        <f t="shared" si="90"/>
        <v>10</v>
      </c>
      <c r="S73" s="75">
        <f t="shared" si="90"/>
        <v>0</v>
      </c>
      <c r="T73" s="75">
        <f t="shared" si="90"/>
        <v>0</v>
      </c>
      <c r="U73" s="76">
        <f t="shared" si="83"/>
        <v>80</v>
      </c>
      <c r="V73" s="2"/>
    </row>
    <row r="74" ht="15.0" customHeight="1">
      <c r="A74" s="74" t="s">
        <v>108</v>
      </c>
      <c r="B74" s="77">
        <v>131.0</v>
      </c>
      <c r="C74" s="77">
        <v>76.0</v>
      </c>
      <c r="D74" s="77"/>
      <c r="E74" s="77"/>
      <c r="F74" s="76">
        <f t="shared" si="79"/>
        <v>207</v>
      </c>
      <c r="G74" s="77">
        <v>104.0</v>
      </c>
      <c r="H74" s="77">
        <v>79.0</v>
      </c>
      <c r="I74" s="77"/>
      <c r="J74" s="77"/>
      <c r="K74" s="76">
        <f t="shared" si="80"/>
        <v>183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235</v>
      </c>
      <c r="R74" s="75">
        <f t="shared" si="91"/>
        <v>155</v>
      </c>
      <c r="S74" s="75">
        <f t="shared" si="91"/>
        <v>0</v>
      </c>
      <c r="T74" s="75">
        <f t="shared" si="91"/>
        <v>0</v>
      </c>
      <c r="U74" s="76">
        <f t="shared" si="83"/>
        <v>390</v>
      </c>
      <c r="V74" s="2"/>
    </row>
    <row r="75" ht="15.0" customHeight="1">
      <c r="A75" s="74" t="s">
        <v>109</v>
      </c>
      <c r="B75" s="77">
        <v>257.0</v>
      </c>
      <c r="C75" s="77">
        <v>53.0</v>
      </c>
      <c r="D75" s="77"/>
      <c r="E75" s="77"/>
      <c r="F75" s="76">
        <f t="shared" si="79"/>
        <v>310</v>
      </c>
      <c r="G75" s="77">
        <v>16.0</v>
      </c>
      <c r="H75" s="77">
        <v>2.0</v>
      </c>
      <c r="I75" s="77"/>
      <c r="J75" s="77"/>
      <c r="K75" s="76">
        <f t="shared" si="80"/>
        <v>18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273</v>
      </c>
      <c r="R75" s="75">
        <f t="shared" si="92"/>
        <v>55</v>
      </c>
      <c r="S75" s="75">
        <f t="shared" si="92"/>
        <v>0</v>
      </c>
      <c r="T75" s="75">
        <f t="shared" si="92"/>
        <v>0</v>
      </c>
      <c r="U75" s="76">
        <f t="shared" si="83"/>
        <v>328</v>
      </c>
      <c r="V75" s="2"/>
    </row>
    <row r="76" ht="15.0" customHeight="1">
      <c r="A76" s="74" t="s">
        <v>65</v>
      </c>
      <c r="B76" s="77">
        <v>2.0</v>
      </c>
      <c r="C76" s="77">
        <v>12.0</v>
      </c>
      <c r="D76" s="77"/>
      <c r="E76" s="77"/>
      <c r="F76" s="76">
        <f t="shared" si="79"/>
        <v>14</v>
      </c>
      <c r="G76" s="77">
        <v>20.0</v>
      </c>
      <c r="H76" s="77"/>
      <c r="I76" s="77"/>
      <c r="J76" s="77"/>
      <c r="K76" s="76">
        <f t="shared" si="80"/>
        <v>20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22</v>
      </c>
      <c r="R76" s="75">
        <f t="shared" si="93"/>
        <v>12</v>
      </c>
      <c r="S76" s="75">
        <f t="shared" si="93"/>
        <v>0</v>
      </c>
      <c r="T76" s="75">
        <f t="shared" si="93"/>
        <v>0</v>
      </c>
      <c r="U76" s="76">
        <f t="shared" si="83"/>
        <v>34</v>
      </c>
      <c r="V76" s="2"/>
    </row>
    <row r="77" ht="15.0" customHeight="1">
      <c r="A77" s="74" t="s">
        <v>110</v>
      </c>
      <c r="B77" s="77"/>
      <c r="C77" s="77">
        <v>20.0</v>
      </c>
      <c r="D77" s="77"/>
      <c r="E77" s="77"/>
      <c r="F77" s="76">
        <f t="shared" si="79"/>
        <v>20</v>
      </c>
      <c r="G77" s="77">
        <v>408.0</v>
      </c>
      <c r="H77" s="77">
        <v>55.0</v>
      </c>
      <c r="I77" s="77"/>
      <c r="J77" s="77"/>
      <c r="K77" s="76">
        <f t="shared" si="80"/>
        <v>463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408</v>
      </c>
      <c r="R77" s="75">
        <f t="shared" si="94"/>
        <v>75</v>
      </c>
      <c r="S77" s="75">
        <f t="shared" si="94"/>
        <v>0</v>
      </c>
      <c r="T77" s="75">
        <f t="shared" si="94"/>
        <v>0</v>
      </c>
      <c r="U77" s="76">
        <f t="shared" si="83"/>
        <v>483</v>
      </c>
      <c r="V77" s="2"/>
    </row>
    <row r="78" ht="15.0" customHeight="1">
      <c r="A78" s="74" t="s">
        <v>111</v>
      </c>
      <c r="B78" s="77">
        <v>39.0</v>
      </c>
      <c r="C78" s="77">
        <v>7.0</v>
      </c>
      <c r="D78" s="77"/>
      <c r="E78" s="77"/>
      <c r="F78" s="76">
        <f t="shared" si="79"/>
        <v>46</v>
      </c>
      <c r="G78" s="77">
        <v>40.0</v>
      </c>
      <c r="H78" s="77"/>
      <c r="I78" s="77"/>
      <c r="J78" s="77"/>
      <c r="K78" s="76">
        <f t="shared" si="80"/>
        <v>40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79</v>
      </c>
      <c r="R78" s="75">
        <f t="shared" si="95"/>
        <v>7</v>
      </c>
      <c r="S78" s="75">
        <f t="shared" si="95"/>
        <v>0</v>
      </c>
      <c r="T78" s="75">
        <f t="shared" si="95"/>
        <v>0</v>
      </c>
      <c r="U78" s="76">
        <f t="shared" si="83"/>
        <v>86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>
        <v>60.0</v>
      </c>
      <c r="H79" s="77"/>
      <c r="I79" s="77"/>
      <c r="J79" s="77"/>
      <c r="K79" s="76">
        <f t="shared" si="80"/>
        <v>60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60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60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38514</v>
      </c>
      <c r="C9" s="70">
        <f t="shared" si="1"/>
        <v>28985</v>
      </c>
      <c r="D9" s="70">
        <f t="shared" si="1"/>
        <v>4260</v>
      </c>
      <c r="E9" s="70">
        <f t="shared" si="1"/>
        <v>530</v>
      </c>
      <c r="F9" s="71">
        <f t="shared" si="1"/>
        <v>72289</v>
      </c>
      <c r="G9" s="70">
        <f t="shared" si="1"/>
        <v>9976</v>
      </c>
      <c r="H9" s="70">
        <f t="shared" si="1"/>
        <v>4950</v>
      </c>
      <c r="I9" s="70">
        <f t="shared" si="1"/>
        <v>1343</v>
      </c>
      <c r="J9" s="70">
        <f t="shared" si="1"/>
        <v>80</v>
      </c>
      <c r="K9" s="71">
        <f t="shared" si="1"/>
        <v>16349</v>
      </c>
      <c r="L9" s="70">
        <f t="shared" si="1"/>
        <v>1700</v>
      </c>
      <c r="M9" s="70">
        <f t="shared" si="1"/>
        <v>1908</v>
      </c>
      <c r="N9" s="70">
        <f t="shared" si="1"/>
        <v>0</v>
      </c>
      <c r="O9" s="70">
        <f t="shared" si="1"/>
        <v>0</v>
      </c>
      <c r="P9" s="71">
        <f t="shared" si="1"/>
        <v>3608</v>
      </c>
      <c r="Q9" s="70">
        <f t="shared" si="1"/>
        <v>50190</v>
      </c>
      <c r="R9" s="70">
        <f t="shared" si="1"/>
        <v>35843</v>
      </c>
      <c r="S9" s="70">
        <f t="shared" si="1"/>
        <v>5603</v>
      </c>
      <c r="T9" s="70">
        <f t="shared" si="1"/>
        <v>558</v>
      </c>
      <c r="U9" s="71">
        <f t="shared" si="1"/>
        <v>92194</v>
      </c>
      <c r="V9" s="2"/>
    </row>
    <row r="10" ht="15.75" customHeight="1">
      <c r="A10" s="72" t="s">
        <v>49</v>
      </c>
      <c r="B10" s="73">
        <f t="shared" ref="B10:U10" si="2">SUM(B11:B16)</f>
        <v>298</v>
      </c>
      <c r="C10" s="73">
        <f t="shared" si="2"/>
        <v>269</v>
      </c>
      <c r="D10" s="73">
        <f t="shared" si="2"/>
        <v>7</v>
      </c>
      <c r="E10" s="73">
        <f t="shared" si="2"/>
        <v>1</v>
      </c>
      <c r="F10" s="73">
        <f t="shared" si="2"/>
        <v>575</v>
      </c>
      <c r="G10" s="73">
        <f t="shared" si="2"/>
        <v>214</v>
      </c>
      <c r="H10" s="73">
        <f t="shared" si="2"/>
        <v>23</v>
      </c>
      <c r="I10" s="73">
        <f t="shared" si="2"/>
        <v>0</v>
      </c>
      <c r="J10" s="73">
        <f t="shared" si="2"/>
        <v>0</v>
      </c>
      <c r="K10" s="73">
        <f t="shared" si="2"/>
        <v>237</v>
      </c>
      <c r="L10" s="73">
        <f t="shared" si="2"/>
        <v>6</v>
      </c>
      <c r="M10" s="73">
        <f t="shared" si="2"/>
        <v>101</v>
      </c>
      <c r="N10" s="73">
        <f t="shared" si="2"/>
        <v>0</v>
      </c>
      <c r="O10" s="73">
        <f t="shared" si="2"/>
        <v>0</v>
      </c>
      <c r="P10" s="73">
        <f t="shared" si="2"/>
        <v>107</v>
      </c>
      <c r="Q10" s="73">
        <f t="shared" si="2"/>
        <v>518</v>
      </c>
      <c r="R10" s="73">
        <f t="shared" si="2"/>
        <v>393</v>
      </c>
      <c r="S10" s="73">
        <f t="shared" si="2"/>
        <v>7</v>
      </c>
      <c r="T10" s="73">
        <f t="shared" si="2"/>
        <v>1</v>
      </c>
      <c r="U10" s="73">
        <f t="shared" si="2"/>
        <v>919</v>
      </c>
      <c r="V10" s="2" t="s">
        <v>114</v>
      </c>
    </row>
    <row r="11" ht="15.0" customHeight="1">
      <c r="A11" s="74" t="s">
        <v>50</v>
      </c>
      <c r="B11" s="75">
        <v>70.0</v>
      </c>
      <c r="C11" s="75">
        <v>167.0</v>
      </c>
      <c r="D11" s="75"/>
      <c r="E11" s="75"/>
      <c r="F11" s="76">
        <f t="shared" ref="F11:F16" si="4">SUM(B11:E11)</f>
        <v>237</v>
      </c>
      <c r="G11" s="75">
        <v>52.0</v>
      </c>
      <c r="H11" s="75">
        <v>21.0</v>
      </c>
      <c r="I11" s="75"/>
      <c r="J11" s="75"/>
      <c r="K11" s="76">
        <f t="shared" ref="K11:K16" si="5">SUM(G11:J11)</f>
        <v>73</v>
      </c>
      <c r="L11" s="75"/>
      <c r="M11" s="75">
        <v>75.0</v>
      </c>
      <c r="N11" s="75"/>
      <c r="O11" s="75"/>
      <c r="P11" s="76">
        <f t="shared" ref="P11:P16" si="6">SUM(L11:O11)</f>
        <v>75</v>
      </c>
      <c r="Q11" s="75">
        <f t="shared" ref="Q11:T11" si="3">SUM(B11,G11,L11)</f>
        <v>122</v>
      </c>
      <c r="R11" s="75">
        <f t="shared" si="3"/>
        <v>263</v>
      </c>
      <c r="S11" s="75">
        <f t="shared" si="3"/>
        <v>0</v>
      </c>
      <c r="T11" s="75">
        <f t="shared" si="3"/>
        <v>0</v>
      </c>
      <c r="U11" s="76">
        <f t="shared" ref="U11:U16" si="8">SUM(Q11:T11)</f>
        <v>385</v>
      </c>
      <c r="V11" s="2"/>
    </row>
    <row r="12" ht="15.0" customHeight="1">
      <c r="A12" s="74" t="s">
        <v>51</v>
      </c>
      <c r="B12" s="77">
        <v>5.0</v>
      </c>
      <c r="C12" s="77">
        <v>1.0</v>
      </c>
      <c r="D12" s="77">
        <v>2.0</v>
      </c>
      <c r="E12" s="77"/>
      <c r="F12" s="78">
        <f t="shared" si="4"/>
        <v>8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5</v>
      </c>
      <c r="R12" s="77">
        <f t="shared" si="7"/>
        <v>1</v>
      </c>
      <c r="S12" s="77">
        <f t="shared" si="7"/>
        <v>2</v>
      </c>
      <c r="T12" s="77">
        <f t="shared" si="7"/>
        <v>0</v>
      </c>
      <c r="U12" s="78">
        <f t="shared" si="8"/>
        <v>8</v>
      </c>
      <c r="V12" s="2"/>
    </row>
    <row r="13" ht="15.0" customHeight="1">
      <c r="A13" s="74" t="s">
        <v>52</v>
      </c>
      <c r="B13" s="77">
        <v>9.0</v>
      </c>
      <c r="C13" s="77">
        <v>3.0</v>
      </c>
      <c r="D13" s="77"/>
      <c r="E13" s="77"/>
      <c r="F13" s="78">
        <f t="shared" si="4"/>
        <v>12</v>
      </c>
      <c r="G13" s="77"/>
      <c r="H13" s="77">
        <v>2.0</v>
      </c>
      <c r="I13" s="77"/>
      <c r="J13" s="77"/>
      <c r="K13" s="78">
        <f t="shared" si="5"/>
        <v>2</v>
      </c>
      <c r="L13" s="77"/>
      <c r="M13" s="77">
        <v>26.0</v>
      </c>
      <c r="N13" s="77"/>
      <c r="O13" s="77"/>
      <c r="P13" s="78">
        <f t="shared" si="6"/>
        <v>26</v>
      </c>
      <c r="Q13" s="77">
        <f t="shared" ref="Q13:T13" si="9">SUM(B13,G13,L13)</f>
        <v>9</v>
      </c>
      <c r="R13" s="77">
        <f t="shared" si="9"/>
        <v>31</v>
      </c>
      <c r="S13" s="77">
        <f t="shared" si="9"/>
        <v>0</v>
      </c>
      <c r="T13" s="77">
        <f t="shared" si="9"/>
        <v>0</v>
      </c>
      <c r="U13" s="78">
        <f t="shared" si="8"/>
        <v>40</v>
      </c>
      <c r="V13" s="2"/>
    </row>
    <row r="14" ht="15.0" customHeight="1">
      <c r="A14" s="74" t="s">
        <v>53</v>
      </c>
      <c r="B14" s="77">
        <v>105.0</v>
      </c>
      <c r="C14" s="77"/>
      <c r="D14" s="77"/>
      <c r="E14" s="77"/>
      <c r="F14" s="78">
        <f t="shared" si="4"/>
        <v>105</v>
      </c>
      <c r="G14" s="77">
        <v>90.0</v>
      </c>
      <c r="H14" s="77"/>
      <c r="I14" s="77"/>
      <c r="J14" s="77"/>
      <c r="K14" s="78">
        <f t="shared" si="5"/>
        <v>90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195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195</v>
      </c>
      <c r="V14" s="2"/>
    </row>
    <row r="15" ht="15.0" customHeight="1">
      <c r="A15" s="74" t="s">
        <v>54</v>
      </c>
      <c r="B15" s="77">
        <v>99.0</v>
      </c>
      <c r="C15" s="77">
        <v>98.0</v>
      </c>
      <c r="D15" s="77">
        <v>5.0</v>
      </c>
      <c r="E15" s="77">
        <v>1.0</v>
      </c>
      <c r="F15" s="78">
        <f t="shared" si="4"/>
        <v>203</v>
      </c>
      <c r="G15" s="77">
        <v>70.0</v>
      </c>
      <c r="H15" s="77"/>
      <c r="I15" s="77"/>
      <c r="J15" s="77"/>
      <c r="K15" s="78">
        <f t="shared" si="5"/>
        <v>70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169</v>
      </c>
      <c r="R15" s="77">
        <f t="shared" si="11"/>
        <v>98</v>
      </c>
      <c r="S15" s="77">
        <f t="shared" si="11"/>
        <v>5</v>
      </c>
      <c r="T15" s="77">
        <f t="shared" si="11"/>
        <v>1</v>
      </c>
      <c r="U15" s="78">
        <f t="shared" si="8"/>
        <v>273</v>
      </c>
      <c r="V15" s="2"/>
    </row>
    <row r="16" ht="15.75" customHeight="1">
      <c r="A16" s="74" t="s">
        <v>55</v>
      </c>
      <c r="B16" s="77">
        <v>10.0</v>
      </c>
      <c r="C16" s="77"/>
      <c r="D16" s="77"/>
      <c r="E16" s="77"/>
      <c r="F16" s="78">
        <f t="shared" si="4"/>
        <v>10</v>
      </c>
      <c r="G16" s="77">
        <v>2.0</v>
      </c>
      <c r="H16" s="77"/>
      <c r="I16" s="77"/>
      <c r="J16" s="77"/>
      <c r="K16" s="78">
        <f t="shared" si="5"/>
        <v>2</v>
      </c>
      <c r="L16" s="77">
        <v>6.0</v>
      </c>
      <c r="M16" s="77"/>
      <c r="N16" s="77"/>
      <c r="O16" s="77"/>
      <c r="P16" s="78">
        <f t="shared" si="6"/>
        <v>6</v>
      </c>
      <c r="Q16" s="77">
        <f t="shared" ref="Q16:T16" si="12">SUM(B16,G16,L16)</f>
        <v>18</v>
      </c>
      <c r="R16" s="77">
        <f t="shared" si="12"/>
        <v>0</v>
      </c>
      <c r="S16" s="77">
        <f t="shared" si="12"/>
        <v>0</v>
      </c>
      <c r="T16" s="77">
        <f t="shared" si="12"/>
        <v>0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8133</v>
      </c>
      <c r="C17" s="73">
        <f t="shared" si="13"/>
        <v>6259</v>
      </c>
      <c r="D17" s="73">
        <f t="shared" si="13"/>
        <v>356</v>
      </c>
      <c r="E17" s="73">
        <f t="shared" si="13"/>
        <v>254</v>
      </c>
      <c r="F17" s="73">
        <f t="shared" si="13"/>
        <v>15002</v>
      </c>
      <c r="G17" s="73">
        <f t="shared" si="13"/>
        <v>2383</v>
      </c>
      <c r="H17" s="73">
        <f t="shared" si="13"/>
        <v>3107</v>
      </c>
      <c r="I17" s="73">
        <f t="shared" si="13"/>
        <v>361</v>
      </c>
      <c r="J17" s="73">
        <f t="shared" si="13"/>
        <v>0</v>
      </c>
      <c r="K17" s="73">
        <f t="shared" si="13"/>
        <v>5851</v>
      </c>
      <c r="L17" s="73">
        <f t="shared" si="13"/>
        <v>541</v>
      </c>
      <c r="M17" s="73">
        <f t="shared" si="13"/>
        <v>509</v>
      </c>
      <c r="N17" s="73">
        <f t="shared" si="13"/>
        <v>0</v>
      </c>
      <c r="O17" s="73">
        <f t="shared" si="13"/>
        <v>0</v>
      </c>
      <c r="P17" s="73">
        <f t="shared" si="13"/>
        <v>1050</v>
      </c>
      <c r="Q17" s="73">
        <f t="shared" si="13"/>
        <v>11057</v>
      </c>
      <c r="R17" s="73">
        <f>R18+R19+R20+R21+R22+R23+R24+R25+R26+R27+R28</f>
        <v>9875</v>
      </c>
      <c r="S17" s="73">
        <f t="shared" ref="S17:U17" si="14">SUM(S18:S28)</f>
        <v>717</v>
      </c>
      <c r="T17" s="73">
        <f t="shared" si="14"/>
        <v>254</v>
      </c>
      <c r="U17" s="73">
        <f t="shared" si="14"/>
        <v>21903</v>
      </c>
      <c r="V17" s="2" t="s">
        <v>114</v>
      </c>
    </row>
    <row r="18" ht="15.0" customHeight="1">
      <c r="A18" s="74" t="s">
        <v>57</v>
      </c>
      <c r="B18" s="75">
        <v>275.0</v>
      </c>
      <c r="C18" s="75">
        <v>394.0</v>
      </c>
      <c r="D18" s="75"/>
      <c r="E18" s="75"/>
      <c r="F18" s="76">
        <f t="shared" ref="F18:F28" si="16">SUM(B18:E18)</f>
        <v>669</v>
      </c>
      <c r="G18" s="75">
        <v>253.0</v>
      </c>
      <c r="H18" s="75">
        <v>197.0</v>
      </c>
      <c r="I18" s="75"/>
      <c r="J18" s="75"/>
      <c r="K18" s="76">
        <f t="shared" ref="K18:K28" si="17">SUM(G18:J18)</f>
        <v>450</v>
      </c>
      <c r="L18" s="75">
        <v>38.0</v>
      </c>
      <c r="M18" s="75"/>
      <c r="N18" s="75"/>
      <c r="O18" s="75"/>
      <c r="P18" s="76">
        <f t="shared" ref="P18:P28" si="18">SUM(L18:O18)</f>
        <v>38</v>
      </c>
      <c r="Q18" s="75">
        <f t="shared" ref="Q18:T18" si="15">B18+G18+L18</f>
        <v>566</v>
      </c>
      <c r="R18" s="75">
        <f t="shared" si="15"/>
        <v>591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1157</v>
      </c>
      <c r="V18" s="2"/>
    </row>
    <row r="19" ht="15.0" customHeight="1">
      <c r="A19" s="74" t="s">
        <v>58</v>
      </c>
      <c r="B19" s="77">
        <v>1369.0</v>
      </c>
      <c r="C19" s="77">
        <v>1434.0</v>
      </c>
      <c r="D19" s="75">
        <v>62.0</v>
      </c>
      <c r="E19" s="75"/>
      <c r="F19" s="76">
        <f t="shared" si="16"/>
        <v>2865</v>
      </c>
      <c r="G19" s="77">
        <v>100.0</v>
      </c>
      <c r="H19" s="77">
        <v>67.0</v>
      </c>
      <c r="I19" s="77"/>
      <c r="J19" s="77"/>
      <c r="K19" s="76">
        <f t="shared" si="17"/>
        <v>167</v>
      </c>
      <c r="L19" s="77">
        <v>37.0</v>
      </c>
      <c r="M19" s="77">
        <v>219.0</v>
      </c>
      <c r="N19" s="77"/>
      <c r="O19" s="77"/>
      <c r="P19" s="76">
        <f t="shared" si="18"/>
        <v>256</v>
      </c>
      <c r="Q19" s="75">
        <f t="shared" ref="Q19:T19" si="19">B19+G19+L19</f>
        <v>1506</v>
      </c>
      <c r="R19" s="75">
        <f t="shared" si="19"/>
        <v>1720</v>
      </c>
      <c r="S19" s="75">
        <f t="shared" si="19"/>
        <v>62</v>
      </c>
      <c r="T19" s="75">
        <f t="shared" si="19"/>
        <v>0</v>
      </c>
      <c r="U19" s="78">
        <f t="shared" si="20"/>
        <v>3288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>
        <v>211.0</v>
      </c>
      <c r="C21" s="77">
        <v>536.0</v>
      </c>
      <c r="D21" s="77"/>
      <c r="E21" s="77"/>
      <c r="F21" s="76">
        <f t="shared" si="16"/>
        <v>747</v>
      </c>
      <c r="G21" s="77">
        <v>8.0</v>
      </c>
      <c r="H21" s="77">
        <v>27.0</v>
      </c>
      <c r="I21" s="77"/>
      <c r="J21" s="77"/>
      <c r="K21" s="76">
        <f t="shared" si="17"/>
        <v>35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219</v>
      </c>
      <c r="R21" s="75">
        <f t="shared" si="22"/>
        <v>563</v>
      </c>
      <c r="S21" s="75">
        <f t="shared" si="22"/>
        <v>0</v>
      </c>
      <c r="T21" s="75">
        <f t="shared" si="22"/>
        <v>0</v>
      </c>
      <c r="U21" s="78">
        <f t="shared" si="20"/>
        <v>782</v>
      </c>
      <c r="V21" s="2"/>
    </row>
    <row r="22" ht="15.0" customHeight="1">
      <c r="A22" s="74" t="s">
        <v>61</v>
      </c>
      <c r="B22" s="77">
        <v>688.0</v>
      </c>
      <c r="C22" s="77">
        <v>264.0</v>
      </c>
      <c r="D22" s="77"/>
      <c r="E22" s="77"/>
      <c r="F22" s="76">
        <f t="shared" si="16"/>
        <v>952</v>
      </c>
      <c r="G22" s="77">
        <v>174.0</v>
      </c>
      <c r="H22" s="77">
        <v>16.0</v>
      </c>
      <c r="I22" s="77"/>
      <c r="J22" s="77"/>
      <c r="K22" s="76">
        <f t="shared" si="17"/>
        <v>190</v>
      </c>
      <c r="L22" s="77">
        <v>10.0</v>
      </c>
      <c r="M22" s="77"/>
      <c r="N22" s="77"/>
      <c r="O22" s="77"/>
      <c r="P22" s="76">
        <f t="shared" si="18"/>
        <v>10</v>
      </c>
      <c r="Q22" s="75">
        <f t="shared" ref="Q22:T22" si="23">B22+G22+L22</f>
        <v>872</v>
      </c>
      <c r="R22" s="75">
        <f t="shared" si="23"/>
        <v>280</v>
      </c>
      <c r="S22" s="75">
        <f t="shared" si="23"/>
        <v>0</v>
      </c>
      <c r="T22" s="75">
        <f t="shared" si="23"/>
        <v>0</v>
      </c>
      <c r="U22" s="78">
        <f t="shared" si="20"/>
        <v>1152</v>
      </c>
      <c r="V22" s="2"/>
    </row>
    <row r="23" ht="15.0" customHeight="1">
      <c r="A23" s="74" t="s">
        <v>62</v>
      </c>
      <c r="B23" s="77">
        <v>29.0</v>
      </c>
      <c r="C23" s="77">
        <v>495.0</v>
      </c>
      <c r="D23" s="77"/>
      <c r="E23" s="77"/>
      <c r="F23" s="76">
        <f t="shared" si="16"/>
        <v>524</v>
      </c>
      <c r="G23" s="77">
        <v>24.0</v>
      </c>
      <c r="H23" s="77">
        <v>292.0</v>
      </c>
      <c r="I23" s="77"/>
      <c r="J23" s="77"/>
      <c r="K23" s="76">
        <f t="shared" si="17"/>
        <v>316</v>
      </c>
      <c r="L23" s="77"/>
      <c r="M23" s="77">
        <v>59.0</v>
      </c>
      <c r="N23" s="77"/>
      <c r="O23" s="77"/>
      <c r="P23" s="76">
        <f t="shared" si="18"/>
        <v>59</v>
      </c>
      <c r="Q23" s="75">
        <f t="shared" ref="Q23:T23" si="24">B23+G23+L23</f>
        <v>53</v>
      </c>
      <c r="R23" s="75">
        <f t="shared" si="24"/>
        <v>846</v>
      </c>
      <c r="S23" s="75">
        <f t="shared" si="24"/>
        <v>0</v>
      </c>
      <c r="T23" s="75">
        <f t="shared" si="24"/>
        <v>0</v>
      </c>
      <c r="U23" s="78">
        <f t="shared" si="20"/>
        <v>899</v>
      </c>
      <c r="V23" s="2"/>
    </row>
    <row r="24" ht="15.0" customHeight="1">
      <c r="A24" s="74" t="s">
        <v>63</v>
      </c>
      <c r="B24" s="79">
        <v>146.0</v>
      </c>
      <c r="C24" s="77"/>
      <c r="D24" s="77"/>
      <c r="E24" s="77"/>
      <c r="F24" s="76">
        <f t="shared" si="16"/>
        <v>146</v>
      </c>
      <c r="G24" s="77"/>
      <c r="H24" s="77"/>
      <c r="I24" s="77"/>
      <c r="J24" s="77"/>
      <c r="K24" s="76">
        <f t="shared" si="17"/>
        <v>0</v>
      </c>
      <c r="L24" s="77">
        <v>129.0</v>
      </c>
      <c r="M24" s="77">
        <v>146.0</v>
      </c>
      <c r="N24" s="77"/>
      <c r="O24" s="77"/>
      <c r="P24" s="76">
        <f t="shared" si="18"/>
        <v>275</v>
      </c>
      <c r="Q24" s="75">
        <f t="shared" ref="Q24:T24" si="25">B24+G24+L24</f>
        <v>275</v>
      </c>
      <c r="R24" s="75">
        <f t="shared" si="25"/>
        <v>146</v>
      </c>
      <c r="S24" s="75">
        <f t="shared" si="25"/>
        <v>0</v>
      </c>
      <c r="T24" s="75">
        <f t="shared" si="25"/>
        <v>0</v>
      </c>
      <c r="U24" s="78">
        <f t="shared" si="20"/>
        <v>421</v>
      </c>
      <c r="V24" s="2"/>
    </row>
    <row r="25" ht="15.0" customHeight="1">
      <c r="A25" s="74" t="s">
        <v>17</v>
      </c>
      <c r="B25" s="75">
        <v>2793.0</v>
      </c>
      <c r="C25" s="75">
        <v>804.0</v>
      </c>
      <c r="D25" s="77"/>
      <c r="E25" s="77"/>
      <c r="F25" s="76">
        <f t="shared" si="16"/>
        <v>3597</v>
      </c>
      <c r="G25" s="75">
        <v>752.0</v>
      </c>
      <c r="H25" s="75">
        <v>75.0</v>
      </c>
      <c r="I25" s="75"/>
      <c r="J25" s="75"/>
      <c r="K25" s="76">
        <f t="shared" si="17"/>
        <v>827</v>
      </c>
      <c r="L25" s="75">
        <v>44.0</v>
      </c>
      <c r="M25" s="75">
        <v>33.0</v>
      </c>
      <c r="N25" s="75"/>
      <c r="O25" s="75"/>
      <c r="P25" s="76">
        <f t="shared" si="18"/>
        <v>77</v>
      </c>
      <c r="Q25" s="75">
        <f t="shared" ref="Q25:T25" si="26">B25+G25+L25</f>
        <v>3589</v>
      </c>
      <c r="R25" s="75">
        <f t="shared" si="26"/>
        <v>912</v>
      </c>
      <c r="S25" s="75">
        <f t="shared" si="26"/>
        <v>0</v>
      </c>
      <c r="T25" s="75">
        <f t="shared" si="26"/>
        <v>0</v>
      </c>
      <c r="U25" s="76">
        <f t="shared" si="20"/>
        <v>4501</v>
      </c>
      <c r="V25" s="2"/>
    </row>
    <row r="26" ht="15.0" customHeight="1">
      <c r="A26" s="74" t="s">
        <v>64</v>
      </c>
      <c r="B26" s="77"/>
      <c r="C26" s="80"/>
      <c r="D26" s="80"/>
      <c r="E26" s="75"/>
      <c r="F26" s="76">
        <f t="shared" si="16"/>
        <v>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0</v>
      </c>
      <c r="V26" s="2"/>
    </row>
    <row r="27" ht="15.0" customHeight="1">
      <c r="A27" s="74" t="s">
        <v>65</v>
      </c>
      <c r="B27" s="77">
        <v>2327.0</v>
      </c>
      <c r="C27" s="77">
        <v>248.0</v>
      </c>
      <c r="D27" s="77"/>
      <c r="E27" s="77"/>
      <c r="F27" s="76">
        <f t="shared" si="16"/>
        <v>2575</v>
      </c>
      <c r="G27" s="77">
        <v>773.0</v>
      </c>
      <c r="H27" s="77">
        <v>86.0</v>
      </c>
      <c r="I27" s="77"/>
      <c r="J27" s="77"/>
      <c r="K27" s="76">
        <f t="shared" si="17"/>
        <v>859</v>
      </c>
      <c r="L27" s="77">
        <v>25.0</v>
      </c>
      <c r="M27" s="77">
        <v>52.0</v>
      </c>
      <c r="N27" s="77"/>
      <c r="O27" s="77"/>
      <c r="P27" s="76">
        <f t="shared" si="18"/>
        <v>77</v>
      </c>
      <c r="Q27" s="75">
        <f t="shared" ref="Q27:T27" si="28">B27+G27+L27</f>
        <v>3125</v>
      </c>
      <c r="R27" s="75">
        <f t="shared" si="28"/>
        <v>386</v>
      </c>
      <c r="S27" s="75">
        <f t="shared" si="28"/>
        <v>0</v>
      </c>
      <c r="T27" s="75">
        <f t="shared" si="28"/>
        <v>0</v>
      </c>
      <c r="U27" s="78">
        <f t="shared" si="20"/>
        <v>3511</v>
      </c>
      <c r="V27" s="2"/>
    </row>
    <row r="28" ht="15.75" customHeight="1">
      <c r="A28" s="74" t="s">
        <v>54</v>
      </c>
      <c r="B28" s="77">
        <v>295.0</v>
      </c>
      <c r="C28" s="77">
        <v>2084.0</v>
      </c>
      <c r="D28" s="77">
        <v>294.0</v>
      </c>
      <c r="E28" s="77">
        <v>254.0</v>
      </c>
      <c r="F28" s="76">
        <f t="shared" si="16"/>
        <v>2927</v>
      </c>
      <c r="G28" s="77">
        <v>299.0</v>
      </c>
      <c r="H28" s="77">
        <v>2347.0</v>
      </c>
      <c r="I28" s="77">
        <v>361.0</v>
      </c>
      <c r="J28" s="77"/>
      <c r="K28" s="76">
        <f t="shared" si="17"/>
        <v>3007</v>
      </c>
      <c r="L28" s="77">
        <v>258.0</v>
      </c>
      <c r="M28" s="77"/>
      <c r="N28" s="77"/>
      <c r="O28" s="77"/>
      <c r="P28" s="76">
        <f t="shared" si="18"/>
        <v>258</v>
      </c>
      <c r="Q28" s="75">
        <f t="shared" ref="Q28:T28" si="29">B28+G28+L28</f>
        <v>852</v>
      </c>
      <c r="R28" s="75">
        <f t="shared" si="29"/>
        <v>4431</v>
      </c>
      <c r="S28" s="75">
        <f t="shared" si="29"/>
        <v>655</v>
      </c>
      <c r="T28" s="75">
        <f t="shared" si="29"/>
        <v>254</v>
      </c>
      <c r="U28" s="78">
        <f t="shared" si="20"/>
        <v>6192</v>
      </c>
      <c r="V28" s="2"/>
    </row>
    <row r="29" ht="15.75" customHeight="1">
      <c r="A29" s="72" t="s">
        <v>66</v>
      </c>
      <c r="B29" s="73">
        <f t="shared" ref="B29:U29" si="30">SUM(B30:B44)</f>
        <v>20333</v>
      </c>
      <c r="C29" s="73">
        <f t="shared" si="30"/>
        <v>20969</v>
      </c>
      <c r="D29" s="73">
        <f t="shared" si="30"/>
        <v>3547</v>
      </c>
      <c r="E29" s="73">
        <f t="shared" si="30"/>
        <v>0</v>
      </c>
      <c r="F29" s="81">
        <f t="shared" si="30"/>
        <v>44849</v>
      </c>
      <c r="G29" s="73">
        <f t="shared" si="30"/>
        <v>2650</v>
      </c>
      <c r="H29" s="73">
        <f t="shared" si="30"/>
        <v>1692</v>
      </c>
      <c r="I29" s="73">
        <f t="shared" si="30"/>
        <v>982</v>
      </c>
      <c r="J29" s="73">
        <f t="shared" si="30"/>
        <v>28</v>
      </c>
      <c r="K29" s="81">
        <f t="shared" si="30"/>
        <v>5352</v>
      </c>
      <c r="L29" s="73">
        <f t="shared" si="30"/>
        <v>0</v>
      </c>
      <c r="M29" s="73">
        <f t="shared" si="30"/>
        <v>78</v>
      </c>
      <c r="N29" s="73">
        <f t="shared" si="30"/>
        <v>0</v>
      </c>
      <c r="O29" s="73">
        <f t="shared" si="30"/>
        <v>0</v>
      </c>
      <c r="P29" s="81">
        <f t="shared" si="30"/>
        <v>78</v>
      </c>
      <c r="Q29" s="73">
        <f t="shared" si="30"/>
        <v>22983</v>
      </c>
      <c r="R29" s="73">
        <f t="shared" si="30"/>
        <v>22739</v>
      </c>
      <c r="S29" s="73">
        <f t="shared" si="30"/>
        <v>4529</v>
      </c>
      <c r="T29" s="73">
        <f t="shared" si="30"/>
        <v>28</v>
      </c>
      <c r="U29" s="81">
        <f t="shared" si="30"/>
        <v>50279</v>
      </c>
      <c r="V29" s="2" t="s">
        <v>114</v>
      </c>
    </row>
    <row r="30" ht="15.0" customHeight="1">
      <c r="A30" s="74" t="s">
        <v>67</v>
      </c>
      <c r="B30" s="75">
        <v>391.0</v>
      </c>
      <c r="C30" s="75">
        <v>981.0</v>
      </c>
      <c r="D30" s="75">
        <v>107.0</v>
      </c>
      <c r="E30" s="75"/>
      <c r="F30" s="76">
        <f t="shared" ref="F30:F44" si="32">SUM(B30:E30)</f>
        <v>1479</v>
      </c>
      <c r="G30" s="75">
        <v>463.0</v>
      </c>
      <c r="H30" s="75">
        <v>600.0</v>
      </c>
      <c r="I30" s="75">
        <v>60.0</v>
      </c>
      <c r="J30" s="75"/>
      <c r="K30" s="76">
        <f t="shared" ref="K30:K44" si="33">SUM(G30:J30)</f>
        <v>1123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854</v>
      </c>
      <c r="R30" s="75">
        <f t="shared" si="31"/>
        <v>1581</v>
      </c>
      <c r="S30" s="75">
        <f t="shared" si="31"/>
        <v>167</v>
      </c>
      <c r="T30" s="75">
        <f t="shared" si="31"/>
        <v>0</v>
      </c>
      <c r="U30" s="76">
        <f t="shared" ref="U30:U44" si="36">SUM(Q30:T30)</f>
        <v>2602</v>
      </c>
      <c r="V30" s="2"/>
    </row>
    <row r="31" ht="15.0" customHeight="1">
      <c r="A31" s="74" t="s">
        <v>68</v>
      </c>
      <c r="B31" s="77">
        <v>300.0</v>
      </c>
      <c r="C31" s="77">
        <v>1617.0</v>
      </c>
      <c r="D31" s="77">
        <v>702.0</v>
      </c>
      <c r="E31" s="77"/>
      <c r="F31" s="76">
        <f t="shared" si="32"/>
        <v>2619</v>
      </c>
      <c r="G31" s="77">
        <v>10.0</v>
      </c>
      <c r="H31" s="77">
        <v>19.0</v>
      </c>
      <c r="I31" s="77">
        <v>82.0</v>
      </c>
      <c r="J31" s="77"/>
      <c r="K31" s="76">
        <f t="shared" si="33"/>
        <v>111</v>
      </c>
      <c r="L31" s="77"/>
      <c r="M31" s="77">
        <v>78.0</v>
      </c>
      <c r="N31" s="77"/>
      <c r="O31" s="77"/>
      <c r="P31" s="78">
        <f t="shared" si="34"/>
        <v>78</v>
      </c>
      <c r="Q31" s="77">
        <f t="shared" ref="Q31:T31" si="35">SUM(B31,G31,L31)</f>
        <v>310</v>
      </c>
      <c r="R31" s="77">
        <f t="shared" si="35"/>
        <v>1714</v>
      </c>
      <c r="S31" s="77">
        <f t="shared" si="35"/>
        <v>784</v>
      </c>
      <c r="T31" s="77">
        <f t="shared" si="35"/>
        <v>0</v>
      </c>
      <c r="U31" s="78">
        <f t="shared" si="36"/>
        <v>2808</v>
      </c>
      <c r="V31" s="2"/>
    </row>
    <row r="32" ht="15.0" customHeight="1">
      <c r="A32" s="74" t="s">
        <v>69</v>
      </c>
      <c r="B32" s="77">
        <v>3879.0</v>
      </c>
      <c r="C32" s="77">
        <v>446.0</v>
      </c>
      <c r="D32" s="77"/>
      <c r="E32" s="77"/>
      <c r="F32" s="76">
        <f t="shared" si="32"/>
        <v>4325</v>
      </c>
      <c r="G32" s="77">
        <v>588.0</v>
      </c>
      <c r="H32" s="77"/>
      <c r="I32" s="77"/>
      <c r="J32" s="77"/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4467</v>
      </c>
      <c r="R32" s="77">
        <f t="shared" si="37"/>
        <v>446</v>
      </c>
      <c r="S32" s="77">
        <f t="shared" si="37"/>
        <v>0</v>
      </c>
      <c r="T32" s="77">
        <f t="shared" si="37"/>
        <v>0</v>
      </c>
      <c r="U32" s="78">
        <f t="shared" si="36"/>
        <v>4913</v>
      </c>
      <c r="V32" s="2"/>
    </row>
    <row r="33" ht="15.0" customHeight="1">
      <c r="A33" s="74" t="s">
        <v>70</v>
      </c>
      <c r="B33" s="77">
        <v>1104.0</v>
      </c>
      <c r="C33" s="77"/>
      <c r="D33" s="77"/>
      <c r="E33" s="77"/>
      <c r="F33" s="76">
        <f t="shared" si="32"/>
        <v>1104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1104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1104</v>
      </c>
      <c r="V33" s="2"/>
    </row>
    <row r="34" ht="15.0" customHeight="1">
      <c r="A34" s="74" t="s">
        <v>71</v>
      </c>
      <c r="B34" s="77">
        <v>2307.0</v>
      </c>
      <c r="C34" s="77">
        <v>4410.0</v>
      </c>
      <c r="D34" s="77">
        <v>894.0</v>
      </c>
      <c r="E34" s="77"/>
      <c r="F34" s="76">
        <f t="shared" si="32"/>
        <v>7611</v>
      </c>
      <c r="G34" s="77">
        <v>164.0</v>
      </c>
      <c r="H34" s="77">
        <v>50.0</v>
      </c>
      <c r="I34" s="77">
        <v>28.0</v>
      </c>
      <c r="J34" s="77"/>
      <c r="K34" s="76">
        <f t="shared" si="33"/>
        <v>242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2471</v>
      </c>
      <c r="R34" s="77">
        <f t="shared" si="39"/>
        <v>4460</v>
      </c>
      <c r="S34" s="77">
        <f t="shared" si="39"/>
        <v>922</v>
      </c>
      <c r="T34" s="77">
        <f t="shared" si="39"/>
        <v>0</v>
      </c>
      <c r="U34" s="78">
        <f t="shared" si="36"/>
        <v>7853</v>
      </c>
      <c r="V34" s="2"/>
    </row>
    <row r="35" ht="15.0" customHeight="1">
      <c r="A35" s="74" t="s">
        <v>72</v>
      </c>
      <c r="B35" s="77">
        <v>2083.0</v>
      </c>
      <c r="C35" s="77"/>
      <c r="D35" s="77"/>
      <c r="E35" s="77"/>
      <c r="F35" s="76">
        <f t="shared" si="32"/>
        <v>2083</v>
      </c>
      <c r="G35" s="77">
        <v>39.0</v>
      </c>
      <c r="H35" s="77"/>
      <c r="I35" s="77"/>
      <c r="J35" s="77"/>
      <c r="K35" s="76">
        <f t="shared" si="33"/>
        <v>39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2122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2122</v>
      </c>
      <c r="V35" s="2"/>
    </row>
    <row r="36" ht="15.0" customHeight="1">
      <c r="A36" s="74" t="s">
        <v>73</v>
      </c>
      <c r="B36" s="77">
        <v>439.0</v>
      </c>
      <c r="C36" s="77">
        <v>479.0</v>
      </c>
      <c r="D36" s="77">
        <v>345.0</v>
      </c>
      <c r="E36" s="77"/>
      <c r="F36" s="76">
        <f t="shared" si="32"/>
        <v>1263</v>
      </c>
      <c r="G36" s="77"/>
      <c r="H36" s="77">
        <v>252.0</v>
      </c>
      <c r="I36" s="77"/>
      <c r="J36" s="77"/>
      <c r="K36" s="76">
        <f t="shared" si="33"/>
        <v>252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439</v>
      </c>
      <c r="R36" s="77">
        <f t="shared" si="41"/>
        <v>731</v>
      </c>
      <c r="S36" s="77">
        <f t="shared" si="41"/>
        <v>345</v>
      </c>
      <c r="T36" s="77">
        <f t="shared" si="41"/>
        <v>0</v>
      </c>
      <c r="U36" s="78">
        <f t="shared" si="36"/>
        <v>1515</v>
      </c>
      <c r="V36" s="2"/>
    </row>
    <row r="37" ht="15.0" customHeight="1">
      <c r="A37" s="74" t="s">
        <v>74</v>
      </c>
      <c r="B37" s="77">
        <v>3121.0</v>
      </c>
      <c r="C37" s="77">
        <v>8400.0</v>
      </c>
      <c r="D37" s="77">
        <v>1153.0</v>
      </c>
      <c r="E37" s="77"/>
      <c r="F37" s="76">
        <f t="shared" si="32"/>
        <v>12674</v>
      </c>
      <c r="G37" s="77">
        <v>569.0</v>
      </c>
      <c r="H37" s="77">
        <v>324.0</v>
      </c>
      <c r="I37" s="77">
        <v>812.0</v>
      </c>
      <c r="J37" s="77"/>
      <c r="K37" s="76">
        <f t="shared" si="33"/>
        <v>1705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3690</v>
      </c>
      <c r="R37" s="77">
        <f t="shared" si="42"/>
        <v>8724</v>
      </c>
      <c r="S37" s="77">
        <f t="shared" ref="S37:S41" si="44">SUM(D37,I36,N37)</f>
        <v>1153</v>
      </c>
      <c r="T37" s="77">
        <f t="shared" ref="T37:T41" si="45">SUM(E37,J37,O37)</f>
        <v>0</v>
      </c>
      <c r="U37" s="78">
        <f t="shared" si="36"/>
        <v>13567</v>
      </c>
      <c r="V37" s="2"/>
    </row>
    <row r="38" ht="15.0" customHeight="1">
      <c r="A38" s="74" t="s">
        <v>75</v>
      </c>
      <c r="B38" s="77">
        <v>2083.0</v>
      </c>
      <c r="C38" s="77">
        <v>1355.0</v>
      </c>
      <c r="D38" s="77"/>
      <c r="E38" s="77"/>
      <c r="F38" s="76">
        <f t="shared" si="32"/>
        <v>3438</v>
      </c>
      <c r="G38" s="77">
        <v>316.0</v>
      </c>
      <c r="H38" s="77">
        <v>102.0</v>
      </c>
      <c r="I38" s="77"/>
      <c r="J38" s="77"/>
      <c r="K38" s="76">
        <f t="shared" si="33"/>
        <v>418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2399</v>
      </c>
      <c r="R38" s="77">
        <f t="shared" si="43"/>
        <v>1457</v>
      </c>
      <c r="S38" s="77">
        <f t="shared" si="44"/>
        <v>812</v>
      </c>
      <c r="T38" s="77">
        <f t="shared" si="45"/>
        <v>0</v>
      </c>
      <c r="U38" s="78">
        <f t="shared" si="36"/>
        <v>4668</v>
      </c>
      <c r="V38" s="2"/>
    </row>
    <row r="39" ht="15.0" customHeight="1">
      <c r="A39" s="74" t="s">
        <v>76</v>
      </c>
      <c r="B39" s="77">
        <v>417.0</v>
      </c>
      <c r="C39" s="77">
        <v>261.0</v>
      </c>
      <c r="D39" s="77"/>
      <c r="E39" s="77"/>
      <c r="F39" s="76">
        <f t="shared" si="32"/>
        <v>678</v>
      </c>
      <c r="G39" s="77">
        <v>140.0</v>
      </c>
      <c r="H39" s="77"/>
      <c r="I39" s="77"/>
      <c r="J39" s="77"/>
      <c r="K39" s="76">
        <f t="shared" si="33"/>
        <v>140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557</v>
      </c>
      <c r="R39" s="77">
        <f t="shared" si="46"/>
        <v>261</v>
      </c>
      <c r="S39" s="77">
        <f t="shared" si="44"/>
        <v>0</v>
      </c>
      <c r="T39" s="77">
        <f t="shared" si="45"/>
        <v>0</v>
      </c>
      <c r="U39" s="78">
        <f t="shared" si="36"/>
        <v>818</v>
      </c>
      <c r="V39" s="2"/>
    </row>
    <row r="40" ht="15.0" customHeight="1">
      <c r="A40" s="74" t="s">
        <v>77</v>
      </c>
      <c r="B40" s="77">
        <v>3.0</v>
      </c>
      <c r="C40" s="77"/>
      <c r="D40" s="77"/>
      <c r="E40" s="77"/>
      <c r="F40" s="76">
        <f t="shared" si="32"/>
        <v>3</v>
      </c>
      <c r="G40" s="77">
        <v>8.0</v>
      </c>
      <c r="H40" s="77"/>
      <c r="I40" s="77"/>
      <c r="J40" s="77"/>
      <c r="K40" s="76">
        <f t="shared" si="33"/>
        <v>8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11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11</v>
      </c>
      <c r="V40" s="2"/>
    </row>
    <row r="41" ht="15.0" customHeight="1">
      <c r="A41" s="74" t="s">
        <v>78</v>
      </c>
      <c r="B41" s="77">
        <v>2188.0</v>
      </c>
      <c r="C41" s="77">
        <v>82.0</v>
      </c>
      <c r="D41" s="77">
        <v>138.0</v>
      </c>
      <c r="E41" s="77"/>
      <c r="F41" s="76">
        <f t="shared" si="32"/>
        <v>2408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2188</v>
      </c>
      <c r="R41" s="77">
        <f t="shared" si="48"/>
        <v>82</v>
      </c>
      <c r="S41" s="77">
        <f t="shared" si="44"/>
        <v>138</v>
      </c>
      <c r="T41" s="77">
        <f t="shared" si="45"/>
        <v>0</v>
      </c>
      <c r="U41" s="78">
        <f t="shared" si="36"/>
        <v>2408</v>
      </c>
      <c r="V41" s="2"/>
    </row>
    <row r="42" ht="15.0" customHeight="1">
      <c r="A42" s="74" t="s">
        <v>79</v>
      </c>
      <c r="B42" s="77">
        <v>108.0</v>
      </c>
      <c r="C42" s="77">
        <v>47.0</v>
      </c>
      <c r="D42" s="77"/>
      <c r="E42" s="77"/>
      <c r="F42" s="76">
        <f t="shared" si="32"/>
        <v>155</v>
      </c>
      <c r="G42" s="77">
        <v>123.0</v>
      </c>
      <c r="H42" s="77">
        <v>33.0</v>
      </c>
      <c r="I42" s="77"/>
      <c r="J42" s="77"/>
      <c r="K42" s="76">
        <f t="shared" si="33"/>
        <v>156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231</v>
      </c>
      <c r="R42" s="77">
        <f t="shared" si="49"/>
        <v>80</v>
      </c>
      <c r="S42" s="77">
        <f t="shared" si="49"/>
        <v>0</v>
      </c>
      <c r="T42" s="77">
        <f t="shared" si="49"/>
        <v>0</v>
      </c>
      <c r="U42" s="78">
        <f t="shared" si="36"/>
        <v>311</v>
      </c>
      <c r="V42" s="2"/>
    </row>
    <row r="43" ht="15.0" customHeight="1">
      <c r="A43" s="74" t="s">
        <v>80</v>
      </c>
      <c r="B43" s="77">
        <v>1651.0</v>
      </c>
      <c r="C43" s="77">
        <v>112.0</v>
      </c>
      <c r="D43" s="77"/>
      <c r="E43" s="77"/>
      <c r="F43" s="76">
        <f t="shared" si="32"/>
        <v>1763</v>
      </c>
      <c r="G43" s="77">
        <v>143.0</v>
      </c>
      <c r="H43" s="77"/>
      <c r="I43" s="77"/>
      <c r="J43" s="77"/>
      <c r="K43" s="76">
        <f t="shared" si="33"/>
        <v>143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1794</v>
      </c>
      <c r="R43" s="77">
        <f t="shared" si="50"/>
        <v>112</v>
      </c>
      <c r="S43" s="77">
        <f t="shared" si="50"/>
        <v>0</v>
      </c>
      <c r="T43" s="77">
        <f t="shared" si="50"/>
        <v>0</v>
      </c>
      <c r="U43" s="78">
        <f t="shared" si="36"/>
        <v>1906</v>
      </c>
      <c r="V43" s="2"/>
    </row>
    <row r="44" ht="15.75" customHeight="1">
      <c r="A44" s="74" t="s">
        <v>81</v>
      </c>
      <c r="B44" s="77">
        <v>259.0</v>
      </c>
      <c r="C44" s="77">
        <v>2779.0</v>
      </c>
      <c r="D44" s="77">
        <v>208.0</v>
      </c>
      <c r="E44" s="77"/>
      <c r="F44" s="76">
        <f t="shared" si="32"/>
        <v>3246</v>
      </c>
      <c r="G44" s="77">
        <v>87.0</v>
      </c>
      <c r="H44" s="77">
        <v>312.0</v>
      </c>
      <c r="I44" s="77"/>
      <c r="J44" s="77">
        <v>28.0</v>
      </c>
      <c r="K44" s="76">
        <f t="shared" si="33"/>
        <v>427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346</v>
      </c>
      <c r="R44" s="77">
        <f t="shared" si="51"/>
        <v>3091</v>
      </c>
      <c r="S44" s="77">
        <f t="shared" si="51"/>
        <v>208</v>
      </c>
      <c r="T44" s="77">
        <f t="shared" si="51"/>
        <v>28</v>
      </c>
      <c r="U44" s="78">
        <f t="shared" si="36"/>
        <v>3673</v>
      </c>
      <c r="V44" s="2"/>
    </row>
    <row r="45" ht="15.75" customHeight="1">
      <c r="A45" s="72" t="s">
        <v>82</v>
      </c>
      <c r="B45" s="73">
        <f t="shared" ref="B45:U45" si="52">SUM(B46:B63)</f>
        <v>9218</v>
      </c>
      <c r="C45" s="73">
        <f t="shared" si="52"/>
        <v>1488</v>
      </c>
      <c r="D45" s="73">
        <f t="shared" si="52"/>
        <v>350</v>
      </c>
      <c r="E45" s="73">
        <f t="shared" si="52"/>
        <v>275</v>
      </c>
      <c r="F45" s="81">
        <f t="shared" si="52"/>
        <v>11331</v>
      </c>
      <c r="G45" s="73">
        <f t="shared" si="52"/>
        <v>4457</v>
      </c>
      <c r="H45" s="73">
        <f t="shared" si="52"/>
        <v>128</v>
      </c>
      <c r="I45" s="73">
        <f t="shared" si="52"/>
        <v>0</v>
      </c>
      <c r="J45" s="73">
        <f t="shared" si="52"/>
        <v>52</v>
      </c>
      <c r="K45" s="81">
        <f t="shared" si="52"/>
        <v>4637</v>
      </c>
      <c r="L45" s="73">
        <f t="shared" si="52"/>
        <v>1153</v>
      </c>
      <c r="M45" s="73">
        <f t="shared" si="52"/>
        <v>1220</v>
      </c>
      <c r="N45" s="73">
        <f t="shared" si="52"/>
        <v>0</v>
      </c>
      <c r="O45" s="73">
        <f t="shared" si="52"/>
        <v>0</v>
      </c>
      <c r="P45" s="81">
        <f t="shared" si="52"/>
        <v>2373</v>
      </c>
      <c r="Q45" s="73">
        <f t="shared" si="52"/>
        <v>14828</v>
      </c>
      <c r="R45" s="73">
        <f t="shared" si="52"/>
        <v>2836</v>
      </c>
      <c r="S45" s="73">
        <f t="shared" si="52"/>
        <v>350</v>
      </c>
      <c r="T45" s="73">
        <f t="shared" si="52"/>
        <v>275</v>
      </c>
      <c r="U45" s="73">
        <f t="shared" si="52"/>
        <v>18289</v>
      </c>
      <c r="V45" s="2"/>
    </row>
    <row r="46" ht="15.0" customHeight="1">
      <c r="A46" s="74" t="s">
        <v>83</v>
      </c>
      <c r="B46" s="75">
        <v>120.0</v>
      </c>
      <c r="C46" s="75">
        <v>120.0</v>
      </c>
      <c r="D46" s="75"/>
      <c r="E46" s="75"/>
      <c r="F46" s="76">
        <f t="shared" ref="F46:F63" si="54">SUM(B46:E46)</f>
        <v>240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>
        <v>90.0</v>
      </c>
      <c r="N46" s="75"/>
      <c r="O46" s="75"/>
      <c r="P46" s="76">
        <f t="shared" ref="P46:P63" si="56">SUM(L46:O46)</f>
        <v>90</v>
      </c>
      <c r="Q46" s="75">
        <f t="shared" ref="Q46:T46" si="53">SUM(B46,G46,L46)</f>
        <v>120</v>
      </c>
      <c r="R46" s="75">
        <f t="shared" si="53"/>
        <v>210</v>
      </c>
      <c r="S46" s="75">
        <f t="shared" si="53"/>
        <v>0</v>
      </c>
      <c r="T46" s="75">
        <f t="shared" si="53"/>
        <v>0</v>
      </c>
      <c r="U46" s="76">
        <f t="shared" ref="U46:U63" si="58">SUM(Q46:T46)</f>
        <v>330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473.0</v>
      </c>
      <c r="C49" s="77">
        <v>15.0</v>
      </c>
      <c r="D49" s="77">
        <v>2.0</v>
      </c>
      <c r="E49" s="77"/>
      <c r="F49" s="76">
        <f t="shared" si="54"/>
        <v>490</v>
      </c>
      <c r="G49" s="77">
        <v>132.0</v>
      </c>
      <c r="H49" s="77"/>
      <c r="I49" s="77"/>
      <c r="J49" s="77"/>
      <c r="K49" s="76">
        <f t="shared" si="55"/>
        <v>132</v>
      </c>
      <c r="L49" s="77">
        <v>65.0</v>
      </c>
      <c r="M49" s="77"/>
      <c r="N49" s="77"/>
      <c r="O49" s="77"/>
      <c r="P49" s="76">
        <f t="shared" si="56"/>
        <v>65</v>
      </c>
      <c r="Q49" s="75">
        <f t="shared" ref="Q49:T49" si="60">SUM(B49,G49,L49)</f>
        <v>670</v>
      </c>
      <c r="R49" s="75">
        <f t="shared" si="60"/>
        <v>15</v>
      </c>
      <c r="S49" s="75">
        <f t="shared" si="60"/>
        <v>2</v>
      </c>
      <c r="T49" s="75">
        <f t="shared" si="60"/>
        <v>0</v>
      </c>
      <c r="U49" s="78">
        <f t="shared" si="58"/>
        <v>687</v>
      </c>
      <c r="V49" s="2"/>
    </row>
    <row r="50" ht="15.0" customHeight="1">
      <c r="A50" s="74" t="s">
        <v>87</v>
      </c>
      <c r="B50" s="77">
        <v>1271.0</v>
      </c>
      <c r="C50" s="77">
        <v>415.0</v>
      </c>
      <c r="D50" s="77">
        <v>98.0</v>
      </c>
      <c r="E50" s="77">
        <v>51.0</v>
      </c>
      <c r="F50" s="76">
        <f t="shared" si="54"/>
        <v>1835</v>
      </c>
      <c r="G50" s="77">
        <v>188.0</v>
      </c>
      <c r="H50" s="77">
        <v>1.0</v>
      </c>
      <c r="I50" s="77"/>
      <c r="J50" s="77"/>
      <c r="K50" s="76">
        <f t="shared" si="55"/>
        <v>189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1459</v>
      </c>
      <c r="R50" s="75">
        <f t="shared" si="61"/>
        <v>416</v>
      </c>
      <c r="S50" s="75">
        <f t="shared" si="61"/>
        <v>98</v>
      </c>
      <c r="T50" s="75">
        <f t="shared" si="61"/>
        <v>51</v>
      </c>
      <c r="U50" s="78">
        <f t="shared" si="58"/>
        <v>2024</v>
      </c>
      <c r="V50" s="2" t="s">
        <v>114</v>
      </c>
    </row>
    <row r="51" ht="15.0" customHeight="1">
      <c r="A51" s="74" t="s">
        <v>88</v>
      </c>
      <c r="B51" s="77"/>
      <c r="C51" s="77"/>
      <c r="D51" s="77"/>
      <c r="E51" s="77"/>
      <c r="F51" s="76">
        <f t="shared" si="54"/>
        <v>0</v>
      </c>
      <c r="G51" s="77"/>
      <c r="H51" s="77"/>
      <c r="I51" s="77"/>
      <c r="J51" s="92">
        <v>52.0</v>
      </c>
      <c r="K51" s="76">
        <f t="shared" si="55"/>
        <v>52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0</v>
      </c>
      <c r="R51" s="75">
        <f t="shared" si="62"/>
        <v>0</v>
      </c>
      <c r="S51" s="75">
        <f t="shared" ref="S51:T51" si="63">SUM(D51,I56,N51)</f>
        <v>0</v>
      </c>
      <c r="T51" s="75">
        <f t="shared" si="63"/>
        <v>0</v>
      </c>
      <c r="U51" s="78">
        <f t="shared" si="58"/>
        <v>0</v>
      </c>
      <c r="V51" s="2"/>
    </row>
    <row r="52" ht="15.0" customHeight="1">
      <c r="A52" s="83" t="s">
        <v>89</v>
      </c>
      <c r="B52" s="84">
        <v>121.0</v>
      </c>
      <c r="C52" s="84"/>
      <c r="D52" s="84"/>
      <c r="E52" s="84"/>
      <c r="F52" s="85">
        <f t="shared" si="54"/>
        <v>121</v>
      </c>
      <c r="G52" s="84">
        <v>127.0</v>
      </c>
      <c r="H52" s="84"/>
      <c r="I52" s="84"/>
      <c r="J52" s="84"/>
      <c r="K52" s="85">
        <f t="shared" si="55"/>
        <v>127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248</v>
      </c>
      <c r="R52" s="86">
        <f t="shared" si="64"/>
        <v>0</v>
      </c>
      <c r="S52" s="86">
        <f t="shared" si="64"/>
        <v>0</v>
      </c>
      <c r="T52" s="86">
        <f t="shared" si="64"/>
        <v>0</v>
      </c>
      <c r="U52" s="87">
        <f t="shared" si="58"/>
        <v>248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1.0</v>
      </c>
      <c r="D53" s="77"/>
      <c r="E53" s="77"/>
      <c r="F53" s="76">
        <f t="shared" si="54"/>
        <v>3</v>
      </c>
      <c r="G53" s="77">
        <v>9.0</v>
      </c>
      <c r="H53" s="77"/>
      <c r="I53" s="77"/>
      <c r="J53" s="77"/>
      <c r="K53" s="76">
        <f t="shared" si="55"/>
        <v>9</v>
      </c>
      <c r="L53" s="77">
        <v>161.0</v>
      </c>
      <c r="M53" s="77"/>
      <c r="N53" s="77"/>
      <c r="O53" s="77"/>
      <c r="P53" s="76">
        <f t="shared" si="56"/>
        <v>161</v>
      </c>
      <c r="Q53" s="75">
        <f t="shared" ref="Q53:T53" si="65">SUM(B53,G53,L53)</f>
        <v>172</v>
      </c>
      <c r="R53" s="75">
        <f t="shared" si="65"/>
        <v>1</v>
      </c>
      <c r="S53" s="86">
        <f t="shared" si="65"/>
        <v>0</v>
      </c>
      <c r="T53" s="86">
        <f t="shared" si="65"/>
        <v>0</v>
      </c>
      <c r="U53" s="78">
        <f t="shared" si="58"/>
        <v>173</v>
      </c>
      <c r="V53" s="2"/>
    </row>
    <row r="54" ht="15.0" customHeight="1">
      <c r="A54" s="74" t="s">
        <v>91</v>
      </c>
      <c r="B54" s="77">
        <v>499.0</v>
      </c>
      <c r="C54" s="77">
        <v>15.0</v>
      </c>
      <c r="D54" s="77"/>
      <c r="E54" s="77"/>
      <c r="F54" s="76">
        <f t="shared" si="54"/>
        <v>514</v>
      </c>
      <c r="G54" s="77">
        <v>75.0</v>
      </c>
      <c r="H54" s="77"/>
      <c r="I54" s="77"/>
      <c r="J54" s="77"/>
      <c r="K54" s="76">
        <f t="shared" si="55"/>
        <v>75</v>
      </c>
      <c r="L54" s="77"/>
      <c r="M54" s="77">
        <v>940.0</v>
      </c>
      <c r="N54" s="77"/>
      <c r="O54" s="77"/>
      <c r="P54" s="76">
        <f t="shared" si="56"/>
        <v>940</v>
      </c>
      <c r="Q54" s="75">
        <f t="shared" ref="Q54:T54" si="66">SUM(B54,G54,L54)</f>
        <v>574</v>
      </c>
      <c r="R54" s="75">
        <f t="shared" si="66"/>
        <v>955</v>
      </c>
      <c r="S54" s="86">
        <f t="shared" si="66"/>
        <v>0</v>
      </c>
      <c r="T54" s="86">
        <f t="shared" si="66"/>
        <v>0</v>
      </c>
      <c r="U54" s="78">
        <f t="shared" si="58"/>
        <v>1529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4.0</v>
      </c>
      <c r="C56" s="77"/>
      <c r="D56" s="77"/>
      <c r="E56" s="77"/>
      <c r="F56" s="76">
        <f t="shared" si="54"/>
        <v>4</v>
      </c>
      <c r="G56" s="77">
        <v>9.0</v>
      </c>
      <c r="H56" s="77"/>
      <c r="I56" s="77"/>
      <c r="J56" s="77"/>
      <c r="K56" s="76">
        <f t="shared" si="55"/>
        <v>9</v>
      </c>
      <c r="L56" s="90">
        <v>228.0</v>
      </c>
      <c r="M56" s="90"/>
      <c r="N56" s="90"/>
      <c r="O56" s="90"/>
      <c r="P56" s="76">
        <f t="shared" si="56"/>
        <v>228</v>
      </c>
      <c r="Q56" s="75">
        <f t="shared" ref="Q56:T56" si="68">SUM(B56,G56,L56)</f>
        <v>241</v>
      </c>
      <c r="R56" s="75">
        <f t="shared" si="68"/>
        <v>0</v>
      </c>
      <c r="S56" s="86">
        <f t="shared" si="68"/>
        <v>0</v>
      </c>
      <c r="T56" s="86">
        <f t="shared" si="68"/>
        <v>0</v>
      </c>
      <c r="U56" s="91">
        <f t="shared" si="58"/>
        <v>241</v>
      </c>
      <c r="V56" s="2"/>
    </row>
    <row r="57" ht="15.0" customHeight="1">
      <c r="A57" s="74" t="s">
        <v>94</v>
      </c>
      <c r="B57" s="77">
        <v>2319.0</v>
      </c>
      <c r="C57" s="77"/>
      <c r="D57" s="77"/>
      <c r="E57" s="77">
        <v>217.0</v>
      </c>
      <c r="F57" s="76">
        <f t="shared" si="54"/>
        <v>2536</v>
      </c>
      <c r="G57" s="77">
        <v>60.0</v>
      </c>
      <c r="H57" s="77"/>
      <c r="I57" s="77"/>
      <c r="J57" s="2"/>
      <c r="K57" s="76">
        <f t="shared" si="55"/>
        <v>60</v>
      </c>
      <c r="L57" s="77">
        <v>150.0</v>
      </c>
      <c r="M57" s="77"/>
      <c r="N57" s="77"/>
      <c r="O57" s="77"/>
      <c r="P57" s="76">
        <f t="shared" si="56"/>
        <v>150</v>
      </c>
      <c r="Q57" s="75">
        <f t="shared" ref="Q57:T57" si="69">SUM(B57,G57,L57)</f>
        <v>2529</v>
      </c>
      <c r="R57" s="75">
        <f t="shared" si="69"/>
        <v>0</v>
      </c>
      <c r="S57" s="86">
        <f t="shared" si="69"/>
        <v>0</v>
      </c>
      <c r="T57" s="86">
        <f t="shared" si="69"/>
        <v>217</v>
      </c>
      <c r="U57" s="91">
        <f t="shared" si="58"/>
        <v>2746</v>
      </c>
      <c r="V57" s="2"/>
    </row>
    <row r="58" ht="15.0" customHeight="1">
      <c r="A58" s="74" t="s">
        <v>95</v>
      </c>
      <c r="B58" s="77">
        <v>45.0</v>
      </c>
      <c r="C58" s="77"/>
      <c r="D58" s="77"/>
      <c r="E58" s="77"/>
      <c r="F58" s="76">
        <f t="shared" si="54"/>
        <v>45</v>
      </c>
      <c r="G58" s="77">
        <v>5.0</v>
      </c>
      <c r="H58" s="77">
        <v>1.0</v>
      </c>
      <c r="I58" s="77"/>
      <c r="J58" s="77"/>
      <c r="K58" s="76">
        <f t="shared" si="55"/>
        <v>6</v>
      </c>
      <c r="L58" s="77">
        <v>49.0</v>
      </c>
      <c r="M58" s="77">
        <v>89.0</v>
      </c>
      <c r="N58" s="77"/>
      <c r="O58" s="77"/>
      <c r="P58" s="76">
        <f t="shared" si="56"/>
        <v>138</v>
      </c>
      <c r="Q58" s="75">
        <f t="shared" ref="Q58:T58" si="70">SUM(B58,G58,L58)</f>
        <v>99</v>
      </c>
      <c r="R58" s="75">
        <f t="shared" si="70"/>
        <v>90</v>
      </c>
      <c r="S58" s="75">
        <f t="shared" si="70"/>
        <v>0</v>
      </c>
      <c r="T58" s="86">
        <f t="shared" si="70"/>
        <v>0</v>
      </c>
      <c r="U58" s="91">
        <f t="shared" si="58"/>
        <v>189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>
        <v>2225.0</v>
      </c>
      <c r="C60" s="77">
        <v>669.0</v>
      </c>
      <c r="D60" s="77">
        <v>250.0</v>
      </c>
      <c r="E60" s="77"/>
      <c r="F60" s="76">
        <f t="shared" si="54"/>
        <v>3144</v>
      </c>
      <c r="G60" s="77">
        <v>1769.0</v>
      </c>
      <c r="H60" s="77">
        <v>126.0</v>
      </c>
      <c r="I60" s="77"/>
      <c r="J60" s="77"/>
      <c r="K60" s="76">
        <f t="shared" si="55"/>
        <v>1895</v>
      </c>
      <c r="L60" s="77"/>
      <c r="M60" s="77"/>
      <c r="N60" s="77"/>
      <c r="O60" s="77"/>
      <c r="P60" s="76">
        <f t="shared" si="56"/>
        <v>0</v>
      </c>
      <c r="Q60" s="75">
        <f t="shared" ref="Q60:T60" si="72">SUM(B60,G60,L60)</f>
        <v>3994</v>
      </c>
      <c r="R60" s="75">
        <f t="shared" si="72"/>
        <v>795</v>
      </c>
      <c r="S60" s="75">
        <f t="shared" si="72"/>
        <v>250</v>
      </c>
      <c r="T60" s="75">
        <f t="shared" si="72"/>
        <v>0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285.0</v>
      </c>
      <c r="C61" s="80"/>
      <c r="D61" s="80"/>
      <c r="E61" s="80"/>
      <c r="F61" s="76">
        <f t="shared" si="54"/>
        <v>285</v>
      </c>
      <c r="G61" s="77">
        <v>570.0</v>
      </c>
      <c r="H61" s="77"/>
      <c r="I61" s="77"/>
      <c r="J61" s="77"/>
      <c r="K61" s="76">
        <f t="shared" si="55"/>
        <v>570</v>
      </c>
      <c r="L61" s="77">
        <v>10.0</v>
      </c>
      <c r="M61" s="77">
        <v>101.0</v>
      </c>
      <c r="N61" s="77"/>
      <c r="O61" s="77"/>
      <c r="P61" s="76">
        <f t="shared" si="56"/>
        <v>111</v>
      </c>
      <c r="Q61" s="75">
        <f t="shared" ref="Q61:T61" si="73">SUM(B61,G61,L61)</f>
        <v>865</v>
      </c>
      <c r="R61" s="75">
        <f t="shared" si="73"/>
        <v>101</v>
      </c>
      <c r="S61" s="75">
        <f t="shared" si="73"/>
        <v>0</v>
      </c>
      <c r="T61" s="75">
        <f t="shared" si="73"/>
        <v>0</v>
      </c>
      <c r="U61" s="78">
        <f t="shared" si="58"/>
        <v>966</v>
      </c>
      <c r="V61" s="2"/>
    </row>
    <row r="62" ht="15.0" customHeight="1">
      <c r="A62" s="74" t="s">
        <v>97</v>
      </c>
      <c r="B62" s="77">
        <v>584.0</v>
      </c>
      <c r="C62" s="77">
        <v>30.0</v>
      </c>
      <c r="D62" s="77"/>
      <c r="E62" s="77"/>
      <c r="F62" s="76">
        <f t="shared" si="54"/>
        <v>614</v>
      </c>
      <c r="G62" s="77">
        <v>73.0</v>
      </c>
      <c r="H62" s="77"/>
      <c r="I62" s="77"/>
      <c r="J62" s="77"/>
      <c r="K62" s="76">
        <f t="shared" si="55"/>
        <v>73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657</v>
      </c>
      <c r="R62" s="75">
        <f t="shared" si="74"/>
        <v>30</v>
      </c>
      <c r="S62" s="75">
        <f t="shared" si="74"/>
        <v>0</v>
      </c>
      <c r="T62" s="75">
        <f t="shared" si="74"/>
        <v>0</v>
      </c>
      <c r="U62" s="78">
        <f t="shared" si="58"/>
        <v>687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532</v>
      </c>
      <c r="C64" s="73">
        <f t="shared" ref="C64:K64" si="76">SUM(C65:C78)</f>
        <v>0</v>
      </c>
      <c r="D64" s="73">
        <f t="shared" si="76"/>
        <v>0</v>
      </c>
      <c r="E64" s="73">
        <f t="shared" si="76"/>
        <v>0</v>
      </c>
      <c r="F64" s="73">
        <f t="shared" si="76"/>
        <v>532</v>
      </c>
      <c r="G64" s="73">
        <f t="shared" si="76"/>
        <v>272</v>
      </c>
      <c r="H64" s="73">
        <f t="shared" si="76"/>
        <v>0</v>
      </c>
      <c r="I64" s="73">
        <f t="shared" si="76"/>
        <v>0</v>
      </c>
      <c r="J64" s="73">
        <f t="shared" si="76"/>
        <v>0</v>
      </c>
      <c r="K64" s="73">
        <f t="shared" si="76"/>
        <v>272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804</v>
      </c>
      <c r="R64" s="73">
        <f t="shared" si="77"/>
        <v>0</v>
      </c>
      <c r="S64" s="73">
        <f t="shared" si="77"/>
        <v>0</v>
      </c>
      <c r="T64" s="73">
        <f t="shared" si="77"/>
        <v>0</v>
      </c>
      <c r="U64" s="73">
        <f t="shared" si="77"/>
        <v>804</v>
      </c>
      <c r="V64" s="2"/>
    </row>
    <row r="65" ht="15.0" customHeight="1">
      <c r="A65" s="74" t="s">
        <v>100</v>
      </c>
      <c r="B65" s="75">
        <v>48.0</v>
      </c>
      <c r="C65" s="75"/>
      <c r="D65" s="75"/>
      <c r="E65" s="75"/>
      <c r="F65" s="76">
        <f t="shared" ref="F65:F79" si="79">SUM(B65:E65)</f>
        <v>48</v>
      </c>
      <c r="G65" s="75">
        <v>9.0</v>
      </c>
      <c r="H65" s="75"/>
      <c r="I65" s="75"/>
      <c r="J65" s="75"/>
      <c r="K65" s="76">
        <f t="shared" ref="K65:K79" si="80">SUM(G65:J65)</f>
        <v>9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57</v>
      </c>
      <c r="R65" s="75">
        <f t="shared" si="78"/>
        <v>0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57</v>
      </c>
      <c r="V65" s="2"/>
    </row>
    <row r="66" ht="15.0" customHeight="1">
      <c r="A66" s="74" t="s">
        <v>101</v>
      </c>
      <c r="B66" s="77">
        <v>20.0</v>
      </c>
      <c r="C66" s="77"/>
      <c r="D66" s="77"/>
      <c r="E66" s="77"/>
      <c r="F66" s="76">
        <f t="shared" si="79"/>
        <v>20</v>
      </c>
      <c r="G66" s="77">
        <v>8.0</v>
      </c>
      <c r="H66" s="77"/>
      <c r="I66" s="77"/>
      <c r="J66" s="77"/>
      <c r="K66" s="76">
        <f t="shared" si="80"/>
        <v>8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28</v>
      </c>
      <c r="R66" s="75">
        <f t="shared" si="82"/>
        <v>0</v>
      </c>
      <c r="S66" s="75">
        <f t="shared" si="82"/>
        <v>0</v>
      </c>
      <c r="T66" s="75">
        <f t="shared" si="82"/>
        <v>0</v>
      </c>
      <c r="U66" s="76">
        <f t="shared" si="83"/>
        <v>28</v>
      </c>
      <c r="V66" s="2"/>
    </row>
    <row r="67" ht="15.0" customHeight="1">
      <c r="A67" s="74" t="s">
        <v>102</v>
      </c>
      <c r="B67" s="77">
        <v>12.0</v>
      </c>
      <c r="C67" s="77"/>
      <c r="D67" s="77"/>
      <c r="E67" s="77"/>
      <c r="F67" s="76">
        <f t="shared" si="79"/>
        <v>12</v>
      </c>
      <c r="G67" s="77">
        <v>3.0</v>
      </c>
      <c r="H67" s="77"/>
      <c r="I67" s="77"/>
      <c r="J67" s="77"/>
      <c r="K67" s="76">
        <f t="shared" si="80"/>
        <v>3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15</v>
      </c>
      <c r="R67" s="75">
        <f t="shared" si="84"/>
        <v>0</v>
      </c>
      <c r="S67" s="75">
        <f t="shared" si="84"/>
        <v>0</v>
      </c>
      <c r="T67" s="75">
        <f t="shared" si="84"/>
        <v>0</v>
      </c>
      <c r="U67" s="76">
        <f t="shared" si="83"/>
        <v>15</v>
      </c>
      <c r="V67" s="2"/>
    </row>
    <row r="68" ht="15.0" customHeight="1">
      <c r="A68" s="74" t="s">
        <v>103</v>
      </c>
      <c r="B68" s="77">
        <v>11.0</v>
      </c>
      <c r="C68" s="77"/>
      <c r="D68" s="77"/>
      <c r="E68" s="77"/>
      <c r="F68" s="76">
        <f t="shared" si="79"/>
        <v>11</v>
      </c>
      <c r="G68" s="77"/>
      <c r="H68" s="77"/>
      <c r="I68" s="77"/>
      <c r="J68" s="77"/>
      <c r="K68" s="76">
        <f t="shared" si="80"/>
        <v>0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11</v>
      </c>
      <c r="R68" s="75">
        <f t="shared" si="85"/>
        <v>0</v>
      </c>
      <c r="S68" s="75">
        <f t="shared" si="85"/>
        <v>0</v>
      </c>
      <c r="T68" s="75">
        <f t="shared" si="85"/>
        <v>0</v>
      </c>
      <c r="U68" s="76">
        <f t="shared" si="83"/>
        <v>11</v>
      </c>
      <c r="V68" s="2"/>
    </row>
    <row r="69" ht="15.0" customHeight="1">
      <c r="A69" s="74" t="s">
        <v>59</v>
      </c>
      <c r="B69" s="77">
        <v>40.0</v>
      </c>
      <c r="C69" s="77"/>
      <c r="D69" s="77"/>
      <c r="E69" s="77"/>
      <c r="F69" s="76">
        <f t="shared" si="79"/>
        <v>40</v>
      </c>
      <c r="G69" s="77">
        <v>15.0</v>
      </c>
      <c r="H69" s="77"/>
      <c r="I69" s="77"/>
      <c r="J69" s="77"/>
      <c r="K69" s="76">
        <f t="shared" si="80"/>
        <v>15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55</v>
      </c>
      <c r="R69" s="75">
        <f t="shared" si="86"/>
        <v>0</v>
      </c>
      <c r="S69" s="75">
        <f t="shared" si="86"/>
        <v>0</v>
      </c>
      <c r="T69" s="75">
        <f t="shared" si="86"/>
        <v>0</v>
      </c>
      <c r="U69" s="76">
        <f t="shared" si="83"/>
        <v>55</v>
      </c>
      <c r="V69" s="2"/>
    </row>
    <row r="70" ht="15.0" customHeight="1">
      <c r="A70" s="74" t="s">
        <v>104</v>
      </c>
      <c r="B70" s="77">
        <v>61.0</v>
      </c>
      <c r="C70" s="77"/>
      <c r="D70" s="77"/>
      <c r="E70" s="77"/>
      <c r="F70" s="76">
        <f t="shared" si="79"/>
        <v>61</v>
      </c>
      <c r="G70" s="77">
        <v>12.0</v>
      </c>
      <c r="H70" s="77"/>
      <c r="I70" s="77"/>
      <c r="J70" s="77"/>
      <c r="K70" s="76">
        <f t="shared" si="80"/>
        <v>12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73</v>
      </c>
      <c r="R70" s="75">
        <f t="shared" si="87"/>
        <v>0</v>
      </c>
      <c r="S70" s="75">
        <f t="shared" si="87"/>
        <v>0</v>
      </c>
      <c r="T70" s="75">
        <f t="shared" si="87"/>
        <v>0</v>
      </c>
      <c r="U70" s="76">
        <f t="shared" si="83"/>
        <v>73</v>
      </c>
      <c r="V70" s="2"/>
    </row>
    <row r="71" ht="15.0" customHeight="1">
      <c r="A71" s="74" t="s">
        <v>105</v>
      </c>
      <c r="B71" s="77">
        <v>119.0</v>
      </c>
      <c r="C71" s="77"/>
      <c r="D71" s="77"/>
      <c r="E71" s="77"/>
      <c r="F71" s="76">
        <f t="shared" si="79"/>
        <v>119</v>
      </c>
      <c r="G71" s="77">
        <v>81.0</v>
      </c>
      <c r="H71" s="77"/>
      <c r="I71" s="77"/>
      <c r="J71" s="77"/>
      <c r="K71" s="76">
        <f t="shared" si="80"/>
        <v>81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200</v>
      </c>
      <c r="R71" s="75">
        <f t="shared" si="88"/>
        <v>0</v>
      </c>
      <c r="S71" s="75">
        <f t="shared" si="88"/>
        <v>0</v>
      </c>
      <c r="T71" s="75">
        <f t="shared" si="88"/>
        <v>0</v>
      </c>
      <c r="U71" s="76">
        <f t="shared" si="83"/>
        <v>200</v>
      </c>
      <c r="V71" s="2"/>
    </row>
    <row r="72" ht="15.0" customHeight="1">
      <c r="A72" s="74" t="s">
        <v>106</v>
      </c>
      <c r="B72" s="90">
        <v>35.0</v>
      </c>
      <c r="C72" s="90"/>
      <c r="D72" s="90"/>
      <c r="E72" s="90"/>
      <c r="F72" s="76">
        <f t="shared" si="79"/>
        <v>35</v>
      </c>
      <c r="G72" s="90">
        <v>8.0</v>
      </c>
      <c r="H72" s="90"/>
      <c r="I72" s="90"/>
      <c r="J72" s="90"/>
      <c r="K72" s="76">
        <f t="shared" si="80"/>
        <v>8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43</v>
      </c>
      <c r="R72" s="75">
        <f t="shared" si="89"/>
        <v>0</v>
      </c>
      <c r="S72" s="75">
        <f t="shared" si="89"/>
        <v>0</v>
      </c>
      <c r="T72" s="75">
        <f t="shared" si="89"/>
        <v>0</v>
      </c>
      <c r="U72" s="76">
        <f t="shared" si="83"/>
        <v>43</v>
      </c>
      <c r="V72" s="2"/>
    </row>
    <row r="73" ht="15.0" customHeight="1">
      <c r="A73" s="74" t="s">
        <v>107</v>
      </c>
      <c r="B73" s="77">
        <v>10.0</v>
      </c>
      <c r="C73" s="77"/>
      <c r="D73" s="77"/>
      <c r="E73" s="77"/>
      <c r="F73" s="76">
        <f t="shared" si="79"/>
        <v>10</v>
      </c>
      <c r="G73" s="77"/>
      <c r="H73" s="77"/>
      <c r="I73" s="77"/>
      <c r="J73" s="77"/>
      <c r="K73" s="76">
        <f t="shared" si="80"/>
        <v>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10</v>
      </c>
      <c r="R73" s="75">
        <f t="shared" si="90"/>
        <v>0</v>
      </c>
      <c r="S73" s="75">
        <f t="shared" si="90"/>
        <v>0</v>
      </c>
      <c r="T73" s="75">
        <f t="shared" si="90"/>
        <v>0</v>
      </c>
      <c r="U73" s="76">
        <f t="shared" si="83"/>
        <v>10</v>
      </c>
      <c r="V73" s="2"/>
    </row>
    <row r="74" ht="15.0" customHeight="1">
      <c r="A74" s="74" t="s">
        <v>108</v>
      </c>
      <c r="B74" s="77">
        <v>76.0</v>
      </c>
      <c r="C74" s="77"/>
      <c r="D74" s="77"/>
      <c r="E74" s="77"/>
      <c r="F74" s="76">
        <f t="shared" si="79"/>
        <v>76</v>
      </c>
      <c r="G74" s="77">
        <v>79.0</v>
      </c>
      <c r="H74" s="77"/>
      <c r="I74" s="77"/>
      <c r="J74" s="77"/>
      <c r="K74" s="76">
        <f t="shared" si="80"/>
        <v>79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155</v>
      </c>
      <c r="R74" s="75">
        <f t="shared" si="91"/>
        <v>0</v>
      </c>
      <c r="S74" s="75">
        <f t="shared" si="91"/>
        <v>0</v>
      </c>
      <c r="T74" s="75">
        <f t="shared" si="91"/>
        <v>0</v>
      </c>
      <c r="U74" s="76">
        <f t="shared" si="83"/>
        <v>155</v>
      </c>
      <c r="V74" s="2"/>
    </row>
    <row r="75" ht="15.0" customHeight="1">
      <c r="A75" s="74" t="s">
        <v>109</v>
      </c>
      <c r="B75" s="77">
        <v>53.0</v>
      </c>
      <c r="C75" s="77"/>
      <c r="D75" s="77"/>
      <c r="E75" s="77"/>
      <c r="F75" s="76">
        <f t="shared" si="79"/>
        <v>53</v>
      </c>
      <c r="G75" s="77">
        <v>2.0</v>
      </c>
      <c r="H75" s="77"/>
      <c r="I75" s="77"/>
      <c r="J75" s="77"/>
      <c r="K75" s="76">
        <f t="shared" si="80"/>
        <v>2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55</v>
      </c>
      <c r="R75" s="75">
        <f t="shared" si="92"/>
        <v>0</v>
      </c>
      <c r="S75" s="75">
        <f t="shared" si="92"/>
        <v>0</v>
      </c>
      <c r="T75" s="75">
        <f t="shared" si="92"/>
        <v>0</v>
      </c>
      <c r="U75" s="76">
        <f t="shared" si="83"/>
        <v>55</v>
      </c>
      <c r="V75" s="2"/>
    </row>
    <row r="76" ht="15.0" customHeight="1">
      <c r="A76" s="74" t="s">
        <v>65</v>
      </c>
      <c r="B76" s="77">
        <v>12.0</v>
      </c>
      <c r="C76" s="77"/>
      <c r="D76" s="77"/>
      <c r="E76" s="77"/>
      <c r="F76" s="76">
        <f t="shared" si="79"/>
        <v>12</v>
      </c>
      <c r="G76" s="77"/>
      <c r="H76" s="77"/>
      <c r="I76" s="77"/>
      <c r="J76" s="77"/>
      <c r="K76" s="76">
        <f t="shared" si="80"/>
        <v>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12</v>
      </c>
      <c r="R76" s="75">
        <f t="shared" si="93"/>
        <v>0</v>
      </c>
      <c r="S76" s="75">
        <f t="shared" si="93"/>
        <v>0</v>
      </c>
      <c r="T76" s="75">
        <f t="shared" si="93"/>
        <v>0</v>
      </c>
      <c r="U76" s="76">
        <f t="shared" si="83"/>
        <v>12</v>
      </c>
      <c r="V76" s="2"/>
    </row>
    <row r="77" ht="15.0" customHeight="1">
      <c r="A77" s="74" t="s">
        <v>110</v>
      </c>
      <c r="B77" s="77">
        <v>28.0</v>
      </c>
      <c r="C77" s="77"/>
      <c r="D77" s="77"/>
      <c r="E77" s="77"/>
      <c r="F77" s="76">
        <f t="shared" si="79"/>
        <v>28</v>
      </c>
      <c r="G77" s="77">
        <v>55.0</v>
      </c>
      <c r="H77" s="77"/>
      <c r="I77" s="77"/>
      <c r="J77" s="77"/>
      <c r="K77" s="76">
        <f t="shared" si="80"/>
        <v>55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83</v>
      </c>
      <c r="R77" s="75">
        <f t="shared" si="94"/>
        <v>0</v>
      </c>
      <c r="S77" s="75">
        <f t="shared" si="94"/>
        <v>0</v>
      </c>
      <c r="T77" s="75">
        <f t="shared" si="94"/>
        <v>0</v>
      </c>
      <c r="U77" s="76">
        <f t="shared" si="83"/>
        <v>83</v>
      </c>
      <c r="V77" s="2"/>
    </row>
    <row r="78" ht="15.0" customHeight="1">
      <c r="A78" s="74" t="s">
        <v>111</v>
      </c>
      <c r="B78" s="77">
        <v>7.0</v>
      </c>
      <c r="C78" s="77"/>
      <c r="D78" s="77"/>
      <c r="E78" s="77"/>
      <c r="F78" s="76">
        <f t="shared" si="79"/>
        <v>7</v>
      </c>
      <c r="G78" s="77"/>
      <c r="H78" s="77"/>
      <c r="I78" s="77"/>
      <c r="J78" s="77"/>
      <c r="K78" s="76">
        <f t="shared" si="80"/>
        <v>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7</v>
      </c>
      <c r="R78" s="75">
        <f t="shared" si="95"/>
        <v>0</v>
      </c>
      <c r="S78" s="75">
        <f t="shared" si="95"/>
        <v>0</v>
      </c>
      <c r="T78" s="75">
        <f t="shared" si="95"/>
        <v>0</v>
      </c>
      <c r="U78" s="76">
        <f t="shared" si="83"/>
        <v>7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/>
      <c r="H79" s="77"/>
      <c r="I79" s="77"/>
      <c r="J79" s="77"/>
      <c r="K79" s="76">
        <f t="shared" si="80"/>
        <v>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35506</v>
      </c>
      <c r="C9" s="70">
        <f t="shared" si="1"/>
        <v>18392</v>
      </c>
      <c r="D9" s="70">
        <f t="shared" si="1"/>
        <v>2512</v>
      </c>
      <c r="E9" s="70">
        <f t="shared" si="1"/>
        <v>225</v>
      </c>
      <c r="F9" s="71">
        <f t="shared" si="1"/>
        <v>56635</v>
      </c>
      <c r="G9" s="70">
        <f t="shared" si="1"/>
        <v>9457</v>
      </c>
      <c r="H9" s="70">
        <f t="shared" si="1"/>
        <v>1950</v>
      </c>
      <c r="I9" s="70">
        <f t="shared" si="1"/>
        <v>812</v>
      </c>
      <c r="J9" s="70">
        <f t="shared" si="1"/>
        <v>80</v>
      </c>
      <c r="K9" s="71">
        <f t="shared" si="1"/>
        <v>12299</v>
      </c>
      <c r="L9" s="70">
        <f t="shared" si="1"/>
        <v>1547</v>
      </c>
      <c r="M9" s="70">
        <f t="shared" si="1"/>
        <v>1671</v>
      </c>
      <c r="N9" s="70">
        <f t="shared" si="1"/>
        <v>0</v>
      </c>
      <c r="O9" s="70">
        <f t="shared" si="1"/>
        <v>0</v>
      </c>
      <c r="P9" s="71">
        <f t="shared" si="1"/>
        <v>3218</v>
      </c>
      <c r="Q9" s="70">
        <f t="shared" si="1"/>
        <v>46510</v>
      </c>
      <c r="R9" s="70">
        <f t="shared" si="1"/>
        <v>22013</v>
      </c>
      <c r="S9" s="70">
        <f t="shared" si="1"/>
        <v>3324</v>
      </c>
      <c r="T9" s="70">
        <f t="shared" si="1"/>
        <v>253</v>
      </c>
      <c r="U9" s="71">
        <f t="shared" si="1"/>
        <v>72100</v>
      </c>
      <c r="V9" s="2"/>
    </row>
    <row r="10" ht="15.75" customHeight="1">
      <c r="A10" s="72" t="s">
        <v>49</v>
      </c>
      <c r="B10" s="73">
        <f t="shared" ref="B10:U10" si="2">SUM(B11:B16)</f>
        <v>296</v>
      </c>
      <c r="C10" s="73">
        <f t="shared" si="2"/>
        <v>106</v>
      </c>
      <c r="D10" s="73">
        <f t="shared" si="2"/>
        <v>5</v>
      </c>
      <c r="E10" s="73">
        <f t="shared" si="2"/>
        <v>1</v>
      </c>
      <c r="F10" s="73">
        <f t="shared" si="2"/>
        <v>408</v>
      </c>
      <c r="G10" s="73">
        <f t="shared" si="2"/>
        <v>131</v>
      </c>
      <c r="H10" s="73">
        <f t="shared" si="2"/>
        <v>2</v>
      </c>
      <c r="I10" s="73">
        <f t="shared" si="2"/>
        <v>0</v>
      </c>
      <c r="J10" s="73">
        <f t="shared" si="2"/>
        <v>0</v>
      </c>
      <c r="K10" s="73">
        <f t="shared" si="2"/>
        <v>133</v>
      </c>
      <c r="L10" s="73">
        <f t="shared" si="2"/>
        <v>6</v>
      </c>
      <c r="M10" s="73">
        <f t="shared" si="2"/>
        <v>101</v>
      </c>
      <c r="N10" s="73">
        <f t="shared" si="2"/>
        <v>0</v>
      </c>
      <c r="O10" s="73">
        <f t="shared" si="2"/>
        <v>0</v>
      </c>
      <c r="P10" s="73">
        <f t="shared" si="2"/>
        <v>107</v>
      </c>
      <c r="Q10" s="73">
        <f t="shared" si="2"/>
        <v>433</v>
      </c>
      <c r="R10" s="73">
        <f t="shared" si="2"/>
        <v>209</v>
      </c>
      <c r="S10" s="73">
        <f t="shared" si="2"/>
        <v>5</v>
      </c>
      <c r="T10" s="73">
        <f t="shared" si="2"/>
        <v>1</v>
      </c>
      <c r="U10" s="73">
        <f t="shared" si="2"/>
        <v>648</v>
      </c>
      <c r="V10" s="2"/>
    </row>
    <row r="11" ht="15.0" customHeight="1">
      <c r="A11" s="74" t="s">
        <v>50</v>
      </c>
      <c r="B11" s="75">
        <v>164.0</v>
      </c>
      <c r="C11" s="75">
        <v>3.0</v>
      </c>
      <c r="D11" s="75"/>
      <c r="E11" s="75"/>
      <c r="F11" s="76">
        <f t="shared" ref="F11:F16" si="4">SUM(B11:E11)</f>
        <v>167</v>
      </c>
      <c r="G11" s="75">
        <v>21.0</v>
      </c>
      <c r="H11" s="75"/>
      <c r="I11" s="75"/>
      <c r="J11" s="75"/>
      <c r="K11" s="76">
        <f t="shared" ref="K11:K16" si="5">SUM(G11:J11)</f>
        <v>21</v>
      </c>
      <c r="L11" s="75"/>
      <c r="M11" s="75">
        <v>75.0</v>
      </c>
      <c r="N11" s="75"/>
      <c r="O11" s="75"/>
      <c r="P11" s="76">
        <f t="shared" ref="P11:P16" si="6">SUM(L11:O11)</f>
        <v>75</v>
      </c>
      <c r="Q11" s="75">
        <f t="shared" ref="Q11:T11" si="3">SUM(B11,G11,L11)</f>
        <v>185</v>
      </c>
      <c r="R11" s="75">
        <f t="shared" si="3"/>
        <v>78</v>
      </c>
      <c r="S11" s="75">
        <f t="shared" si="3"/>
        <v>0</v>
      </c>
      <c r="T11" s="75">
        <f t="shared" si="3"/>
        <v>0</v>
      </c>
      <c r="U11" s="76">
        <f t="shared" ref="U11:U16" si="8">SUM(Q11:T11)</f>
        <v>263</v>
      </c>
      <c r="V11" s="2"/>
    </row>
    <row r="12" ht="15.0" customHeight="1">
      <c r="A12" s="74" t="s">
        <v>51</v>
      </c>
      <c r="B12" s="77">
        <v>2.0</v>
      </c>
      <c r="C12" s="77">
        <v>2.0</v>
      </c>
      <c r="D12" s="77"/>
      <c r="E12" s="77"/>
      <c r="F12" s="78">
        <f t="shared" si="4"/>
        <v>4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2</v>
      </c>
      <c r="R12" s="77">
        <f t="shared" si="7"/>
        <v>2</v>
      </c>
      <c r="S12" s="77">
        <f t="shared" si="7"/>
        <v>0</v>
      </c>
      <c r="T12" s="77">
        <f t="shared" si="7"/>
        <v>0</v>
      </c>
      <c r="U12" s="78">
        <f t="shared" si="8"/>
        <v>4</v>
      </c>
      <c r="V12" s="2"/>
    </row>
    <row r="13" ht="15.0" customHeight="1">
      <c r="A13" s="74" t="s">
        <v>52</v>
      </c>
      <c r="B13" s="77">
        <v>9.0</v>
      </c>
      <c r="C13" s="77">
        <v>3.0</v>
      </c>
      <c r="D13" s="77"/>
      <c r="E13" s="77"/>
      <c r="F13" s="78">
        <f t="shared" si="4"/>
        <v>12</v>
      </c>
      <c r="G13" s="77"/>
      <c r="H13" s="77">
        <v>2.0</v>
      </c>
      <c r="I13" s="77"/>
      <c r="J13" s="77"/>
      <c r="K13" s="78">
        <f t="shared" si="5"/>
        <v>2</v>
      </c>
      <c r="L13" s="77"/>
      <c r="M13" s="77">
        <v>26.0</v>
      </c>
      <c r="N13" s="77"/>
      <c r="O13" s="77"/>
      <c r="P13" s="78">
        <f t="shared" si="6"/>
        <v>26</v>
      </c>
      <c r="Q13" s="77">
        <f t="shared" ref="Q13:T13" si="9">SUM(B13,G13,L13)</f>
        <v>9</v>
      </c>
      <c r="R13" s="77">
        <f t="shared" si="9"/>
        <v>31</v>
      </c>
      <c r="S13" s="77">
        <f t="shared" si="9"/>
        <v>0</v>
      </c>
      <c r="T13" s="77">
        <f t="shared" si="9"/>
        <v>0</v>
      </c>
      <c r="U13" s="78">
        <f t="shared" si="8"/>
        <v>40</v>
      </c>
      <c r="V13" s="2"/>
    </row>
    <row r="14" ht="15.0" customHeight="1">
      <c r="A14" s="74" t="s">
        <v>53</v>
      </c>
      <c r="B14" s="77">
        <v>12.0</v>
      </c>
      <c r="C14" s="77"/>
      <c r="D14" s="77"/>
      <c r="E14" s="77"/>
      <c r="F14" s="78">
        <f t="shared" si="4"/>
        <v>12</v>
      </c>
      <c r="G14" s="77">
        <v>38.0</v>
      </c>
      <c r="H14" s="77"/>
      <c r="I14" s="77"/>
      <c r="J14" s="77"/>
      <c r="K14" s="78">
        <f t="shared" si="5"/>
        <v>38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50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50</v>
      </c>
      <c r="V14" s="2"/>
    </row>
    <row r="15" ht="15.0" customHeight="1">
      <c r="A15" s="74" t="s">
        <v>54</v>
      </c>
      <c r="B15" s="77">
        <v>99.0</v>
      </c>
      <c r="C15" s="77">
        <v>98.0</v>
      </c>
      <c r="D15" s="77">
        <v>5.0</v>
      </c>
      <c r="E15" s="77">
        <v>1.0</v>
      </c>
      <c r="F15" s="78">
        <f t="shared" si="4"/>
        <v>203</v>
      </c>
      <c r="G15" s="77">
        <v>70.0</v>
      </c>
      <c r="H15" s="77"/>
      <c r="I15" s="77"/>
      <c r="J15" s="77"/>
      <c r="K15" s="78">
        <f t="shared" si="5"/>
        <v>70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169</v>
      </c>
      <c r="R15" s="77">
        <f t="shared" si="11"/>
        <v>98</v>
      </c>
      <c r="S15" s="77">
        <f t="shared" si="11"/>
        <v>5</v>
      </c>
      <c r="T15" s="77">
        <f t="shared" si="11"/>
        <v>1</v>
      </c>
      <c r="U15" s="78">
        <f t="shared" si="8"/>
        <v>273</v>
      </c>
      <c r="V15" s="2"/>
    </row>
    <row r="16" ht="15.75" customHeight="1">
      <c r="A16" s="74" t="s">
        <v>55</v>
      </c>
      <c r="B16" s="77">
        <v>10.0</v>
      </c>
      <c r="C16" s="77"/>
      <c r="D16" s="77"/>
      <c r="E16" s="77"/>
      <c r="F16" s="78">
        <f t="shared" si="4"/>
        <v>10</v>
      </c>
      <c r="G16" s="77">
        <v>2.0</v>
      </c>
      <c r="H16" s="77"/>
      <c r="I16" s="77"/>
      <c r="J16" s="77"/>
      <c r="K16" s="78">
        <f t="shared" si="5"/>
        <v>2</v>
      </c>
      <c r="L16" s="77">
        <v>6.0</v>
      </c>
      <c r="M16" s="77"/>
      <c r="N16" s="77"/>
      <c r="O16" s="77"/>
      <c r="P16" s="78">
        <f t="shared" si="6"/>
        <v>6</v>
      </c>
      <c r="Q16" s="77">
        <f t="shared" ref="Q16:T16" si="12">SUM(B16,G16,L16)</f>
        <v>18</v>
      </c>
      <c r="R16" s="77">
        <f t="shared" si="12"/>
        <v>0</v>
      </c>
      <c r="S16" s="77">
        <f t="shared" si="12"/>
        <v>0</v>
      </c>
      <c r="T16" s="77">
        <f t="shared" si="12"/>
        <v>0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5232</v>
      </c>
      <c r="C17" s="73">
        <f t="shared" si="13"/>
        <v>1297</v>
      </c>
      <c r="D17" s="73">
        <f t="shared" si="13"/>
        <v>548</v>
      </c>
      <c r="E17" s="73">
        <f t="shared" si="13"/>
        <v>0</v>
      </c>
      <c r="F17" s="73">
        <f t="shared" si="13"/>
        <v>7077</v>
      </c>
      <c r="G17" s="73">
        <f t="shared" si="13"/>
        <v>2286</v>
      </c>
      <c r="H17" s="73">
        <f t="shared" si="13"/>
        <v>791</v>
      </c>
      <c r="I17" s="73">
        <f t="shared" si="13"/>
        <v>0</v>
      </c>
      <c r="J17" s="73">
        <f t="shared" si="13"/>
        <v>0</v>
      </c>
      <c r="K17" s="73">
        <f t="shared" si="13"/>
        <v>3077</v>
      </c>
      <c r="L17" s="73">
        <f t="shared" si="13"/>
        <v>388</v>
      </c>
      <c r="M17" s="73">
        <f t="shared" si="13"/>
        <v>272</v>
      </c>
      <c r="N17" s="73">
        <f t="shared" si="13"/>
        <v>0</v>
      </c>
      <c r="O17" s="73">
        <f t="shared" si="13"/>
        <v>0</v>
      </c>
      <c r="P17" s="73">
        <f t="shared" si="13"/>
        <v>660</v>
      </c>
      <c r="Q17" s="73">
        <f t="shared" si="13"/>
        <v>7906</v>
      </c>
      <c r="R17" s="73">
        <f>R18+R19+R20+R21+R22+R23+R24+R25+R26+R27+R28</f>
        <v>2360</v>
      </c>
      <c r="S17" s="73">
        <f t="shared" ref="S17:U17" si="14">SUM(S18:S28)</f>
        <v>548</v>
      </c>
      <c r="T17" s="73">
        <f t="shared" si="14"/>
        <v>0</v>
      </c>
      <c r="U17" s="73">
        <f t="shared" si="14"/>
        <v>10814</v>
      </c>
      <c r="V17" s="2" t="s">
        <v>114</v>
      </c>
    </row>
    <row r="18" ht="15.0" customHeight="1">
      <c r="A18" s="74" t="s">
        <v>57</v>
      </c>
      <c r="B18" s="75">
        <v>329.0</v>
      </c>
      <c r="C18" s="75">
        <v>65.0</v>
      </c>
      <c r="D18" s="75"/>
      <c r="E18" s="75"/>
      <c r="F18" s="76">
        <f t="shared" ref="F18:F28" si="16">SUM(B18:E18)</f>
        <v>394</v>
      </c>
      <c r="G18" s="75">
        <v>197.0</v>
      </c>
      <c r="H18" s="75"/>
      <c r="I18" s="75"/>
      <c r="J18" s="75"/>
      <c r="K18" s="76">
        <f t="shared" ref="K18:K28" si="17">SUM(G18:J18)</f>
        <v>197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526</v>
      </c>
      <c r="R18" s="75">
        <f t="shared" si="15"/>
        <v>65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591</v>
      </c>
      <c r="V18" s="2"/>
    </row>
    <row r="19" ht="15.0" customHeight="1">
      <c r="A19" s="74" t="s">
        <v>58</v>
      </c>
      <c r="B19" s="77">
        <v>750.0</v>
      </c>
      <c r="C19" s="77">
        <v>241.0</v>
      </c>
      <c r="D19" s="75"/>
      <c r="E19" s="75"/>
      <c r="F19" s="76">
        <f t="shared" si="16"/>
        <v>991</v>
      </c>
      <c r="G19" s="77">
        <v>3.0</v>
      </c>
      <c r="H19" s="77"/>
      <c r="I19" s="77"/>
      <c r="J19" s="77"/>
      <c r="K19" s="76">
        <f t="shared" si="17"/>
        <v>3</v>
      </c>
      <c r="L19" s="77">
        <v>15.0</v>
      </c>
      <c r="M19" s="77">
        <v>219.0</v>
      </c>
      <c r="N19" s="77"/>
      <c r="O19" s="77"/>
      <c r="P19" s="76">
        <f t="shared" si="18"/>
        <v>234</v>
      </c>
      <c r="Q19" s="75">
        <f t="shared" ref="Q19:T19" si="19">B19+G19+L19</f>
        <v>768</v>
      </c>
      <c r="R19" s="75">
        <f t="shared" si="19"/>
        <v>460</v>
      </c>
      <c r="S19" s="75">
        <f t="shared" si="19"/>
        <v>0</v>
      </c>
      <c r="T19" s="75">
        <f t="shared" si="19"/>
        <v>0</v>
      </c>
      <c r="U19" s="78">
        <f t="shared" si="20"/>
        <v>1228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>
        <v>159.0</v>
      </c>
      <c r="C21" s="77">
        <v>377.0</v>
      </c>
      <c r="D21" s="77"/>
      <c r="E21" s="77"/>
      <c r="F21" s="76">
        <f t="shared" si="16"/>
        <v>536</v>
      </c>
      <c r="G21" s="77">
        <v>7.0</v>
      </c>
      <c r="H21" s="77">
        <v>20.0</v>
      </c>
      <c r="I21" s="77"/>
      <c r="J21" s="77"/>
      <c r="K21" s="76">
        <f t="shared" si="17"/>
        <v>27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166</v>
      </c>
      <c r="R21" s="75">
        <f t="shared" si="22"/>
        <v>397</v>
      </c>
      <c r="S21" s="75">
        <f t="shared" si="22"/>
        <v>0</v>
      </c>
      <c r="T21" s="75">
        <f t="shared" si="22"/>
        <v>0</v>
      </c>
      <c r="U21" s="78">
        <f t="shared" si="20"/>
        <v>563</v>
      </c>
      <c r="V21" s="2"/>
    </row>
    <row r="22" ht="15.0" customHeight="1">
      <c r="A22" s="74" t="s">
        <v>61</v>
      </c>
      <c r="B22" s="77">
        <v>264.0</v>
      </c>
      <c r="C22" s="77"/>
      <c r="D22" s="77"/>
      <c r="E22" s="77"/>
      <c r="F22" s="76">
        <f t="shared" si="16"/>
        <v>264</v>
      </c>
      <c r="G22" s="77">
        <v>16.0</v>
      </c>
      <c r="H22" s="77"/>
      <c r="I22" s="77"/>
      <c r="J22" s="77"/>
      <c r="K22" s="76">
        <f t="shared" si="17"/>
        <v>16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280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280</v>
      </c>
      <c r="V22" s="2"/>
    </row>
    <row r="23" ht="15.0" customHeight="1">
      <c r="A23" s="74" t="s">
        <v>62</v>
      </c>
      <c r="B23" s="77">
        <v>208.0</v>
      </c>
      <c r="C23" s="77">
        <v>287.0</v>
      </c>
      <c r="D23" s="77"/>
      <c r="E23" s="77"/>
      <c r="F23" s="76">
        <f t="shared" si="16"/>
        <v>495</v>
      </c>
      <c r="G23" s="77">
        <v>24.0</v>
      </c>
      <c r="H23" s="77">
        <v>292.0</v>
      </c>
      <c r="I23" s="77"/>
      <c r="J23" s="77"/>
      <c r="K23" s="76">
        <f t="shared" si="17"/>
        <v>316</v>
      </c>
      <c r="L23" s="77">
        <v>7.0</v>
      </c>
      <c r="M23" s="77">
        <v>53.0</v>
      </c>
      <c r="N23" s="77"/>
      <c r="O23" s="77"/>
      <c r="P23" s="76">
        <f t="shared" si="18"/>
        <v>60</v>
      </c>
      <c r="Q23" s="75">
        <f t="shared" ref="Q23:T23" si="24">B23+G23+L23</f>
        <v>239</v>
      </c>
      <c r="R23" s="75">
        <f t="shared" si="24"/>
        <v>632</v>
      </c>
      <c r="S23" s="75">
        <f t="shared" si="24"/>
        <v>0</v>
      </c>
      <c r="T23" s="75">
        <f t="shared" si="24"/>
        <v>0</v>
      </c>
      <c r="U23" s="78">
        <f t="shared" si="20"/>
        <v>871</v>
      </c>
      <c r="V23" s="2"/>
    </row>
    <row r="24" ht="15.0" customHeight="1">
      <c r="A24" s="74" t="s">
        <v>63</v>
      </c>
      <c r="B24" s="79"/>
      <c r="C24" s="77"/>
      <c r="D24" s="77"/>
      <c r="E24" s="77"/>
      <c r="F24" s="76">
        <f t="shared" si="16"/>
        <v>0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0</v>
      </c>
      <c r="V24" s="2"/>
    </row>
    <row r="25" ht="15.0" customHeight="1">
      <c r="A25" s="74" t="s">
        <v>17</v>
      </c>
      <c r="B25" s="75">
        <v>804.0</v>
      </c>
      <c r="C25" s="75"/>
      <c r="D25" s="77"/>
      <c r="E25" s="77"/>
      <c r="F25" s="76">
        <f t="shared" si="16"/>
        <v>804</v>
      </c>
      <c r="G25" s="75">
        <v>75.0</v>
      </c>
      <c r="H25" s="75"/>
      <c r="I25" s="75"/>
      <c r="J25" s="75"/>
      <c r="K25" s="76">
        <f t="shared" si="17"/>
        <v>75</v>
      </c>
      <c r="L25" s="75">
        <v>33.0</v>
      </c>
      <c r="M25" s="75"/>
      <c r="N25" s="75"/>
      <c r="O25" s="75"/>
      <c r="P25" s="76">
        <f t="shared" si="18"/>
        <v>33</v>
      </c>
      <c r="Q25" s="75">
        <f t="shared" ref="Q25:T25" si="26">B25+G25+L25</f>
        <v>912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912</v>
      </c>
      <c r="V25" s="2"/>
    </row>
    <row r="26" ht="15.0" customHeight="1">
      <c r="A26" s="74" t="s">
        <v>64</v>
      </c>
      <c r="B26" s="77"/>
      <c r="C26" s="80"/>
      <c r="D26" s="80"/>
      <c r="E26" s="75"/>
      <c r="F26" s="76">
        <f t="shared" si="16"/>
        <v>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0</v>
      </c>
      <c r="V26" s="2"/>
    </row>
    <row r="27" ht="15.0" customHeight="1">
      <c r="A27" s="74" t="s">
        <v>65</v>
      </c>
      <c r="B27" s="77">
        <v>241.0</v>
      </c>
      <c r="C27" s="77">
        <v>7.0</v>
      </c>
      <c r="D27" s="77"/>
      <c r="E27" s="77"/>
      <c r="F27" s="76">
        <f t="shared" si="16"/>
        <v>248</v>
      </c>
      <c r="G27" s="77">
        <v>64.0</v>
      </c>
      <c r="H27" s="77">
        <v>21.0</v>
      </c>
      <c r="I27" s="77"/>
      <c r="J27" s="77"/>
      <c r="K27" s="76">
        <f t="shared" si="17"/>
        <v>85</v>
      </c>
      <c r="L27" s="77">
        <v>23.0</v>
      </c>
      <c r="M27" s="77"/>
      <c r="N27" s="77"/>
      <c r="O27" s="77"/>
      <c r="P27" s="76">
        <f t="shared" si="18"/>
        <v>23</v>
      </c>
      <c r="Q27" s="75">
        <f t="shared" ref="Q27:T27" si="28">B27+G27+L27</f>
        <v>328</v>
      </c>
      <c r="R27" s="75">
        <f t="shared" si="28"/>
        <v>28</v>
      </c>
      <c r="S27" s="75">
        <f t="shared" si="28"/>
        <v>0</v>
      </c>
      <c r="T27" s="75">
        <f t="shared" si="28"/>
        <v>0</v>
      </c>
      <c r="U27" s="78">
        <f t="shared" si="20"/>
        <v>356</v>
      </c>
      <c r="V27" s="2"/>
    </row>
    <row r="28" ht="15.75" customHeight="1">
      <c r="A28" s="74" t="s">
        <v>54</v>
      </c>
      <c r="B28" s="77">
        <v>2477.0</v>
      </c>
      <c r="C28" s="77">
        <v>320.0</v>
      </c>
      <c r="D28" s="77">
        <v>548.0</v>
      </c>
      <c r="E28" s="77"/>
      <c r="F28" s="76">
        <f t="shared" si="16"/>
        <v>3345</v>
      </c>
      <c r="G28" s="77">
        <v>1900.0</v>
      </c>
      <c r="H28" s="77">
        <v>458.0</v>
      </c>
      <c r="I28" s="77"/>
      <c r="J28" s="77"/>
      <c r="K28" s="76">
        <f t="shared" si="17"/>
        <v>2358</v>
      </c>
      <c r="L28" s="77">
        <v>310.0</v>
      </c>
      <c r="M28" s="77"/>
      <c r="N28" s="77"/>
      <c r="O28" s="77"/>
      <c r="P28" s="76">
        <f t="shared" si="18"/>
        <v>310</v>
      </c>
      <c r="Q28" s="75">
        <f t="shared" ref="Q28:T28" si="29">B28+G28+L28</f>
        <v>4687</v>
      </c>
      <c r="R28" s="75">
        <f t="shared" si="29"/>
        <v>778</v>
      </c>
      <c r="S28" s="75">
        <f t="shared" si="29"/>
        <v>548</v>
      </c>
      <c r="T28" s="75">
        <f t="shared" si="29"/>
        <v>0</v>
      </c>
      <c r="U28" s="78">
        <f t="shared" si="20"/>
        <v>6013</v>
      </c>
      <c r="V28" s="2"/>
    </row>
    <row r="29" ht="15.75" customHeight="1">
      <c r="A29" s="72" t="s">
        <v>66</v>
      </c>
      <c r="B29" s="73">
        <f t="shared" ref="B29:U29" si="30">SUM(B30:B44)</f>
        <v>21084</v>
      </c>
      <c r="C29" s="73">
        <f t="shared" si="30"/>
        <v>15818</v>
      </c>
      <c r="D29" s="73">
        <f t="shared" si="30"/>
        <v>1656</v>
      </c>
      <c r="E29" s="73">
        <f t="shared" si="30"/>
        <v>0</v>
      </c>
      <c r="F29" s="81">
        <f t="shared" si="30"/>
        <v>38558</v>
      </c>
      <c r="G29" s="73">
        <f t="shared" si="30"/>
        <v>2498</v>
      </c>
      <c r="H29" s="73">
        <f t="shared" si="30"/>
        <v>1030</v>
      </c>
      <c r="I29" s="73">
        <f t="shared" si="30"/>
        <v>812</v>
      </c>
      <c r="J29" s="73">
        <f t="shared" si="30"/>
        <v>28</v>
      </c>
      <c r="K29" s="81">
        <f t="shared" si="30"/>
        <v>4368</v>
      </c>
      <c r="L29" s="73">
        <f t="shared" si="30"/>
        <v>0</v>
      </c>
      <c r="M29" s="73">
        <f t="shared" si="30"/>
        <v>78</v>
      </c>
      <c r="N29" s="73">
        <f t="shared" si="30"/>
        <v>0</v>
      </c>
      <c r="O29" s="73">
        <f t="shared" si="30"/>
        <v>0</v>
      </c>
      <c r="P29" s="81">
        <f t="shared" si="30"/>
        <v>78</v>
      </c>
      <c r="Q29" s="73">
        <f t="shared" si="30"/>
        <v>23582</v>
      </c>
      <c r="R29" s="73">
        <f t="shared" si="30"/>
        <v>16926</v>
      </c>
      <c r="S29" s="73">
        <f t="shared" si="30"/>
        <v>2468</v>
      </c>
      <c r="T29" s="73">
        <f t="shared" si="30"/>
        <v>28</v>
      </c>
      <c r="U29" s="81">
        <f t="shared" si="30"/>
        <v>43004</v>
      </c>
      <c r="V29" s="2" t="s">
        <v>114</v>
      </c>
    </row>
    <row r="30" ht="15.0" customHeight="1">
      <c r="A30" s="74" t="s">
        <v>67</v>
      </c>
      <c r="B30" s="75">
        <v>857.0</v>
      </c>
      <c r="C30" s="75">
        <v>622.0</v>
      </c>
      <c r="D30" s="75"/>
      <c r="E30" s="75"/>
      <c r="F30" s="76">
        <f t="shared" ref="F30:F44" si="32">SUM(B30:E30)</f>
        <v>1479</v>
      </c>
      <c r="G30" s="75">
        <v>679.0</v>
      </c>
      <c r="H30" s="75">
        <v>325.0</v>
      </c>
      <c r="I30" s="75"/>
      <c r="J30" s="75"/>
      <c r="K30" s="76">
        <f t="shared" ref="K30:K44" si="33">SUM(G30:J30)</f>
        <v>1004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1536</v>
      </c>
      <c r="R30" s="75">
        <f t="shared" si="31"/>
        <v>947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2483</v>
      </c>
      <c r="V30" s="2"/>
    </row>
    <row r="31" ht="15.0" customHeight="1">
      <c r="A31" s="74" t="s">
        <v>68</v>
      </c>
      <c r="B31" s="77">
        <v>409.0</v>
      </c>
      <c r="C31" s="77">
        <v>1899.0</v>
      </c>
      <c r="D31" s="77"/>
      <c r="E31" s="77"/>
      <c r="F31" s="76">
        <f t="shared" si="32"/>
        <v>2308</v>
      </c>
      <c r="G31" s="77">
        <v>17.0</v>
      </c>
      <c r="H31" s="77">
        <v>84.0</v>
      </c>
      <c r="I31" s="77"/>
      <c r="J31" s="77"/>
      <c r="K31" s="76">
        <f t="shared" si="33"/>
        <v>101</v>
      </c>
      <c r="L31" s="77"/>
      <c r="M31" s="77">
        <v>78.0</v>
      </c>
      <c r="N31" s="77"/>
      <c r="O31" s="77"/>
      <c r="P31" s="78">
        <f t="shared" si="34"/>
        <v>78</v>
      </c>
      <c r="Q31" s="77">
        <f t="shared" ref="Q31:T31" si="35">SUM(B31,G31,L31)</f>
        <v>426</v>
      </c>
      <c r="R31" s="77">
        <f t="shared" si="35"/>
        <v>2061</v>
      </c>
      <c r="S31" s="77">
        <f t="shared" si="35"/>
        <v>0</v>
      </c>
      <c r="T31" s="77">
        <f t="shared" si="35"/>
        <v>0</v>
      </c>
      <c r="U31" s="78">
        <f t="shared" si="36"/>
        <v>2487</v>
      </c>
      <c r="V31" s="2"/>
    </row>
    <row r="32" ht="15.0" customHeight="1">
      <c r="A32" s="74" t="s">
        <v>69</v>
      </c>
      <c r="B32" s="77">
        <v>3879.0</v>
      </c>
      <c r="C32" s="77">
        <v>446.0</v>
      </c>
      <c r="D32" s="77"/>
      <c r="E32" s="77"/>
      <c r="F32" s="76">
        <f t="shared" si="32"/>
        <v>4325</v>
      </c>
      <c r="G32" s="77">
        <v>588.0</v>
      </c>
      <c r="H32" s="77"/>
      <c r="I32" s="77"/>
      <c r="J32" s="77"/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4467</v>
      </c>
      <c r="R32" s="77">
        <f t="shared" si="37"/>
        <v>446</v>
      </c>
      <c r="S32" s="77">
        <f t="shared" si="37"/>
        <v>0</v>
      </c>
      <c r="T32" s="77">
        <f t="shared" si="37"/>
        <v>0</v>
      </c>
      <c r="U32" s="78">
        <f t="shared" si="36"/>
        <v>4913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>
        <v>3578.0</v>
      </c>
      <c r="C34" s="77">
        <v>2328.0</v>
      </c>
      <c r="D34" s="77">
        <v>20.0</v>
      </c>
      <c r="E34" s="77"/>
      <c r="F34" s="76">
        <f t="shared" si="32"/>
        <v>5926</v>
      </c>
      <c r="G34" s="77">
        <v>62.0</v>
      </c>
      <c r="H34" s="77">
        <v>45.0</v>
      </c>
      <c r="I34" s="77"/>
      <c r="J34" s="77"/>
      <c r="K34" s="76">
        <f t="shared" si="33"/>
        <v>107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3640</v>
      </c>
      <c r="R34" s="77">
        <f t="shared" si="39"/>
        <v>2373</v>
      </c>
      <c r="S34" s="77">
        <f t="shared" si="39"/>
        <v>20</v>
      </c>
      <c r="T34" s="77">
        <f t="shared" si="39"/>
        <v>0</v>
      </c>
      <c r="U34" s="78">
        <f t="shared" si="36"/>
        <v>6033</v>
      </c>
      <c r="V34" s="2"/>
    </row>
    <row r="35" ht="15.0" customHeight="1">
      <c r="A35" s="74" t="s">
        <v>72</v>
      </c>
      <c r="B35" s="77">
        <v>2083.0</v>
      </c>
      <c r="C35" s="77"/>
      <c r="D35" s="77"/>
      <c r="E35" s="77"/>
      <c r="F35" s="76">
        <f t="shared" si="32"/>
        <v>2083</v>
      </c>
      <c r="G35" s="77">
        <v>39.0</v>
      </c>
      <c r="H35" s="77"/>
      <c r="I35" s="77"/>
      <c r="J35" s="77"/>
      <c r="K35" s="76">
        <f t="shared" si="33"/>
        <v>39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2122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2122</v>
      </c>
      <c r="V35" s="2"/>
    </row>
    <row r="36" ht="15.0" customHeight="1">
      <c r="A36" s="74" t="s">
        <v>73</v>
      </c>
      <c r="B36" s="77">
        <v>439.0</v>
      </c>
      <c r="C36" s="77">
        <v>479.0</v>
      </c>
      <c r="D36" s="77">
        <v>345.0</v>
      </c>
      <c r="E36" s="77"/>
      <c r="F36" s="76">
        <f t="shared" si="32"/>
        <v>1263</v>
      </c>
      <c r="G36" s="77"/>
      <c r="H36" s="77">
        <v>252.0</v>
      </c>
      <c r="I36" s="77"/>
      <c r="J36" s="77"/>
      <c r="K36" s="76">
        <f t="shared" si="33"/>
        <v>252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439</v>
      </c>
      <c r="R36" s="77">
        <f t="shared" si="41"/>
        <v>731</v>
      </c>
      <c r="S36" s="77">
        <f t="shared" si="41"/>
        <v>345</v>
      </c>
      <c r="T36" s="77">
        <f t="shared" si="41"/>
        <v>0</v>
      </c>
      <c r="U36" s="78">
        <f t="shared" si="36"/>
        <v>1515</v>
      </c>
      <c r="V36" s="2"/>
    </row>
    <row r="37" ht="15.0" customHeight="1">
      <c r="A37" s="74" t="s">
        <v>74</v>
      </c>
      <c r="B37" s="77">
        <v>3119.0</v>
      </c>
      <c r="C37" s="77">
        <v>8400.0</v>
      </c>
      <c r="D37" s="77">
        <v>1153.0</v>
      </c>
      <c r="E37" s="77"/>
      <c r="F37" s="76">
        <f t="shared" si="32"/>
        <v>12672</v>
      </c>
      <c r="G37" s="77">
        <v>569.0</v>
      </c>
      <c r="H37" s="77">
        <v>324.0</v>
      </c>
      <c r="I37" s="77">
        <v>812.0</v>
      </c>
      <c r="J37" s="77"/>
      <c r="K37" s="76">
        <f t="shared" si="33"/>
        <v>1705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3688</v>
      </c>
      <c r="R37" s="77">
        <f t="shared" si="42"/>
        <v>8724</v>
      </c>
      <c r="S37" s="77">
        <f t="shared" ref="S37:S41" si="44">SUM(D37,I36,N37)</f>
        <v>1153</v>
      </c>
      <c r="T37" s="77">
        <f t="shared" ref="T37:T41" si="45">SUM(E37,J37,O37)</f>
        <v>0</v>
      </c>
      <c r="U37" s="78">
        <f t="shared" si="36"/>
        <v>13565</v>
      </c>
      <c r="V37" s="2"/>
    </row>
    <row r="38" ht="15.0" customHeight="1">
      <c r="A38" s="74" t="s">
        <v>75</v>
      </c>
      <c r="B38" s="77">
        <v>1355.0</v>
      </c>
      <c r="C38" s="77"/>
      <c r="D38" s="77"/>
      <c r="E38" s="77"/>
      <c r="F38" s="76">
        <f t="shared" si="32"/>
        <v>1355</v>
      </c>
      <c r="G38" s="77">
        <v>102.0</v>
      </c>
      <c r="H38" s="77"/>
      <c r="I38" s="77"/>
      <c r="J38" s="77"/>
      <c r="K38" s="76">
        <f t="shared" si="33"/>
        <v>102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1457</v>
      </c>
      <c r="R38" s="77">
        <f t="shared" si="43"/>
        <v>0</v>
      </c>
      <c r="S38" s="77">
        <f t="shared" si="44"/>
        <v>812</v>
      </c>
      <c r="T38" s="77">
        <f t="shared" si="45"/>
        <v>0</v>
      </c>
      <c r="U38" s="78">
        <f t="shared" si="36"/>
        <v>2269</v>
      </c>
      <c r="V38" s="2"/>
    </row>
    <row r="39" ht="15.0" customHeight="1">
      <c r="A39" s="74" t="s">
        <v>76</v>
      </c>
      <c r="B39" s="77">
        <v>417.0</v>
      </c>
      <c r="C39" s="77">
        <v>261.0</v>
      </c>
      <c r="D39" s="77"/>
      <c r="E39" s="77"/>
      <c r="F39" s="76">
        <f t="shared" si="32"/>
        <v>678</v>
      </c>
      <c r="G39" s="77">
        <v>140.0</v>
      </c>
      <c r="H39" s="77"/>
      <c r="I39" s="77"/>
      <c r="J39" s="77"/>
      <c r="K39" s="76">
        <f t="shared" si="33"/>
        <v>140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557</v>
      </c>
      <c r="R39" s="77">
        <f t="shared" si="46"/>
        <v>261</v>
      </c>
      <c r="S39" s="77">
        <f t="shared" si="44"/>
        <v>0</v>
      </c>
      <c r="T39" s="77">
        <f t="shared" si="45"/>
        <v>0</v>
      </c>
      <c r="U39" s="78">
        <f t="shared" si="36"/>
        <v>818</v>
      </c>
      <c r="V39" s="2"/>
    </row>
    <row r="40" ht="15.0" customHeight="1">
      <c r="A40" s="74" t="s">
        <v>77</v>
      </c>
      <c r="B40" s="77">
        <v>3.0</v>
      </c>
      <c r="C40" s="77"/>
      <c r="D40" s="77"/>
      <c r="E40" s="77"/>
      <c r="F40" s="76">
        <f t="shared" si="32"/>
        <v>3</v>
      </c>
      <c r="G40" s="77">
        <v>8.0</v>
      </c>
      <c r="H40" s="77"/>
      <c r="I40" s="77"/>
      <c r="J40" s="77"/>
      <c r="K40" s="76">
        <f t="shared" si="33"/>
        <v>8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11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11</v>
      </c>
      <c r="V40" s="2"/>
    </row>
    <row r="41" ht="15.0" customHeight="1">
      <c r="A41" s="74" t="s">
        <v>78</v>
      </c>
      <c r="B41" s="77">
        <v>2188.0</v>
      </c>
      <c r="C41" s="77">
        <v>82.0</v>
      </c>
      <c r="D41" s="77">
        <v>138.0</v>
      </c>
      <c r="E41" s="77"/>
      <c r="F41" s="76">
        <f t="shared" si="32"/>
        <v>2408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2188</v>
      </c>
      <c r="R41" s="77">
        <f t="shared" si="48"/>
        <v>82</v>
      </c>
      <c r="S41" s="77">
        <f t="shared" si="44"/>
        <v>138</v>
      </c>
      <c r="T41" s="77">
        <f t="shared" si="45"/>
        <v>0</v>
      </c>
      <c r="U41" s="78">
        <f t="shared" si="36"/>
        <v>2408</v>
      </c>
      <c r="V41" s="2"/>
    </row>
    <row r="42" ht="15.0" customHeight="1">
      <c r="A42" s="74" t="s">
        <v>79</v>
      </c>
      <c r="B42" s="77">
        <v>47.0</v>
      </c>
      <c r="C42" s="77"/>
      <c r="D42" s="77"/>
      <c r="E42" s="77"/>
      <c r="F42" s="76">
        <f t="shared" si="32"/>
        <v>47</v>
      </c>
      <c r="G42" s="77">
        <v>33.0</v>
      </c>
      <c r="H42" s="77"/>
      <c r="I42" s="77"/>
      <c r="J42" s="77"/>
      <c r="K42" s="76">
        <f t="shared" si="33"/>
        <v>33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80</v>
      </c>
      <c r="R42" s="77">
        <f t="shared" si="49"/>
        <v>0</v>
      </c>
      <c r="S42" s="77">
        <f t="shared" si="49"/>
        <v>0</v>
      </c>
      <c r="T42" s="77">
        <f t="shared" si="49"/>
        <v>0</v>
      </c>
      <c r="U42" s="78">
        <f t="shared" si="36"/>
        <v>80</v>
      </c>
      <c r="V42" s="2"/>
    </row>
    <row r="43" ht="15.0" customHeight="1">
      <c r="A43" s="74" t="s">
        <v>80</v>
      </c>
      <c r="B43" s="77">
        <v>1651.0</v>
      </c>
      <c r="C43" s="77">
        <v>112.0</v>
      </c>
      <c r="D43" s="77"/>
      <c r="E43" s="77"/>
      <c r="F43" s="76">
        <f t="shared" si="32"/>
        <v>1763</v>
      </c>
      <c r="G43" s="77">
        <v>143.0</v>
      </c>
      <c r="H43" s="77"/>
      <c r="I43" s="77"/>
      <c r="J43" s="77"/>
      <c r="K43" s="76">
        <f t="shared" si="33"/>
        <v>143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1794</v>
      </c>
      <c r="R43" s="77">
        <f t="shared" si="50"/>
        <v>112</v>
      </c>
      <c r="S43" s="77">
        <f t="shared" si="50"/>
        <v>0</v>
      </c>
      <c r="T43" s="77">
        <f t="shared" si="50"/>
        <v>0</v>
      </c>
      <c r="U43" s="78">
        <f t="shared" si="36"/>
        <v>1906</v>
      </c>
      <c r="V43" s="2"/>
    </row>
    <row r="44" ht="15.75" customHeight="1">
      <c r="A44" s="74" t="s">
        <v>81</v>
      </c>
      <c r="B44" s="77">
        <v>1059.0</v>
      </c>
      <c r="C44" s="77">
        <v>1189.0</v>
      </c>
      <c r="D44" s="77"/>
      <c r="E44" s="77"/>
      <c r="F44" s="76">
        <f t="shared" si="32"/>
        <v>2248</v>
      </c>
      <c r="G44" s="77">
        <v>118.0</v>
      </c>
      <c r="H44" s="77"/>
      <c r="I44" s="77"/>
      <c r="J44" s="77">
        <v>28.0</v>
      </c>
      <c r="K44" s="76">
        <f t="shared" si="33"/>
        <v>146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1177</v>
      </c>
      <c r="R44" s="77">
        <f t="shared" si="51"/>
        <v>1189</v>
      </c>
      <c r="S44" s="77">
        <f t="shared" si="51"/>
        <v>0</v>
      </c>
      <c r="T44" s="77">
        <f t="shared" si="51"/>
        <v>28</v>
      </c>
      <c r="U44" s="78">
        <f t="shared" si="36"/>
        <v>2394</v>
      </c>
      <c r="V44" s="2"/>
    </row>
    <row r="45" ht="15.75" customHeight="1">
      <c r="A45" s="72" t="s">
        <v>82</v>
      </c>
      <c r="B45" s="73">
        <f t="shared" ref="B45:U45" si="52">SUM(B46:B63)</f>
        <v>8362</v>
      </c>
      <c r="C45" s="73">
        <f t="shared" si="52"/>
        <v>1171</v>
      </c>
      <c r="D45" s="73">
        <f t="shared" si="52"/>
        <v>303</v>
      </c>
      <c r="E45" s="73">
        <f t="shared" si="52"/>
        <v>224</v>
      </c>
      <c r="F45" s="81">
        <f t="shared" si="52"/>
        <v>10060</v>
      </c>
      <c r="G45" s="73">
        <f t="shared" si="52"/>
        <v>4270</v>
      </c>
      <c r="H45" s="73">
        <f t="shared" si="52"/>
        <v>127</v>
      </c>
      <c r="I45" s="73">
        <f t="shared" si="52"/>
        <v>0</v>
      </c>
      <c r="J45" s="73">
        <f t="shared" si="52"/>
        <v>52</v>
      </c>
      <c r="K45" s="81">
        <f t="shared" si="52"/>
        <v>4449</v>
      </c>
      <c r="L45" s="73">
        <f t="shared" si="52"/>
        <v>1153</v>
      </c>
      <c r="M45" s="73">
        <f t="shared" si="52"/>
        <v>1220</v>
      </c>
      <c r="N45" s="73">
        <f t="shared" si="52"/>
        <v>0</v>
      </c>
      <c r="O45" s="73">
        <f t="shared" si="52"/>
        <v>0</v>
      </c>
      <c r="P45" s="81">
        <f t="shared" si="52"/>
        <v>2373</v>
      </c>
      <c r="Q45" s="73">
        <f t="shared" si="52"/>
        <v>13785</v>
      </c>
      <c r="R45" s="73">
        <f t="shared" si="52"/>
        <v>2518</v>
      </c>
      <c r="S45" s="73">
        <f t="shared" si="52"/>
        <v>303</v>
      </c>
      <c r="T45" s="73">
        <f t="shared" si="52"/>
        <v>224</v>
      </c>
      <c r="U45" s="73">
        <f t="shared" si="52"/>
        <v>16830</v>
      </c>
      <c r="V45" s="2" t="s">
        <v>114</v>
      </c>
    </row>
    <row r="46" ht="15.0" customHeight="1">
      <c r="A46" s="74" t="s">
        <v>83</v>
      </c>
      <c r="B46" s="75">
        <v>120.0</v>
      </c>
      <c r="C46" s="75">
        <v>120.0</v>
      </c>
      <c r="D46" s="75"/>
      <c r="E46" s="75"/>
      <c r="F46" s="76">
        <f t="shared" ref="F46:F63" si="54">SUM(B46:E46)</f>
        <v>240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>
        <v>90.0</v>
      </c>
      <c r="N46" s="75"/>
      <c r="O46" s="75"/>
      <c r="P46" s="76">
        <f t="shared" ref="P46:P63" si="56">SUM(L46:O46)</f>
        <v>90</v>
      </c>
      <c r="Q46" s="75">
        <f t="shared" ref="Q46:T46" si="53">SUM(B46,G46,L46)</f>
        <v>120</v>
      </c>
      <c r="R46" s="75">
        <f t="shared" si="53"/>
        <v>210</v>
      </c>
      <c r="S46" s="75">
        <f t="shared" si="53"/>
        <v>0</v>
      </c>
      <c r="T46" s="75">
        <f t="shared" si="53"/>
        <v>0</v>
      </c>
      <c r="U46" s="76">
        <f t="shared" ref="U46:U63" si="58">SUM(Q46:T46)</f>
        <v>330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473.0</v>
      </c>
      <c r="C49" s="77">
        <v>15.0</v>
      </c>
      <c r="D49" s="77">
        <v>2.0</v>
      </c>
      <c r="E49" s="77"/>
      <c r="F49" s="76">
        <f t="shared" si="54"/>
        <v>490</v>
      </c>
      <c r="G49" s="77">
        <v>132.0</v>
      </c>
      <c r="H49" s="77"/>
      <c r="I49" s="77"/>
      <c r="J49" s="77"/>
      <c r="K49" s="76">
        <f t="shared" si="55"/>
        <v>132</v>
      </c>
      <c r="L49" s="77">
        <v>65.0</v>
      </c>
      <c r="M49" s="77"/>
      <c r="N49" s="77"/>
      <c r="O49" s="77"/>
      <c r="P49" s="76">
        <f t="shared" si="56"/>
        <v>65</v>
      </c>
      <c r="Q49" s="75">
        <f t="shared" ref="Q49:T49" si="60">SUM(B49,G49,L49)</f>
        <v>670</v>
      </c>
      <c r="R49" s="75">
        <f t="shared" si="60"/>
        <v>15</v>
      </c>
      <c r="S49" s="75">
        <f t="shared" si="60"/>
        <v>2</v>
      </c>
      <c r="T49" s="75">
        <f t="shared" si="60"/>
        <v>0</v>
      </c>
      <c r="U49" s="78">
        <f t="shared" si="58"/>
        <v>687</v>
      </c>
      <c r="V49" s="2"/>
    </row>
    <row r="50" ht="15.0" customHeight="1">
      <c r="A50" s="74" t="s">
        <v>87</v>
      </c>
      <c r="B50" s="77">
        <v>415.0</v>
      </c>
      <c r="C50" s="77">
        <v>98.0</v>
      </c>
      <c r="D50" s="77">
        <v>51.0</v>
      </c>
      <c r="E50" s="77"/>
      <c r="F50" s="76">
        <f t="shared" si="54"/>
        <v>564</v>
      </c>
      <c r="G50" s="77">
        <v>1.0</v>
      </c>
      <c r="H50" s="77"/>
      <c r="I50" s="77"/>
      <c r="J50" s="77"/>
      <c r="K50" s="76">
        <f t="shared" si="55"/>
        <v>1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416</v>
      </c>
      <c r="R50" s="75">
        <f t="shared" si="61"/>
        <v>98</v>
      </c>
      <c r="S50" s="75">
        <f t="shared" si="61"/>
        <v>51</v>
      </c>
      <c r="T50" s="75">
        <f t="shared" si="61"/>
        <v>0</v>
      </c>
      <c r="U50" s="78">
        <f t="shared" si="58"/>
        <v>565</v>
      </c>
      <c r="V50" s="2"/>
    </row>
    <row r="51" ht="15.0" customHeight="1">
      <c r="A51" s="74" t="s">
        <v>88</v>
      </c>
      <c r="B51" s="77"/>
      <c r="C51" s="77"/>
      <c r="D51" s="77"/>
      <c r="E51" s="77"/>
      <c r="F51" s="76">
        <f t="shared" si="54"/>
        <v>0</v>
      </c>
      <c r="G51" s="77"/>
      <c r="H51" s="77"/>
      <c r="I51" s="77"/>
      <c r="J51" s="92">
        <v>52.0</v>
      </c>
      <c r="K51" s="76">
        <f t="shared" si="55"/>
        <v>52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0</v>
      </c>
      <c r="R51" s="75">
        <f t="shared" si="62"/>
        <v>0</v>
      </c>
      <c r="S51" s="75">
        <f t="shared" ref="S51:T51" si="63">SUM(D51,I56,N51)</f>
        <v>0</v>
      </c>
      <c r="T51" s="75">
        <f t="shared" si="63"/>
        <v>0</v>
      </c>
      <c r="U51" s="78">
        <f t="shared" si="58"/>
        <v>0</v>
      </c>
      <c r="V51" s="2"/>
    </row>
    <row r="52" ht="15.0" customHeight="1">
      <c r="A52" s="83" t="s">
        <v>89</v>
      </c>
      <c r="B52" s="84">
        <v>121.0</v>
      </c>
      <c r="C52" s="84"/>
      <c r="D52" s="84"/>
      <c r="E52" s="84"/>
      <c r="F52" s="85">
        <f t="shared" si="54"/>
        <v>121</v>
      </c>
      <c r="G52" s="84">
        <v>127.0</v>
      </c>
      <c r="H52" s="84"/>
      <c r="I52" s="84"/>
      <c r="J52" s="84"/>
      <c r="K52" s="85">
        <f t="shared" si="55"/>
        <v>127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248</v>
      </c>
      <c r="R52" s="86">
        <f t="shared" si="64"/>
        <v>0</v>
      </c>
      <c r="S52" s="86">
        <f t="shared" si="64"/>
        <v>0</v>
      </c>
      <c r="T52" s="86">
        <f t="shared" si="64"/>
        <v>0</v>
      </c>
      <c r="U52" s="87">
        <f t="shared" si="58"/>
        <v>248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1.0</v>
      </c>
      <c r="D53" s="77"/>
      <c r="E53" s="77"/>
      <c r="F53" s="76">
        <f t="shared" si="54"/>
        <v>3</v>
      </c>
      <c r="G53" s="77">
        <v>9.0</v>
      </c>
      <c r="H53" s="77"/>
      <c r="I53" s="77"/>
      <c r="J53" s="77"/>
      <c r="K53" s="76">
        <f t="shared" si="55"/>
        <v>9</v>
      </c>
      <c r="L53" s="77">
        <v>161.0</v>
      </c>
      <c r="M53" s="77"/>
      <c r="N53" s="77"/>
      <c r="O53" s="77"/>
      <c r="P53" s="76">
        <f t="shared" si="56"/>
        <v>161</v>
      </c>
      <c r="Q53" s="75">
        <f t="shared" ref="Q53:T53" si="65">SUM(B53,G53,L53)</f>
        <v>172</v>
      </c>
      <c r="R53" s="75">
        <f t="shared" si="65"/>
        <v>1</v>
      </c>
      <c r="S53" s="86">
        <f t="shared" si="65"/>
        <v>0</v>
      </c>
      <c r="T53" s="86">
        <f t="shared" si="65"/>
        <v>0</v>
      </c>
      <c r="U53" s="78">
        <f t="shared" si="58"/>
        <v>173</v>
      </c>
      <c r="V53" s="2"/>
    </row>
    <row r="54" ht="15.0" customHeight="1">
      <c r="A54" s="74" t="s">
        <v>91</v>
      </c>
      <c r="B54" s="77">
        <v>499.0</v>
      </c>
      <c r="C54" s="77">
        <v>15.0</v>
      </c>
      <c r="D54" s="77"/>
      <c r="E54" s="77"/>
      <c r="F54" s="76">
        <f t="shared" si="54"/>
        <v>514</v>
      </c>
      <c r="G54" s="77">
        <v>75.0</v>
      </c>
      <c r="H54" s="77"/>
      <c r="I54" s="77"/>
      <c r="J54" s="77"/>
      <c r="K54" s="76">
        <f t="shared" si="55"/>
        <v>75</v>
      </c>
      <c r="L54" s="77"/>
      <c r="M54" s="77">
        <v>940.0</v>
      </c>
      <c r="N54" s="77"/>
      <c r="O54" s="77"/>
      <c r="P54" s="76">
        <f t="shared" si="56"/>
        <v>940</v>
      </c>
      <c r="Q54" s="75">
        <f t="shared" ref="Q54:T54" si="66">SUM(B54,G54,L54)</f>
        <v>574</v>
      </c>
      <c r="R54" s="75">
        <f t="shared" si="66"/>
        <v>955</v>
      </c>
      <c r="S54" s="86">
        <f t="shared" si="66"/>
        <v>0</v>
      </c>
      <c r="T54" s="86">
        <f t="shared" si="66"/>
        <v>0</v>
      </c>
      <c r="U54" s="78">
        <f t="shared" si="58"/>
        <v>1529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>
        <v>4.0</v>
      </c>
      <c r="C56" s="77"/>
      <c r="D56" s="77"/>
      <c r="E56" s="77"/>
      <c r="F56" s="76">
        <f t="shared" si="54"/>
        <v>4</v>
      </c>
      <c r="G56" s="77">
        <v>9.0</v>
      </c>
      <c r="H56" s="77"/>
      <c r="I56" s="77"/>
      <c r="J56" s="77"/>
      <c r="K56" s="76">
        <f t="shared" si="55"/>
        <v>9</v>
      </c>
      <c r="L56" s="90">
        <v>228.0</v>
      </c>
      <c r="M56" s="90"/>
      <c r="N56" s="90"/>
      <c r="O56" s="90"/>
      <c r="P56" s="76">
        <f t="shared" si="56"/>
        <v>228</v>
      </c>
      <c r="Q56" s="75">
        <f t="shared" ref="Q56:T56" si="68">SUM(B56,G56,L56)</f>
        <v>241</v>
      </c>
      <c r="R56" s="75">
        <f t="shared" si="68"/>
        <v>0</v>
      </c>
      <c r="S56" s="86">
        <f t="shared" si="68"/>
        <v>0</v>
      </c>
      <c r="T56" s="86">
        <f t="shared" si="68"/>
        <v>0</v>
      </c>
      <c r="U56" s="91">
        <f t="shared" si="58"/>
        <v>241</v>
      </c>
      <c r="V56" s="2"/>
    </row>
    <row r="57" ht="15.0" customHeight="1">
      <c r="A57" s="74" t="s">
        <v>94</v>
      </c>
      <c r="B57" s="77">
        <v>2319.0</v>
      </c>
      <c r="C57" s="77"/>
      <c r="D57" s="77"/>
      <c r="E57" s="77">
        <v>217.0</v>
      </c>
      <c r="F57" s="76">
        <f t="shared" si="54"/>
        <v>2536</v>
      </c>
      <c r="G57" s="77">
        <v>60.0</v>
      </c>
      <c r="H57" s="77"/>
      <c r="I57" s="77"/>
      <c r="J57" s="2"/>
      <c r="K57" s="76">
        <f t="shared" si="55"/>
        <v>60</v>
      </c>
      <c r="L57" s="77">
        <v>150.0</v>
      </c>
      <c r="M57" s="77"/>
      <c r="N57" s="77"/>
      <c r="O57" s="77"/>
      <c r="P57" s="76">
        <f t="shared" si="56"/>
        <v>150</v>
      </c>
      <c r="Q57" s="75">
        <f t="shared" ref="Q57:T57" si="69">SUM(B57,G57,L57)</f>
        <v>2529</v>
      </c>
      <c r="R57" s="75">
        <f t="shared" si="69"/>
        <v>0</v>
      </c>
      <c r="S57" s="86">
        <f t="shared" si="69"/>
        <v>0</v>
      </c>
      <c r="T57" s="86">
        <f t="shared" si="69"/>
        <v>217</v>
      </c>
      <c r="U57" s="91">
        <f t="shared" si="58"/>
        <v>2746</v>
      </c>
      <c r="V57" s="2"/>
    </row>
    <row r="58" ht="15.0" customHeight="1">
      <c r="A58" s="74" t="s">
        <v>95</v>
      </c>
      <c r="B58" s="77">
        <v>45.0</v>
      </c>
      <c r="C58" s="77"/>
      <c r="D58" s="77"/>
      <c r="E58" s="77"/>
      <c r="F58" s="76">
        <f t="shared" si="54"/>
        <v>45</v>
      </c>
      <c r="G58" s="77">
        <v>5.0</v>
      </c>
      <c r="H58" s="77">
        <v>1.0</v>
      </c>
      <c r="I58" s="77"/>
      <c r="J58" s="77"/>
      <c r="K58" s="76">
        <f t="shared" si="55"/>
        <v>6</v>
      </c>
      <c r="L58" s="77">
        <v>49.0</v>
      </c>
      <c r="M58" s="77">
        <v>89.0</v>
      </c>
      <c r="N58" s="77"/>
      <c r="O58" s="77"/>
      <c r="P58" s="76">
        <f t="shared" si="56"/>
        <v>138</v>
      </c>
      <c r="Q58" s="75">
        <f t="shared" ref="Q58:T58" si="70">SUM(B58,G58,L58)</f>
        <v>99</v>
      </c>
      <c r="R58" s="75">
        <f t="shared" si="70"/>
        <v>90</v>
      </c>
      <c r="S58" s="75">
        <f t="shared" si="70"/>
        <v>0</v>
      </c>
      <c r="T58" s="86">
        <f t="shared" si="70"/>
        <v>0</v>
      </c>
      <c r="U58" s="91">
        <f t="shared" si="58"/>
        <v>189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>
        <v>2225.0</v>
      </c>
      <c r="C60" s="77">
        <v>669.0</v>
      </c>
      <c r="D60" s="77">
        <v>250.0</v>
      </c>
      <c r="E60" s="77"/>
      <c r="F60" s="76">
        <f t="shared" si="54"/>
        <v>3144</v>
      </c>
      <c r="G60" s="77">
        <v>1769.0</v>
      </c>
      <c r="H60" s="77">
        <v>126.0</v>
      </c>
      <c r="I60" s="77"/>
      <c r="J60" s="77"/>
      <c r="K60" s="76">
        <f t="shared" si="55"/>
        <v>1895</v>
      </c>
      <c r="L60" s="77"/>
      <c r="M60" s="77"/>
      <c r="N60" s="77"/>
      <c r="O60" s="77"/>
      <c r="P60" s="76">
        <f t="shared" si="56"/>
        <v>0</v>
      </c>
      <c r="Q60" s="75">
        <f t="shared" ref="Q60:T60" si="72">SUM(B60,G60,L60)</f>
        <v>3994</v>
      </c>
      <c r="R60" s="75">
        <f t="shared" si="72"/>
        <v>795</v>
      </c>
      <c r="S60" s="75">
        <f t="shared" si="72"/>
        <v>250</v>
      </c>
      <c r="T60" s="75">
        <f t="shared" si="72"/>
        <v>0</v>
      </c>
      <c r="U60" s="78">
        <f t="shared" si="58"/>
        <v>5039</v>
      </c>
      <c r="V60" s="2"/>
    </row>
    <row r="61" ht="15.0" customHeight="1">
      <c r="A61" s="74" t="s">
        <v>78</v>
      </c>
      <c r="B61" s="80">
        <v>285.0</v>
      </c>
      <c r="C61" s="80"/>
      <c r="D61" s="80"/>
      <c r="E61" s="80"/>
      <c r="F61" s="76">
        <f t="shared" si="54"/>
        <v>285</v>
      </c>
      <c r="G61" s="77">
        <v>570.0</v>
      </c>
      <c r="H61" s="77"/>
      <c r="I61" s="77"/>
      <c r="J61" s="77"/>
      <c r="K61" s="76">
        <f t="shared" si="55"/>
        <v>570</v>
      </c>
      <c r="L61" s="77">
        <v>10.0</v>
      </c>
      <c r="M61" s="77">
        <v>101.0</v>
      </c>
      <c r="N61" s="77"/>
      <c r="O61" s="77"/>
      <c r="P61" s="76">
        <f t="shared" si="56"/>
        <v>111</v>
      </c>
      <c r="Q61" s="75">
        <f t="shared" ref="Q61:T61" si="73">SUM(B61,G61,L61)</f>
        <v>865</v>
      </c>
      <c r="R61" s="75">
        <f t="shared" si="73"/>
        <v>101</v>
      </c>
      <c r="S61" s="75">
        <f t="shared" si="73"/>
        <v>0</v>
      </c>
      <c r="T61" s="75">
        <f t="shared" si="73"/>
        <v>0</v>
      </c>
      <c r="U61" s="78">
        <f t="shared" si="58"/>
        <v>966</v>
      </c>
      <c r="V61" s="2"/>
    </row>
    <row r="62" ht="15.0" customHeight="1">
      <c r="A62" s="74" t="s">
        <v>97</v>
      </c>
      <c r="B62" s="77">
        <v>584.0</v>
      </c>
      <c r="C62" s="77">
        <v>30.0</v>
      </c>
      <c r="D62" s="77"/>
      <c r="E62" s="77"/>
      <c r="F62" s="76">
        <f t="shared" si="54"/>
        <v>614</v>
      </c>
      <c r="G62" s="77">
        <v>73.0</v>
      </c>
      <c r="H62" s="77"/>
      <c r="I62" s="77"/>
      <c r="J62" s="77"/>
      <c r="K62" s="76">
        <f t="shared" si="55"/>
        <v>73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657</v>
      </c>
      <c r="R62" s="75">
        <f t="shared" si="74"/>
        <v>30</v>
      </c>
      <c r="S62" s="75">
        <f t="shared" si="74"/>
        <v>0</v>
      </c>
      <c r="T62" s="75">
        <f t="shared" si="74"/>
        <v>0</v>
      </c>
      <c r="U62" s="78">
        <f t="shared" si="58"/>
        <v>687</v>
      </c>
      <c r="V62" s="2"/>
    </row>
    <row r="63" ht="15.75" customHeight="1">
      <c r="A63" s="74" t="s">
        <v>98</v>
      </c>
      <c r="B63" s="77">
        <v>1055.0</v>
      </c>
      <c r="C63" s="77">
        <v>165.0</v>
      </c>
      <c r="D63" s="77"/>
      <c r="E63" s="77"/>
      <c r="F63" s="76">
        <f t="shared" si="54"/>
        <v>1220</v>
      </c>
      <c r="G63" s="77">
        <v>1368.0</v>
      </c>
      <c r="H63" s="77"/>
      <c r="I63" s="77"/>
      <c r="J63" s="77"/>
      <c r="K63" s="76">
        <f t="shared" si="55"/>
        <v>1368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2423</v>
      </c>
      <c r="R63" s="75">
        <f t="shared" si="75"/>
        <v>165</v>
      </c>
      <c r="S63" s="75">
        <f t="shared" si="75"/>
        <v>0</v>
      </c>
      <c r="T63" s="75">
        <f t="shared" si="75"/>
        <v>0</v>
      </c>
      <c r="U63" s="78">
        <f t="shared" si="58"/>
        <v>2588</v>
      </c>
      <c r="V63" s="2"/>
    </row>
    <row r="64" ht="15.75" customHeight="1">
      <c r="A64" s="72" t="s">
        <v>99</v>
      </c>
      <c r="B64" s="73">
        <f>SUM(B65:B79)</f>
        <v>532</v>
      </c>
      <c r="C64" s="73">
        <f t="shared" ref="C64:K64" si="76">SUM(C65:C78)</f>
        <v>0</v>
      </c>
      <c r="D64" s="73">
        <f t="shared" si="76"/>
        <v>0</v>
      </c>
      <c r="E64" s="73">
        <f t="shared" si="76"/>
        <v>0</v>
      </c>
      <c r="F64" s="73">
        <f t="shared" si="76"/>
        <v>532</v>
      </c>
      <c r="G64" s="73">
        <f t="shared" si="76"/>
        <v>272</v>
      </c>
      <c r="H64" s="73">
        <f t="shared" si="76"/>
        <v>0</v>
      </c>
      <c r="I64" s="73">
        <f t="shared" si="76"/>
        <v>0</v>
      </c>
      <c r="J64" s="73">
        <f t="shared" si="76"/>
        <v>0</v>
      </c>
      <c r="K64" s="73">
        <f t="shared" si="76"/>
        <v>272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804</v>
      </c>
      <c r="R64" s="73">
        <f t="shared" si="77"/>
        <v>0</v>
      </c>
      <c r="S64" s="73">
        <f t="shared" si="77"/>
        <v>0</v>
      </c>
      <c r="T64" s="73">
        <f t="shared" si="77"/>
        <v>0</v>
      </c>
      <c r="U64" s="73">
        <f t="shared" si="77"/>
        <v>804</v>
      </c>
      <c r="V64" s="2" t="s">
        <v>114</v>
      </c>
    </row>
    <row r="65" ht="15.0" customHeight="1">
      <c r="A65" s="74" t="s">
        <v>100</v>
      </c>
      <c r="B65" s="75">
        <v>48.0</v>
      </c>
      <c r="C65" s="75"/>
      <c r="D65" s="75"/>
      <c r="E65" s="75"/>
      <c r="F65" s="76">
        <f t="shared" ref="F65:F79" si="79">SUM(B65:E65)</f>
        <v>48</v>
      </c>
      <c r="G65" s="75">
        <v>9.0</v>
      </c>
      <c r="H65" s="75"/>
      <c r="I65" s="75"/>
      <c r="J65" s="75"/>
      <c r="K65" s="76">
        <f t="shared" ref="K65:K79" si="80">SUM(G65:J65)</f>
        <v>9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57</v>
      </c>
      <c r="R65" s="75">
        <f t="shared" si="78"/>
        <v>0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57</v>
      </c>
      <c r="V65" s="2"/>
    </row>
    <row r="66" ht="15.0" customHeight="1">
      <c r="A66" s="74" t="s">
        <v>101</v>
      </c>
      <c r="B66" s="77">
        <v>20.0</v>
      </c>
      <c r="C66" s="77"/>
      <c r="D66" s="77"/>
      <c r="E66" s="77"/>
      <c r="F66" s="76">
        <f t="shared" si="79"/>
        <v>20</v>
      </c>
      <c r="G66" s="77">
        <v>8.0</v>
      </c>
      <c r="H66" s="77"/>
      <c r="I66" s="77"/>
      <c r="J66" s="77"/>
      <c r="K66" s="76">
        <f t="shared" si="80"/>
        <v>8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28</v>
      </c>
      <c r="R66" s="75">
        <f t="shared" si="82"/>
        <v>0</v>
      </c>
      <c r="S66" s="75">
        <f t="shared" si="82"/>
        <v>0</v>
      </c>
      <c r="T66" s="75">
        <f t="shared" si="82"/>
        <v>0</v>
      </c>
      <c r="U66" s="76">
        <f t="shared" si="83"/>
        <v>28</v>
      </c>
      <c r="V66" s="2"/>
    </row>
    <row r="67" ht="15.0" customHeight="1">
      <c r="A67" s="74" t="s">
        <v>102</v>
      </c>
      <c r="B67" s="77">
        <v>12.0</v>
      </c>
      <c r="C67" s="77"/>
      <c r="D67" s="77"/>
      <c r="E67" s="77"/>
      <c r="F67" s="76">
        <f t="shared" si="79"/>
        <v>12</v>
      </c>
      <c r="G67" s="77">
        <v>3.0</v>
      </c>
      <c r="H67" s="77"/>
      <c r="I67" s="77"/>
      <c r="J67" s="77"/>
      <c r="K67" s="76">
        <f t="shared" si="80"/>
        <v>3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15</v>
      </c>
      <c r="R67" s="75">
        <f t="shared" si="84"/>
        <v>0</v>
      </c>
      <c r="S67" s="75">
        <f t="shared" si="84"/>
        <v>0</v>
      </c>
      <c r="T67" s="75">
        <f t="shared" si="84"/>
        <v>0</v>
      </c>
      <c r="U67" s="76">
        <f t="shared" si="83"/>
        <v>15</v>
      </c>
      <c r="V67" s="2"/>
    </row>
    <row r="68" ht="15.0" customHeight="1">
      <c r="A68" s="74" t="s">
        <v>103</v>
      </c>
      <c r="B68" s="77">
        <v>11.0</v>
      </c>
      <c r="C68" s="77"/>
      <c r="D68" s="77"/>
      <c r="E68" s="77"/>
      <c r="F68" s="76">
        <f t="shared" si="79"/>
        <v>11</v>
      </c>
      <c r="G68" s="77"/>
      <c r="H68" s="77"/>
      <c r="I68" s="77"/>
      <c r="J68" s="77"/>
      <c r="K68" s="76">
        <f t="shared" si="80"/>
        <v>0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11</v>
      </c>
      <c r="R68" s="75">
        <f t="shared" si="85"/>
        <v>0</v>
      </c>
      <c r="S68" s="75">
        <f t="shared" si="85"/>
        <v>0</v>
      </c>
      <c r="T68" s="75">
        <f t="shared" si="85"/>
        <v>0</v>
      </c>
      <c r="U68" s="76">
        <f t="shared" si="83"/>
        <v>11</v>
      </c>
      <c r="V68" s="2"/>
    </row>
    <row r="69" ht="15.0" customHeight="1">
      <c r="A69" s="74" t="s">
        <v>59</v>
      </c>
      <c r="B69" s="77">
        <v>40.0</v>
      </c>
      <c r="C69" s="77"/>
      <c r="D69" s="77"/>
      <c r="E69" s="77"/>
      <c r="F69" s="76">
        <f t="shared" si="79"/>
        <v>40</v>
      </c>
      <c r="G69" s="77">
        <v>15.0</v>
      </c>
      <c r="H69" s="77"/>
      <c r="I69" s="77"/>
      <c r="J69" s="77"/>
      <c r="K69" s="76">
        <f t="shared" si="80"/>
        <v>15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55</v>
      </c>
      <c r="R69" s="75">
        <f t="shared" si="86"/>
        <v>0</v>
      </c>
      <c r="S69" s="75">
        <f t="shared" si="86"/>
        <v>0</v>
      </c>
      <c r="T69" s="75">
        <f t="shared" si="86"/>
        <v>0</v>
      </c>
      <c r="U69" s="76">
        <f t="shared" si="83"/>
        <v>55</v>
      </c>
      <c r="V69" s="2"/>
    </row>
    <row r="70" ht="15.0" customHeight="1">
      <c r="A70" s="74" t="s">
        <v>104</v>
      </c>
      <c r="B70" s="77">
        <v>61.0</v>
      </c>
      <c r="C70" s="77"/>
      <c r="D70" s="77"/>
      <c r="E70" s="77"/>
      <c r="F70" s="76">
        <f t="shared" si="79"/>
        <v>61</v>
      </c>
      <c r="G70" s="77">
        <v>12.0</v>
      </c>
      <c r="H70" s="77"/>
      <c r="I70" s="77"/>
      <c r="J70" s="77"/>
      <c r="K70" s="76">
        <f t="shared" si="80"/>
        <v>12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73</v>
      </c>
      <c r="R70" s="75">
        <f t="shared" si="87"/>
        <v>0</v>
      </c>
      <c r="S70" s="75">
        <f t="shared" si="87"/>
        <v>0</v>
      </c>
      <c r="T70" s="75">
        <f t="shared" si="87"/>
        <v>0</v>
      </c>
      <c r="U70" s="76">
        <f t="shared" si="83"/>
        <v>73</v>
      </c>
      <c r="V70" s="2"/>
    </row>
    <row r="71" ht="15.0" customHeight="1">
      <c r="A71" s="74" t="s">
        <v>105</v>
      </c>
      <c r="B71" s="77">
        <v>119.0</v>
      </c>
      <c r="C71" s="77"/>
      <c r="D71" s="77"/>
      <c r="E71" s="77"/>
      <c r="F71" s="76">
        <f t="shared" si="79"/>
        <v>119</v>
      </c>
      <c r="G71" s="77">
        <v>81.0</v>
      </c>
      <c r="H71" s="77"/>
      <c r="I71" s="77"/>
      <c r="J71" s="77"/>
      <c r="K71" s="76">
        <f t="shared" si="80"/>
        <v>81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200</v>
      </c>
      <c r="R71" s="75">
        <f t="shared" si="88"/>
        <v>0</v>
      </c>
      <c r="S71" s="75">
        <f t="shared" si="88"/>
        <v>0</v>
      </c>
      <c r="T71" s="75">
        <f t="shared" si="88"/>
        <v>0</v>
      </c>
      <c r="U71" s="76">
        <f t="shared" si="83"/>
        <v>200</v>
      </c>
      <c r="V71" s="2"/>
    </row>
    <row r="72" ht="15.0" customHeight="1">
      <c r="A72" s="74" t="s">
        <v>106</v>
      </c>
      <c r="B72" s="90">
        <v>35.0</v>
      </c>
      <c r="C72" s="90"/>
      <c r="D72" s="90"/>
      <c r="E72" s="90"/>
      <c r="F72" s="76">
        <f t="shared" si="79"/>
        <v>35</v>
      </c>
      <c r="G72" s="90">
        <v>8.0</v>
      </c>
      <c r="H72" s="90"/>
      <c r="I72" s="90"/>
      <c r="J72" s="90"/>
      <c r="K72" s="76">
        <f t="shared" si="80"/>
        <v>8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43</v>
      </c>
      <c r="R72" s="75">
        <f t="shared" si="89"/>
        <v>0</v>
      </c>
      <c r="S72" s="75">
        <f t="shared" si="89"/>
        <v>0</v>
      </c>
      <c r="T72" s="75">
        <f t="shared" si="89"/>
        <v>0</v>
      </c>
      <c r="U72" s="76">
        <f t="shared" si="83"/>
        <v>43</v>
      </c>
      <c r="V72" s="2"/>
    </row>
    <row r="73" ht="15.0" customHeight="1">
      <c r="A73" s="74" t="s">
        <v>107</v>
      </c>
      <c r="B73" s="77">
        <v>10.0</v>
      </c>
      <c r="C73" s="77"/>
      <c r="D73" s="77"/>
      <c r="E73" s="77"/>
      <c r="F73" s="76">
        <f t="shared" si="79"/>
        <v>10</v>
      </c>
      <c r="G73" s="77"/>
      <c r="H73" s="77"/>
      <c r="I73" s="77"/>
      <c r="J73" s="77"/>
      <c r="K73" s="76">
        <f t="shared" si="80"/>
        <v>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10</v>
      </c>
      <c r="R73" s="75">
        <f t="shared" si="90"/>
        <v>0</v>
      </c>
      <c r="S73" s="75">
        <f t="shared" si="90"/>
        <v>0</v>
      </c>
      <c r="T73" s="75">
        <f t="shared" si="90"/>
        <v>0</v>
      </c>
      <c r="U73" s="76">
        <f t="shared" si="83"/>
        <v>10</v>
      </c>
      <c r="V73" s="2"/>
    </row>
    <row r="74" ht="15.0" customHeight="1">
      <c r="A74" s="74" t="s">
        <v>108</v>
      </c>
      <c r="B74" s="77">
        <v>76.0</v>
      </c>
      <c r="C74" s="77"/>
      <c r="D74" s="77"/>
      <c r="E74" s="77"/>
      <c r="F74" s="76">
        <f t="shared" si="79"/>
        <v>76</v>
      </c>
      <c r="G74" s="77">
        <v>79.0</v>
      </c>
      <c r="H74" s="77"/>
      <c r="I74" s="77"/>
      <c r="J74" s="77"/>
      <c r="K74" s="76">
        <f t="shared" si="80"/>
        <v>79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155</v>
      </c>
      <c r="R74" s="75">
        <f t="shared" si="91"/>
        <v>0</v>
      </c>
      <c r="S74" s="75">
        <f t="shared" si="91"/>
        <v>0</v>
      </c>
      <c r="T74" s="75">
        <f t="shared" si="91"/>
        <v>0</v>
      </c>
      <c r="U74" s="76">
        <f t="shared" si="83"/>
        <v>155</v>
      </c>
      <c r="V74" s="2"/>
    </row>
    <row r="75" ht="15.0" customHeight="1">
      <c r="A75" s="74" t="s">
        <v>109</v>
      </c>
      <c r="B75" s="77">
        <v>53.0</v>
      </c>
      <c r="C75" s="77"/>
      <c r="D75" s="77"/>
      <c r="E75" s="77"/>
      <c r="F75" s="76">
        <f t="shared" si="79"/>
        <v>53</v>
      </c>
      <c r="G75" s="77">
        <v>2.0</v>
      </c>
      <c r="H75" s="77"/>
      <c r="I75" s="77"/>
      <c r="J75" s="77"/>
      <c r="K75" s="76">
        <f t="shared" si="80"/>
        <v>2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55</v>
      </c>
      <c r="R75" s="75">
        <f t="shared" si="92"/>
        <v>0</v>
      </c>
      <c r="S75" s="75">
        <f t="shared" si="92"/>
        <v>0</v>
      </c>
      <c r="T75" s="75">
        <f t="shared" si="92"/>
        <v>0</v>
      </c>
      <c r="U75" s="76">
        <f t="shared" si="83"/>
        <v>55</v>
      </c>
      <c r="V75" s="2"/>
    </row>
    <row r="76" ht="15.0" customHeight="1">
      <c r="A76" s="74" t="s">
        <v>65</v>
      </c>
      <c r="B76" s="77">
        <v>12.0</v>
      </c>
      <c r="C76" s="77"/>
      <c r="D76" s="77"/>
      <c r="E76" s="77"/>
      <c r="F76" s="76">
        <f t="shared" si="79"/>
        <v>12</v>
      </c>
      <c r="G76" s="77"/>
      <c r="H76" s="77"/>
      <c r="I76" s="77"/>
      <c r="J76" s="77"/>
      <c r="K76" s="76">
        <f t="shared" si="80"/>
        <v>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12</v>
      </c>
      <c r="R76" s="75">
        <f t="shared" si="93"/>
        <v>0</v>
      </c>
      <c r="S76" s="75">
        <f t="shared" si="93"/>
        <v>0</v>
      </c>
      <c r="T76" s="75">
        <f t="shared" si="93"/>
        <v>0</v>
      </c>
      <c r="U76" s="76">
        <f t="shared" si="83"/>
        <v>12</v>
      </c>
      <c r="V76" s="2"/>
    </row>
    <row r="77" ht="15.0" customHeight="1">
      <c r="A77" s="74" t="s">
        <v>110</v>
      </c>
      <c r="B77" s="77">
        <v>28.0</v>
      </c>
      <c r="C77" s="77"/>
      <c r="D77" s="77"/>
      <c r="E77" s="77"/>
      <c r="F77" s="76">
        <f t="shared" si="79"/>
        <v>28</v>
      </c>
      <c r="G77" s="77">
        <v>55.0</v>
      </c>
      <c r="H77" s="77"/>
      <c r="I77" s="77"/>
      <c r="J77" s="77"/>
      <c r="K77" s="76">
        <f t="shared" si="80"/>
        <v>55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83</v>
      </c>
      <c r="R77" s="75">
        <f t="shared" si="94"/>
        <v>0</v>
      </c>
      <c r="S77" s="75">
        <f t="shared" si="94"/>
        <v>0</v>
      </c>
      <c r="T77" s="75">
        <f t="shared" si="94"/>
        <v>0</v>
      </c>
      <c r="U77" s="76">
        <f t="shared" si="83"/>
        <v>83</v>
      </c>
      <c r="V77" s="2"/>
    </row>
    <row r="78" ht="15.0" customHeight="1">
      <c r="A78" s="74" t="s">
        <v>111</v>
      </c>
      <c r="B78" s="77">
        <v>7.0</v>
      </c>
      <c r="C78" s="77"/>
      <c r="D78" s="77"/>
      <c r="E78" s="77"/>
      <c r="F78" s="76">
        <f t="shared" si="79"/>
        <v>7</v>
      </c>
      <c r="G78" s="77"/>
      <c r="H78" s="77"/>
      <c r="I78" s="77"/>
      <c r="J78" s="77"/>
      <c r="K78" s="76">
        <f t="shared" si="80"/>
        <v>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7</v>
      </c>
      <c r="R78" s="75">
        <f t="shared" si="95"/>
        <v>0</v>
      </c>
      <c r="S78" s="75">
        <f t="shared" si="95"/>
        <v>0</v>
      </c>
      <c r="T78" s="75">
        <f t="shared" si="95"/>
        <v>0</v>
      </c>
      <c r="U78" s="76">
        <f t="shared" si="83"/>
        <v>7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/>
      <c r="H79" s="77"/>
      <c r="I79" s="77"/>
      <c r="J79" s="77"/>
      <c r="K79" s="76">
        <f t="shared" si="80"/>
        <v>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18665</v>
      </c>
      <c r="C9" s="70">
        <f t="shared" si="1"/>
        <v>3953</v>
      </c>
      <c r="D9" s="70">
        <f t="shared" si="1"/>
        <v>840</v>
      </c>
      <c r="E9" s="70">
        <f t="shared" si="1"/>
        <v>474</v>
      </c>
      <c r="F9" s="71">
        <f t="shared" si="1"/>
        <v>23932</v>
      </c>
      <c r="G9" s="70">
        <f t="shared" si="1"/>
        <v>1781</v>
      </c>
      <c r="H9" s="70">
        <f t="shared" si="1"/>
        <v>895</v>
      </c>
      <c r="I9" s="70">
        <f t="shared" si="1"/>
        <v>32</v>
      </c>
      <c r="J9" s="70">
        <f t="shared" si="1"/>
        <v>948</v>
      </c>
      <c r="K9" s="71">
        <f t="shared" si="1"/>
        <v>3656</v>
      </c>
      <c r="L9" s="70">
        <f t="shared" si="1"/>
        <v>1076</v>
      </c>
      <c r="M9" s="70">
        <f t="shared" si="1"/>
        <v>270</v>
      </c>
      <c r="N9" s="70">
        <f t="shared" si="1"/>
        <v>7</v>
      </c>
      <c r="O9" s="70">
        <f t="shared" si="1"/>
        <v>0</v>
      </c>
      <c r="P9" s="71">
        <f t="shared" si="1"/>
        <v>1353</v>
      </c>
      <c r="Q9" s="70">
        <f t="shared" si="1"/>
        <v>21522</v>
      </c>
      <c r="R9" s="70">
        <f t="shared" si="1"/>
        <v>5118</v>
      </c>
      <c r="S9" s="70">
        <f t="shared" si="1"/>
        <v>879</v>
      </c>
      <c r="T9" s="70">
        <f t="shared" si="1"/>
        <v>1373</v>
      </c>
      <c r="U9" s="71">
        <f t="shared" si="1"/>
        <v>28892</v>
      </c>
      <c r="V9" s="2"/>
    </row>
    <row r="10" ht="15.75" customHeight="1">
      <c r="A10" s="72" t="s">
        <v>49</v>
      </c>
      <c r="B10" s="73">
        <f t="shared" ref="B10:U10" si="2">SUM(B11:B16)</f>
        <v>21</v>
      </c>
      <c r="C10" s="73">
        <f t="shared" si="2"/>
        <v>0</v>
      </c>
      <c r="D10" s="73">
        <f t="shared" si="2"/>
        <v>1</v>
      </c>
      <c r="E10" s="73">
        <f t="shared" si="2"/>
        <v>0</v>
      </c>
      <c r="F10" s="73">
        <f t="shared" si="2"/>
        <v>22</v>
      </c>
      <c r="G10" s="73">
        <f t="shared" si="2"/>
        <v>2</v>
      </c>
      <c r="H10" s="73">
        <f t="shared" si="2"/>
        <v>0</v>
      </c>
      <c r="I10" s="73">
        <f t="shared" si="2"/>
        <v>0</v>
      </c>
      <c r="J10" s="73">
        <f t="shared" si="2"/>
        <v>16</v>
      </c>
      <c r="K10" s="73">
        <f t="shared" si="2"/>
        <v>18</v>
      </c>
      <c r="L10" s="73">
        <f t="shared" si="2"/>
        <v>22</v>
      </c>
      <c r="M10" s="73">
        <f t="shared" si="2"/>
        <v>59</v>
      </c>
      <c r="N10" s="73">
        <f t="shared" si="2"/>
        <v>0</v>
      </c>
      <c r="O10" s="73">
        <f t="shared" si="2"/>
        <v>0</v>
      </c>
      <c r="P10" s="73">
        <f t="shared" si="2"/>
        <v>81</v>
      </c>
      <c r="Q10" s="73">
        <f t="shared" si="2"/>
        <v>45</v>
      </c>
      <c r="R10" s="73">
        <f t="shared" si="2"/>
        <v>59</v>
      </c>
      <c r="S10" s="73">
        <f t="shared" si="2"/>
        <v>1</v>
      </c>
      <c r="T10" s="73">
        <f t="shared" si="2"/>
        <v>16</v>
      </c>
      <c r="U10" s="73">
        <f t="shared" si="2"/>
        <v>121</v>
      </c>
      <c r="V10" s="2" t="s">
        <v>114</v>
      </c>
    </row>
    <row r="11" ht="15.0" customHeight="1">
      <c r="A11" s="74" t="s">
        <v>50</v>
      </c>
      <c r="B11" s="75">
        <v>3.0</v>
      </c>
      <c r="C11" s="75"/>
      <c r="D11" s="75"/>
      <c r="E11" s="75"/>
      <c r="F11" s="76">
        <f t="shared" ref="F11:F16" si="4">SUM(B11:E11)</f>
        <v>3</v>
      </c>
      <c r="G11" s="75"/>
      <c r="H11" s="75"/>
      <c r="I11" s="75"/>
      <c r="J11" s="75"/>
      <c r="K11" s="76">
        <f t="shared" ref="K11:K16" si="5">SUM(G11:J11)</f>
        <v>0</v>
      </c>
      <c r="L11" s="75">
        <v>16.0</v>
      </c>
      <c r="M11" s="75">
        <v>59.0</v>
      </c>
      <c r="N11" s="75"/>
      <c r="O11" s="75"/>
      <c r="P11" s="76">
        <f t="shared" ref="P11:P16" si="6">SUM(L11:O11)</f>
        <v>75</v>
      </c>
      <c r="Q11" s="75">
        <f t="shared" ref="Q11:T11" si="3">SUM(B11,G11,L11)</f>
        <v>19</v>
      </c>
      <c r="R11" s="75">
        <f t="shared" si="3"/>
        <v>59</v>
      </c>
      <c r="S11" s="75">
        <f t="shared" si="3"/>
        <v>0</v>
      </c>
      <c r="T11" s="75">
        <f t="shared" si="3"/>
        <v>0</v>
      </c>
      <c r="U11" s="76">
        <f t="shared" ref="U11:U16" si="8">SUM(Q11:T11)</f>
        <v>78</v>
      </c>
      <c r="V11" s="2"/>
    </row>
    <row r="12" ht="15.0" customHeight="1">
      <c r="A12" s="74" t="s">
        <v>51</v>
      </c>
      <c r="B12" s="77">
        <v>3.0</v>
      </c>
      <c r="C12" s="77"/>
      <c r="D12" s="77"/>
      <c r="E12" s="77"/>
      <c r="F12" s="78">
        <f t="shared" si="4"/>
        <v>3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3</v>
      </c>
      <c r="R12" s="77">
        <f t="shared" si="7"/>
        <v>0</v>
      </c>
      <c r="S12" s="77">
        <f t="shared" si="7"/>
        <v>0</v>
      </c>
      <c r="T12" s="77">
        <f t="shared" si="7"/>
        <v>0</v>
      </c>
      <c r="U12" s="78">
        <f t="shared" si="8"/>
        <v>3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>
        <v>16.0</v>
      </c>
      <c r="K13" s="78">
        <f t="shared" si="5"/>
        <v>16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16</v>
      </c>
      <c r="U13" s="78">
        <f t="shared" si="8"/>
        <v>16</v>
      </c>
      <c r="V13" s="2"/>
    </row>
    <row r="14" ht="15.0" customHeight="1">
      <c r="A14" s="74" t="s">
        <v>53</v>
      </c>
      <c r="B14" s="77"/>
      <c r="C14" s="77"/>
      <c r="D14" s="77"/>
      <c r="E14" s="77"/>
      <c r="F14" s="78">
        <f t="shared" si="4"/>
        <v>0</v>
      </c>
      <c r="G14" s="77"/>
      <c r="H14" s="77"/>
      <c r="I14" s="77"/>
      <c r="J14" s="77"/>
      <c r="K14" s="78">
        <f t="shared" si="5"/>
        <v>0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0</v>
      </c>
      <c r="V14" s="2"/>
    </row>
    <row r="15" ht="15.0" customHeight="1">
      <c r="A15" s="74" t="s">
        <v>54</v>
      </c>
      <c r="B15" s="77">
        <v>5.0</v>
      </c>
      <c r="C15" s="77"/>
      <c r="D15" s="77">
        <v>1.0</v>
      </c>
      <c r="E15" s="77"/>
      <c r="F15" s="78">
        <f t="shared" si="4"/>
        <v>6</v>
      </c>
      <c r="G15" s="77"/>
      <c r="H15" s="77"/>
      <c r="I15" s="77"/>
      <c r="J15" s="77"/>
      <c r="K15" s="78">
        <f t="shared" si="5"/>
        <v>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5</v>
      </c>
      <c r="R15" s="77">
        <f t="shared" si="11"/>
        <v>0</v>
      </c>
      <c r="S15" s="77">
        <f t="shared" si="11"/>
        <v>1</v>
      </c>
      <c r="T15" s="77">
        <f t="shared" si="11"/>
        <v>0</v>
      </c>
      <c r="U15" s="78">
        <f t="shared" si="8"/>
        <v>6</v>
      </c>
      <c r="V15" s="2"/>
    </row>
    <row r="16" ht="15.75" customHeight="1">
      <c r="A16" s="74" t="s">
        <v>55</v>
      </c>
      <c r="B16" s="77">
        <v>10.0</v>
      </c>
      <c r="C16" s="77"/>
      <c r="D16" s="77"/>
      <c r="E16" s="77"/>
      <c r="F16" s="78">
        <f t="shared" si="4"/>
        <v>10</v>
      </c>
      <c r="G16" s="77">
        <v>2.0</v>
      </c>
      <c r="H16" s="77"/>
      <c r="I16" s="77"/>
      <c r="J16" s="77"/>
      <c r="K16" s="78">
        <f t="shared" si="5"/>
        <v>2</v>
      </c>
      <c r="L16" s="77">
        <v>6.0</v>
      </c>
      <c r="M16" s="77"/>
      <c r="N16" s="77"/>
      <c r="O16" s="77"/>
      <c r="P16" s="78">
        <f t="shared" si="6"/>
        <v>6</v>
      </c>
      <c r="Q16" s="77">
        <f t="shared" ref="Q16:T16" si="12">SUM(B16,G16,L16)</f>
        <v>18</v>
      </c>
      <c r="R16" s="77">
        <f t="shared" si="12"/>
        <v>0</v>
      </c>
      <c r="S16" s="77">
        <f t="shared" si="12"/>
        <v>0</v>
      </c>
      <c r="T16" s="77">
        <f t="shared" si="12"/>
        <v>0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1112</v>
      </c>
      <c r="C17" s="73">
        <f t="shared" si="13"/>
        <v>185</v>
      </c>
      <c r="D17" s="73">
        <f t="shared" si="13"/>
        <v>548</v>
      </c>
      <c r="E17" s="73">
        <f t="shared" si="13"/>
        <v>0</v>
      </c>
      <c r="F17" s="73">
        <f t="shared" si="13"/>
        <v>1845</v>
      </c>
      <c r="G17" s="73">
        <f t="shared" si="13"/>
        <v>791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791</v>
      </c>
      <c r="L17" s="73">
        <f t="shared" si="13"/>
        <v>272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272</v>
      </c>
      <c r="Q17" s="73">
        <f t="shared" si="13"/>
        <v>2175</v>
      </c>
      <c r="R17" s="73">
        <f>R18+R19+R20+R21+R22+R23+R24+R25+R26+R27+R28</f>
        <v>185</v>
      </c>
      <c r="S17" s="73">
        <f t="shared" ref="S17:U17" si="14">SUM(S18:S28)</f>
        <v>548</v>
      </c>
      <c r="T17" s="73">
        <f t="shared" si="14"/>
        <v>0</v>
      </c>
      <c r="U17" s="73">
        <f t="shared" si="14"/>
        <v>2908</v>
      </c>
      <c r="V17" s="2" t="s">
        <v>114</v>
      </c>
    </row>
    <row r="18" ht="15.0" customHeight="1">
      <c r="A18" s="74" t="s">
        <v>57</v>
      </c>
      <c r="B18" s="75">
        <v>65.0</v>
      </c>
      <c r="C18" s="75"/>
      <c r="D18" s="75"/>
      <c r="E18" s="75"/>
      <c r="F18" s="76">
        <f t="shared" ref="F18:F28" si="16">SUM(B18:E18)</f>
        <v>65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65</v>
      </c>
      <c r="R18" s="75">
        <f t="shared" si="15"/>
        <v>0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65</v>
      </c>
      <c r="V18" s="2"/>
    </row>
    <row r="19" ht="15.0" customHeight="1">
      <c r="A19" s="74" t="s">
        <v>58</v>
      </c>
      <c r="B19" s="77">
        <v>241.0</v>
      </c>
      <c r="C19" s="77"/>
      <c r="D19" s="75"/>
      <c r="E19" s="75"/>
      <c r="F19" s="76">
        <f t="shared" si="16"/>
        <v>241</v>
      </c>
      <c r="G19" s="77"/>
      <c r="H19" s="77"/>
      <c r="I19" s="77"/>
      <c r="J19" s="77"/>
      <c r="K19" s="76">
        <f t="shared" si="17"/>
        <v>0</v>
      </c>
      <c r="L19" s="77">
        <v>219.0</v>
      </c>
      <c r="M19" s="77"/>
      <c r="N19" s="77"/>
      <c r="O19" s="77"/>
      <c r="P19" s="76">
        <f t="shared" si="18"/>
        <v>219</v>
      </c>
      <c r="Q19" s="75">
        <f t="shared" ref="Q19:T19" si="19">B19+G19+L19</f>
        <v>460</v>
      </c>
      <c r="R19" s="75">
        <f t="shared" si="19"/>
        <v>0</v>
      </c>
      <c r="S19" s="75">
        <f t="shared" si="19"/>
        <v>0</v>
      </c>
      <c r="T19" s="75">
        <f t="shared" si="19"/>
        <v>0</v>
      </c>
      <c r="U19" s="78">
        <f t="shared" si="20"/>
        <v>460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>
        <v>192.0</v>
      </c>
      <c r="C21" s="77">
        <v>185.0</v>
      </c>
      <c r="D21" s="77"/>
      <c r="E21" s="77"/>
      <c r="F21" s="76">
        <f t="shared" si="16"/>
        <v>377</v>
      </c>
      <c r="G21" s="77">
        <v>20.0</v>
      </c>
      <c r="H21" s="77"/>
      <c r="I21" s="77"/>
      <c r="J21" s="77"/>
      <c r="K21" s="76">
        <f t="shared" si="17"/>
        <v>20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212</v>
      </c>
      <c r="R21" s="75">
        <f t="shared" si="22"/>
        <v>185</v>
      </c>
      <c r="S21" s="75">
        <f t="shared" si="22"/>
        <v>0</v>
      </c>
      <c r="T21" s="75">
        <f t="shared" si="22"/>
        <v>0</v>
      </c>
      <c r="U21" s="78">
        <f t="shared" si="20"/>
        <v>397</v>
      </c>
      <c r="V21" s="2"/>
    </row>
    <row r="22" ht="15.0" customHeight="1">
      <c r="A22" s="74" t="s">
        <v>61</v>
      </c>
      <c r="B22" s="77"/>
      <c r="C22" s="77"/>
      <c r="D22" s="77"/>
      <c r="E22" s="77"/>
      <c r="F22" s="76">
        <f t="shared" si="16"/>
        <v>0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0</v>
      </c>
      <c r="V22" s="2"/>
    </row>
    <row r="23" ht="15.0" customHeight="1">
      <c r="A23" s="74" t="s">
        <v>62</v>
      </c>
      <c r="B23" s="77">
        <v>287.0</v>
      </c>
      <c r="C23" s="77"/>
      <c r="D23" s="77"/>
      <c r="E23" s="77"/>
      <c r="F23" s="76">
        <f t="shared" si="16"/>
        <v>287</v>
      </c>
      <c r="G23" s="77">
        <v>292.0</v>
      </c>
      <c r="H23" s="77"/>
      <c r="I23" s="77"/>
      <c r="J23" s="77"/>
      <c r="K23" s="76">
        <f t="shared" si="17"/>
        <v>292</v>
      </c>
      <c r="L23" s="77">
        <v>53.0</v>
      </c>
      <c r="M23" s="77"/>
      <c r="N23" s="77"/>
      <c r="O23" s="77"/>
      <c r="P23" s="76">
        <f t="shared" si="18"/>
        <v>53</v>
      </c>
      <c r="Q23" s="75">
        <f t="shared" ref="Q23:T23" si="24">B23+G23+L23</f>
        <v>632</v>
      </c>
      <c r="R23" s="75">
        <f t="shared" si="24"/>
        <v>0</v>
      </c>
      <c r="S23" s="75">
        <f t="shared" si="24"/>
        <v>0</v>
      </c>
      <c r="T23" s="75">
        <f t="shared" si="24"/>
        <v>0</v>
      </c>
      <c r="U23" s="78">
        <f t="shared" si="20"/>
        <v>632</v>
      </c>
      <c r="V23" s="2"/>
    </row>
    <row r="24" ht="15.0" customHeight="1">
      <c r="A24" s="74" t="s">
        <v>63</v>
      </c>
      <c r="B24" s="79"/>
      <c r="C24" s="77"/>
      <c r="D24" s="77"/>
      <c r="E24" s="77"/>
      <c r="F24" s="76">
        <f t="shared" si="16"/>
        <v>0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0</v>
      </c>
      <c r="V24" s="2"/>
    </row>
    <row r="25" ht="15.0" customHeight="1">
      <c r="A25" s="74" t="s">
        <v>17</v>
      </c>
      <c r="B25" s="75"/>
      <c r="C25" s="75"/>
      <c r="D25" s="77"/>
      <c r="E25" s="77"/>
      <c r="F25" s="76">
        <f t="shared" si="16"/>
        <v>0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0</v>
      </c>
      <c r="V25" s="2"/>
    </row>
    <row r="26" ht="15.0" customHeight="1">
      <c r="A26" s="74" t="s">
        <v>64</v>
      </c>
      <c r="B26" s="77"/>
      <c r="C26" s="80"/>
      <c r="D26" s="80"/>
      <c r="E26" s="75"/>
      <c r="F26" s="76">
        <f t="shared" si="16"/>
        <v>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0</v>
      </c>
      <c r="V26" s="2"/>
    </row>
    <row r="27" ht="15.0" customHeight="1">
      <c r="A27" s="74" t="s">
        <v>65</v>
      </c>
      <c r="B27" s="77">
        <v>7.0</v>
      </c>
      <c r="C27" s="77"/>
      <c r="D27" s="77"/>
      <c r="E27" s="77"/>
      <c r="F27" s="76">
        <f t="shared" si="16"/>
        <v>7</v>
      </c>
      <c r="G27" s="77">
        <v>21.0</v>
      </c>
      <c r="H27" s="77"/>
      <c r="I27" s="77"/>
      <c r="J27" s="77"/>
      <c r="K27" s="76">
        <f t="shared" si="17"/>
        <v>21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28</v>
      </c>
      <c r="R27" s="75">
        <f t="shared" si="28"/>
        <v>0</v>
      </c>
      <c r="S27" s="75">
        <f t="shared" si="28"/>
        <v>0</v>
      </c>
      <c r="T27" s="75">
        <f t="shared" si="28"/>
        <v>0</v>
      </c>
      <c r="U27" s="78">
        <f t="shared" si="20"/>
        <v>28</v>
      </c>
      <c r="V27" s="2"/>
    </row>
    <row r="28" ht="15.75" customHeight="1">
      <c r="A28" s="74" t="s">
        <v>54</v>
      </c>
      <c r="B28" s="77">
        <v>320.0</v>
      </c>
      <c r="C28" s="77"/>
      <c r="D28" s="77">
        <v>548.0</v>
      </c>
      <c r="E28" s="77"/>
      <c r="F28" s="76">
        <f t="shared" si="16"/>
        <v>868</v>
      </c>
      <c r="G28" s="77">
        <v>458.0</v>
      </c>
      <c r="H28" s="77"/>
      <c r="I28" s="77"/>
      <c r="J28" s="77"/>
      <c r="K28" s="76">
        <f t="shared" si="17"/>
        <v>458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778</v>
      </c>
      <c r="R28" s="75">
        <f t="shared" si="29"/>
        <v>0</v>
      </c>
      <c r="S28" s="75">
        <f t="shared" si="29"/>
        <v>548</v>
      </c>
      <c r="T28" s="75">
        <f t="shared" si="29"/>
        <v>0</v>
      </c>
      <c r="U28" s="78">
        <f t="shared" si="20"/>
        <v>1326</v>
      </c>
      <c r="V28" s="2"/>
    </row>
    <row r="29" ht="15.75" customHeight="1">
      <c r="A29" s="72" t="s">
        <v>66</v>
      </c>
      <c r="B29" s="73">
        <f t="shared" ref="B29:U29" si="30">SUM(B30:B44)</f>
        <v>17181</v>
      </c>
      <c r="C29" s="73">
        <f t="shared" si="30"/>
        <v>3474</v>
      </c>
      <c r="D29" s="73">
        <f t="shared" si="30"/>
        <v>0</v>
      </c>
      <c r="E29" s="73">
        <f t="shared" si="30"/>
        <v>0</v>
      </c>
      <c r="F29" s="81">
        <f t="shared" si="30"/>
        <v>20655</v>
      </c>
      <c r="G29" s="73">
        <f t="shared" si="30"/>
        <v>916</v>
      </c>
      <c r="H29" s="73">
        <f t="shared" si="30"/>
        <v>895</v>
      </c>
      <c r="I29" s="73">
        <f t="shared" si="30"/>
        <v>0</v>
      </c>
      <c r="J29" s="73">
        <f t="shared" si="30"/>
        <v>28</v>
      </c>
      <c r="K29" s="81">
        <f t="shared" si="30"/>
        <v>1839</v>
      </c>
      <c r="L29" s="73">
        <f t="shared" si="30"/>
        <v>78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78</v>
      </c>
      <c r="Q29" s="73">
        <f t="shared" si="30"/>
        <v>18175</v>
      </c>
      <c r="R29" s="73">
        <f t="shared" si="30"/>
        <v>4369</v>
      </c>
      <c r="S29" s="73">
        <f t="shared" si="30"/>
        <v>0</v>
      </c>
      <c r="T29" s="73">
        <f t="shared" si="30"/>
        <v>28</v>
      </c>
      <c r="U29" s="81">
        <f t="shared" si="30"/>
        <v>22572</v>
      </c>
      <c r="V29" s="2" t="s">
        <v>114</v>
      </c>
    </row>
    <row r="30" ht="15.0" customHeight="1">
      <c r="A30" s="74" t="s">
        <v>67</v>
      </c>
      <c r="B30" s="75">
        <v>160.0</v>
      </c>
      <c r="C30" s="75"/>
      <c r="D30" s="75"/>
      <c r="E30" s="75"/>
      <c r="F30" s="76">
        <f t="shared" ref="F30:F44" si="32">SUM(B30:E30)</f>
        <v>160</v>
      </c>
      <c r="G30" s="75">
        <v>30.0</v>
      </c>
      <c r="H30" s="75"/>
      <c r="I30" s="75"/>
      <c r="J30" s="75"/>
      <c r="K30" s="76">
        <f t="shared" ref="K30:K44" si="33">SUM(G30:J30)</f>
        <v>30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190</v>
      </c>
      <c r="R30" s="75">
        <f t="shared" si="31"/>
        <v>0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190</v>
      </c>
      <c r="V30" s="2"/>
    </row>
    <row r="31" ht="15.0" customHeight="1">
      <c r="A31" s="74" t="s">
        <v>68</v>
      </c>
      <c r="B31" s="77">
        <v>633.0</v>
      </c>
      <c r="C31" s="77">
        <v>1266.0</v>
      </c>
      <c r="D31" s="77"/>
      <c r="E31" s="77"/>
      <c r="F31" s="76">
        <f t="shared" si="32"/>
        <v>1899</v>
      </c>
      <c r="G31" s="77">
        <v>23.0</v>
      </c>
      <c r="H31" s="77">
        <v>61.0</v>
      </c>
      <c r="I31" s="77"/>
      <c r="J31" s="77"/>
      <c r="K31" s="76">
        <f t="shared" si="33"/>
        <v>84</v>
      </c>
      <c r="L31" s="77">
        <v>78.0</v>
      </c>
      <c r="M31" s="77"/>
      <c r="N31" s="77"/>
      <c r="O31" s="77"/>
      <c r="P31" s="78">
        <f t="shared" si="34"/>
        <v>78</v>
      </c>
      <c r="Q31" s="77">
        <f t="shared" ref="Q31:T31" si="35">SUM(B31,G31,L31)</f>
        <v>734</v>
      </c>
      <c r="R31" s="77">
        <f t="shared" si="35"/>
        <v>1327</v>
      </c>
      <c r="S31" s="77">
        <f t="shared" si="35"/>
        <v>0</v>
      </c>
      <c r="T31" s="77">
        <f t="shared" si="35"/>
        <v>0</v>
      </c>
      <c r="U31" s="78">
        <f t="shared" si="36"/>
        <v>2061</v>
      </c>
      <c r="V31" s="2"/>
    </row>
    <row r="32" ht="15.0" customHeight="1">
      <c r="A32" s="74" t="s">
        <v>69</v>
      </c>
      <c r="B32" s="77">
        <v>446.0</v>
      </c>
      <c r="C32" s="77"/>
      <c r="D32" s="77"/>
      <c r="E32" s="77"/>
      <c r="F32" s="76">
        <f t="shared" si="32"/>
        <v>446</v>
      </c>
      <c r="G32" s="77"/>
      <c r="H32" s="77"/>
      <c r="I32" s="77"/>
      <c r="J32" s="77"/>
      <c r="K32" s="76">
        <f t="shared" si="33"/>
        <v>0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446</v>
      </c>
      <c r="R32" s="77">
        <f t="shared" si="37"/>
        <v>0</v>
      </c>
      <c r="S32" s="77">
        <f t="shared" si="37"/>
        <v>0</v>
      </c>
      <c r="T32" s="77">
        <f t="shared" si="37"/>
        <v>0</v>
      </c>
      <c r="U32" s="78">
        <f t="shared" si="36"/>
        <v>446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>
        <v>2246.0</v>
      </c>
      <c r="C34" s="77">
        <v>726.0</v>
      </c>
      <c r="D34" s="77"/>
      <c r="E34" s="77"/>
      <c r="F34" s="76">
        <f t="shared" si="32"/>
        <v>2972</v>
      </c>
      <c r="G34" s="77">
        <v>35.0</v>
      </c>
      <c r="H34" s="77">
        <v>22.0</v>
      </c>
      <c r="I34" s="77"/>
      <c r="J34" s="77"/>
      <c r="K34" s="76">
        <f t="shared" si="33"/>
        <v>57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2281</v>
      </c>
      <c r="R34" s="77">
        <f t="shared" si="39"/>
        <v>748</v>
      </c>
      <c r="S34" s="77">
        <f t="shared" si="39"/>
        <v>0</v>
      </c>
      <c r="T34" s="77">
        <f t="shared" si="39"/>
        <v>0</v>
      </c>
      <c r="U34" s="78">
        <f t="shared" si="36"/>
        <v>3029</v>
      </c>
      <c r="V34" s="2"/>
    </row>
    <row r="35" ht="15.0" customHeight="1">
      <c r="A35" s="74" t="s">
        <v>72</v>
      </c>
      <c r="B35" s="77">
        <v>2083.0</v>
      </c>
      <c r="C35" s="77"/>
      <c r="D35" s="77"/>
      <c r="E35" s="77"/>
      <c r="F35" s="76">
        <f t="shared" si="32"/>
        <v>2083</v>
      </c>
      <c r="G35" s="77">
        <v>39.0</v>
      </c>
      <c r="H35" s="77"/>
      <c r="I35" s="77"/>
      <c r="J35" s="77"/>
      <c r="K35" s="76">
        <f t="shared" si="33"/>
        <v>39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2122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2122</v>
      </c>
      <c r="V35" s="2"/>
    </row>
    <row r="36" ht="15.0" customHeight="1">
      <c r="A36" s="74" t="s">
        <v>73</v>
      </c>
      <c r="B36" s="77">
        <v>482.0</v>
      </c>
      <c r="C36" s="77">
        <v>345.0</v>
      </c>
      <c r="D36" s="77"/>
      <c r="E36" s="77"/>
      <c r="F36" s="76">
        <f t="shared" si="32"/>
        <v>827</v>
      </c>
      <c r="G36" s="77">
        <v>252.0</v>
      </c>
      <c r="H36" s="77"/>
      <c r="I36" s="77"/>
      <c r="J36" s="77"/>
      <c r="K36" s="76">
        <f t="shared" si="33"/>
        <v>252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734</v>
      </c>
      <c r="R36" s="77">
        <f t="shared" si="41"/>
        <v>345</v>
      </c>
      <c r="S36" s="77">
        <f t="shared" si="41"/>
        <v>0</v>
      </c>
      <c r="T36" s="77">
        <f t="shared" si="41"/>
        <v>0</v>
      </c>
      <c r="U36" s="78">
        <f t="shared" si="36"/>
        <v>1079</v>
      </c>
      <c r="V36" s="2"/>
    </row>
    <row r="37" ht="15.0" customHeight="1">
      <c r="A37" s="74" t="s">
        <v>74</v>
      </c>
      <c r="B37" s="77">
        <v>8801.0</v>
      </c>
      <c r="C37" s="77">
        <v>1069.0</v>
      </c>
      <c r="D37" s="77"/>
      <c r="E37" s="77"/>
      <c r="F37" s="76">
        <f t="shared" si="32"/>
        <v>9870</v>
      </c>
      <c r="G37" s="77">
        <v>426.0</v>
      </c>
      <c r="H37" s="77">
        <v>812.0</v>
      </c>
      <c r="I37" s="77"/>
      <c r="J37" s="77"/>
      <c r="K37" s="76">
        <f t="shared" si="33"/>
        <v>1238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9227</v>
      </c>
      <c r="R37" s="77">
        <f t="shared" si="42"/>
        <v>1881</v>
      </c>
      <c r="S37" s="77">
        <f t="shared" ref="S37:S41" si="44">SUM(D37,I36,N37)</f>
        <v>0</v>
      </c>
      <c r="T37" s="77">
        <f t="shared" ref="T37:T41" si="45">SUM(E37,J37,O37)</f>
        <v>0</v>
      </c>
      <c r="U37" s="78">
        <f t="shared" si="36"/>
        <v>11108</v>
      </c>
      <c r="V37" s="2"/>
    </row>
    <row r="38" ht="15.0" customHeight="1">
      <c r="A38" s="74" t="s">
        <v>75</v>
      </c>
      <c r="B38" s="77"/>
      <c r="C38" s="77"/>
      <c r="D38" s="77"/>
      <c r="E38" s="77"/>
      <c r="F38" s="76">
        <f t="shared" si="32"/>
        <v>0</v>
      </c>
      <c r="G38" s="77"/>
      <c r="H38" s="77"/>
      <c r="I38" s="77"/>
      <c r="J38" s="77"/>
      <c r="K38" s="76">
        <f t="shared" si="33"/>
        <v>0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0</v>
      </c>
      <c r="T38" s="77">
        <f t="shared" si="45"/>
        <v>0</v>
      </c>
      <c r="U38" s="78">
        <f t="shared" si="36"/>
        <v>0</v>
      </c>
      <c r="V38" s="2"/>
    </row>
    <row r="39" ht="15.0" customHeight="1">
      <c r="A39" s="74" t="s">
        <v>76</v>
      </c>
      <c r="B39" s="77">
        <v>261.0</v>
      </c>
      <c r="C39" s="77"/>
      <c r="D39" s="77"/>
      <c r="E39" s="77"/>
      <c r="F39" s="76">
        <f t="shared" si="32"/>
        <v>261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261</v>
      </c>
      <c r="R39" s="77">
        <f t="shared" si="46"/>
        <v>0</v>
      </c>
      <c r="S39" s="77">
        <f t="shared" si="44"/>
        <v>0</v>
      </c>
      <c r="T39" s="77">
        <f t="shared" si="45"/>
        <v>0</v>
      </c>
      <c r="U39" s="78">
        <f t="shared" si="36"/>
        <v>261</v>
      </c>
      <c r="V39" s="2"/>
    </row>
    <row r="40" ht="15.0" customHeight="1">
      <c r="A40" s="74" t="s">
        <v>77</v>
      </c>
      <c r="B40" s="77"/>
      <c r="C40" s="77"/>
      <c r="D40" s="77"/>
      <c r="E40" s="77"/>
      <c r="F40" s="76">
        <f t="shared" si="32"/>
        <v>0</v>
      </c>
      <c r="G40" s="77"/>
      <c r="H40" s="77"/>
      <c r="I40" s="77"/>
      <c r="J40" s="77"/>
      <c r="K40" s="76">
        <f t="shared" si="33"/>
        <v>0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0</v>
      </c>
      <c r="V40" s="2"/>
    </row>
    <row r="41" ht="15.0" customHeight="1">
      <c r="A41" s="74" t="s">
        <v>78</v>
      </c>
      <c r="B41" s="77">
        <v>412.0</v>
      </c>
      <c r="C41" s="77"/>
      <c r="D41" s="77"/>
      <c r="E41" s="77"/>
      <c r="F41" s="76">
        <f t="shared" si="32"/>
        <v>412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412</v>
      </c>
      <c r="R41" s="77">
        <f t="shared" si="48"/>
        <v>0</v>
      </c>
      <c r="S41" s="77">
        <f t="shared" si="44"/>
        <v>0</v>
      </c>
      <c r="T41" s="77">
        <f t="shared" si="45"/>
        <v>0</v>
      </c>
      <c r="U41" s="78">
        <f t="shared" si="36"/>
        <v>412</v>
      </c>
      <c r="V41" s="2"/>
    </row>
    <row r="42" ht="15.0" customHeight="1">
      <c r="A42" s="74" t="s">
        <v>79</v>
      </c>
      <c r="B42" s="77"/>
      <c r="C42" s="77"/>
      <c r="D42" s="77"/>
      <c r="E42" s="77"/>
      <c r="F42" s="76">
        <f t="shared" si="32"/>
        <v>0</v>
      </c>
      <c r="G42" s="77"/>
      <c r="H42" s="77"/>
      <c r="I42" s="77"/>
      <c r="J42" s="77"/>
      <c r="K42" s="76">
        <f t="shared" si="33"/>
        <v>0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0</v>
      </c>
      <c r="T42" s="77">
        <f t="shared" si="49"/>
        <v>0</v>
      </c>
      <c r="U42" s="78">
        <f t="shared" si="36"/>
        <v>0</v>
      </c>
      <c r="V42" s="2"/>
    </row>
    <row r="43" ht="15.0" customHeight="1">
      <c r="A43" s="74" t="s">
        <v>80</v>
      </c>
      <c r="B43" s="77">
        <v>1633.0</v>
      </c>
      <c r="C43" s="77"/>
      <c r="D43" s="77"/>
      <c r="E43" s="77"/>
      <c r="F43" s="76">
        <f t="shared" si="32"/>
        <v>1633</v>
      </c>
      <c r="G43" s="77">
        <v>111.0</v>
      </c>
      <c r="H43" s="77"/>
      <c r="I43" s="77"/>
      <c r="J43" s="77"/>
      <c r="K43" s="76">
        <f t="shared" si="33"/>
        <v>111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1744</v>
      </c>
      <c r="R43" s="77">
        <f t="shared" si="50"/>
        <v>0</v>
      </c>
      <c r="S43" s="77">
        <f t="shared" si="50"/>
        <v>0</v>
      </c>
      <c r="T43" s="77">
        <f t="shared" si="50"/>
        <v>0</v>
      </c>
      <c r="U43" s="78">
        <f t="shared" si="36"/>
        <v>1744</v>
      </c>
      <c r="V43" s="2"/>
    </row>
    <row r="44" ht="15.75" customHeight="1">
      <c r="A44" s="74" t="s">
        <v>81</v>
      </c>
      <c r="B44" s="77">
        <v>24.0</v>
      </c>
      <c r="C44" s="77">
        <v>68.0</v>
      </c>
      <c r="D44" s="77"/>
      <c r="E44" s="77"/>
      <c r="F44" s="76">
        <f t="shared" si="32"/>
        <v>92</v>
      </c>
      <c r="G44" s="77"/>
      <c r="H44" s="77"/>
      <c r="I44" s="77"/>
      <c r="J44" s="77">
        <v>28.0</v>
      </c>
      <c r="K44" s="76">
        <f t="shared" si="33"/>
        <v>28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24</v>
      </c>
      <c r="R44" s="77">
        <f t="shared" si="51"/>
        <v>68</v>
      </c>
      <c r="S44" s="77">
        <f t="shared" si="51"/>
        <v>0</v>
      </c>
      <c r="T44" s="77">
        <f t="shared" si="51"/>
        <v>28</v>
      </c>
      <c r="U44" s="78">
        <f t="shared" si="36"/>
        <v>120</v>
      </c>
      <c r="V44" s="2"/>
    </row>
    <row r="45" ht="15.75" customHeight="1">
      <c r="A45" s="72" t="s">
        <v>82</v>
      </c>
      <c r="B45" s="73">
        <f t="shared" ref="B45:U45" si="52">SUM(B46:B63)</f>
        <v>351</v>
      </c>
      <c r="C45" s="73">
        <f t="shared" si="52"/>
        <v>294</v>
      </c>
      <c r="D45" s="73">
        <f t="shared" si="52"/>
        <v>291</v>
      </c>
      <c r="E45" s="73">
        <f t="shared" si="52"/>
        <v>474</v>
      </c>
      <c r="F45" s="81">
        <f t="shared" si="52"/>
        <v>1410</v>
      </c>
      <c r="G45" s="73">
        <f t="shared" si="52"/>
        <v>72</v>
      </c>
      <c r="H45" s="73">
        <f t="shared" si="52"/>
        <v>0</v>
      </c>
      <c r="I45" s="73">
        <f t="shared" si="52"/>
        <v>32</v>
      </c>
      <c r="J45" s="73">
        <f t="shared" si="52"/>
        <v>904</v>
      </c>
      <c r="K45" s="81">
        <f t="shared" si="52"/>
        <v>1008</v>
      </c>
      <c r="L45" s="73">
        <f t="shared" si="52"/>
        <v>704</v>
      </c>
      <c r="M45" s="73">
        <f t="shared" si="52"/>
        <v>211</v>
      </c>
      <c r="N45" s="73">
        <f t="shared" si="52"/>
        <v>7</v>
      </c>
      <c r="O45" s="73">
        <f t="shared" si="52"/>
        <v>0</v>
      </c>
      <c r="P45" s="81">
        <f t="shared" si="52"/>
        <v>922</v>
      </c>
      <c r="Q45" s="73">
        <f t="shared" si="52"/>
        <v>1127</v>
      </c>
      <c r="R45" s="73">
        <f t="shared" si="52"/>
        <v>505</v>
      </c>
      <c r="S45" s="73">
        <f t="shared" si="52"/>
        <v>330</v>
      </c>
      <c r="T45" s="73">
        <f t="shared" si="52"/>
        <v>1329</v>
      </c>
      <c r="U45" s="73">
        <f t="shared" si="52"/>
        <v>3291</v>
      </c>
      <c r="V45" s="2"/>
    </row>
    <row r="46" ht="15.0" customHeight="1">
      <c r="A46" s="74" t="s">
        <v>83</v>
      </c>
      <c r="B46" s="75">
        <v>120.0</v>
      </c>
      <c r="C46" s="75"/>
      <c r="D46" s="75"/>
      <c r="E46" s="75"/>
      <c r="F46" s="76">
        <f t="shared" ref="F46:F63" si="54">SUM(B46:E46)</f>
        <v>120</v>
      </c>
      <c r="G46" s="75"/>
      <c r="H46" s="75"/>
      <c r="I46" s="75"/>
      <c r="J46" s="75"/>
      <c r="K46" s="76">
        <f t="shared" ref="K46:K63" si="55">SUM(G46:J46)</f>
        <v>0</v>
      </c>
      <c r="L46" s="75">
        <v>80.0</v>
      </c>
      <c r="M46" s="75"/>
      <c r="N46" s="75"/>
      <c r="O46" s="75"/>
      <c r="P46" s="76">
        <f t="shared" ref="P46:P63" si="56">SUM(L46:O46)</f>
        <v>80</v>
      </c>
      <c r="Q46" s="75">
        <f t="shared" ref="Q46:T46" si="53">SUM(B46,G46,L46)</f>
        <v>200</v>
      </c>
      <c r="R46" s="75">
        <f t="shared" si="53"/>
        <v>0</v>
      </c>
      <c r="S46" s="75">
        <f t="shared" si="53"/>
        <v>0</v>
      </c>
      <c r="T46" s="75">
        <f t="shared" si="53"/>
        <v>0</v>
      </c>
      <c r="U46" s="76">
        <f t="shared" ref="U46:U63" si="58">SUM(Q46:T46)</f>
        <v>200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15.0</v>
      </c>
      <c r="C49" s="77">
        <v>2.0</v>
      </c>
      <c r="D49" s="77">
        <v>6.0</v>
      </c>
      <c r="E49" s="77"/>
      <c r="F49" s="76">
        <f t="shared" si="54"/>
        <v>23</v>
      </c>
      <c r="G49" s="77"/>
      <c r="H49" s="77"/>
      <c r="I49" s="77"/>
      <c r="J49" s="77"/>
      <c r="K49" s="76">
        <f t="shared" si="55"/>
        <v>0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15</v>
      </c>
      <c r="R49" s="75">
        <f t="shared" si="60"/>
        <v>2</v>
      </c>
      <c r="S49" s="75">
        <f t="shared" si="60"/>
        <v>6</v>
      </c>
      <c r="T49" s="75">
        <f t="shared" si="60"/>
        <v>0</v>
      </c>
      <c r="U49" s="78">
        <f t="shared" si="58"/>
        <v>23</v>
      </c>
      <c r="V49" s="2"/>
    </row>
    <row r="50" ht="15.0" customHeight="1">
      <c r="A50" s="74" t="s">
        <v>87</v>
      </c>
      <c r="B50" s="77"/>
      <c r="C50" s="77"/>
      <c r="D50" s="77"/>
      <c r="E50" s="77">
        <v>38.0</v>
      </c>
      <c r="F50" s="76">
        <f t="shared" si="54"/>
        <v>38</v>
      </c>
      <c r="G50" s="77"/>
      <c r="H50" s="77"/>
      <c r="I50" s="77"/>
      <c r="J50" s="77"/>
      <c r="K50" s="76">
        <f t="shared" si="55"/>
        <v>0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0</v>
      </c>
      <c r="R50" s="75">
        <f t="shared" si="61"/>
        <v>0</v>
      </c>
      <c r="S50" s="75">
        <f t="shared" si="61"/>
        <v>0</v>
      </c>
      <c r="T50" s="75">
        <f t="shared" si="61"/>
        <v>38</v>
      </c>
      <c r="U50" s="78">
        <f t="shared" si="58"/>
        <v>38</v>
      </c>
      <c r="V50" s="2"/>
    </row>
    <row r="51" ht="15.0" customHeight="1">
      <c r="A51" s="74" t="s">
        <v>88</v>
      </c>
      <c r="B51" s="77"/>
      <c r="C51" s="77">
        <v>17.0</v>
      </c>
      <c r="D51" s="77">
        <v>67.0</v>
      </c>
      <c r="E51" s="77"/>
      <c r="F51" s="76">
        <f t="shared" si="54"/>
        <v>84</v>
      </c>
      <c r="G51" s="77"/>
      <c r="H51" s="77"/>
      <c r="J51" s="92">
        <v>52.0</v>
      </c>
      <c r="K51" s="76">
        <f t="shared" si="55"/>
        <v>52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0</v>
      </c>
      <c r="R51" s="75">
        <f t="shared" si="62"/>
        <v>17</v>
      </c>
      <c r="S51" s="75">
        <f t="shared" ref="S51:T51" si="63">SUM(D51,I56,N51)</f>
        <v>67</v>
      </c>
      <c r="T51" s="75">
        <f t="shared" si="63"/>
        <v>3</v>
      </c>
      <c r="U51" s="78">
        <f t="shared" si="58"/>
        <v>87</v>
      </c>
      <c r="V51" s="2"/>
    </row>
    <row r="52" ht="15.0" customHeight="1">
      <c r="A52" s="83" t="s">
        <v>89</v>
      </c>
      <c r="B52" s="84"/>
      <c r="C52" s="84"/>
      <c r="D52" s="84">
        <v>43.0</v>
      </c>
      <c r="E52" s="84">
        <v>123.0</v>
      </c>
      <c r="F52" s="85">
        <f t="shared" si="54"/>
        <v>166</v>
      </c>
      <c r="G52" s="84"/>
      <c r="H52" s="84"/>
      <c r="I52" s="84">
        <v>32.0</v>
      </c>
      <c r="J52" s="84">
        <v>79.0</v>
      </c>
      <c r="K52" s="85">
        <f t="shared" si="55"/>
        <v>111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0</v>
      </c>
      <c r="R52" s="86">
        <f t="shared" si="64"/>
        <v>0</v>
      </c>
      <c r="S52" s="86">
        <f t="shared" si="64"/>
        <v>75</v>
      </c>
      <c r="T52" s="86">
        <f t="shared" si="64"/>
        <v>202</v>
      </c>
      <c r="U52" s="87">
        <f t="shared" si="58"/>
        <v>277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1.0</v>
      </c>
      <c r="C53" s="77"/>
      <c r="D53" s="77"/>
      <c r="E53" s="77"/>
      <c r="F53" s="76">
        <f t="shared" si="54"/>
        <v>1</v>
      </c>
      <c r="G53" s="77"/>
      <c r="H53" s="77"/>
      <c r="I53" s="77"/>
      <c r="J53" s="77"/>
      <c r="K53" s="76">
        <f t="shared" si="55"/>
        <v>0</v>
      </c>
      <c r="L53" s="77">
        <v>101.0</v>
      </c>
      <c r="M53" s="77"/>
      <c r="N53" s="77">
        <v>7.0</v>
      </c>
      <c r="O53" s="77"/>
      <c r="P53" s="76">
        <f t="shared" si="56"/>
        <v>108</v>
      </c>
      <c r="Q53" s="75">
        <f t="shared" ref="Q53:T53" si="65">SUM(B53,G53,L53)</f>
        <v>102</v>
      </c>
      <c r="R53" s="75">
        <f t="shared" si="65"/>
        <v>0</v>
      </c>
      <c r="S53" s="86">
        <f t="shared" si="65"/>
        <v>7</v>
      </c>
      <c r="T53" s="86">
        <f t="shared" si="65"/>
        <v>0</v>
      </c>
      <c r="U53" s="78">
        <f t="shared" si="58"/>
        <v>109</v>
      </c>
      <c r="V53" s="2"/>
    </row>
    <row r="54" ht="15.0" customHeight="1">
      <c r="A54" s="74" t="s">
        <v>91</v>
      </c>
      <c r="B54" s="77"/>
      <c r="C54" s="77"/>
      <c r="D54" s="77"/>
      <c r="E54" s="77"/>
      <c r="F54" s="76">
        <f t="shared" si="54"/>
        <v>0</v>
      </c>
      <c r="G54" s="77"/>
      <c r="H54" s="77"/>
      <c r="I54" s="77"/>
      <c r="J54" s="77"/>
      <c r="K54" s="76">
        <f t="shared" si="55"/>
        <v>0</v>
      </c>
      <c r="L54" s="77"/>
      <c r="M54" s="77"/>
      <c r="N54" s="77"/>
      <c r="O54" s="77"/>
      <c r="P54" s="76">
        <f t="shared" si="56"/>
        <v>0</v>
      </c>
      <c r="Q54" s="75">
        <f t="shared" ref="Q54:T54" si="66">SUM(B54,G54,L54)</f>
        <v>0</v>
      </c>
      <c r="R54" s="75">
        <f t="shared" si="66"/>
        <v>0</v>
      </c>
      <c r="S54" s="86">
        <f t="shared" si="66"/>
        <v>0</v>
      </c>
      <c r="T54" s="86">
        <f t="shared" si="66"/>
        <v>0</v>
      </c>
      <c r="U54" s="78">
        <f t="shared" si="58"/>
        <v>0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/>
      <c r="C56" s="77"/>
      <c r="D56" s="77"/>
      <c r="E56" s="77"/>
      <c r="F56" s="76">
        <f t="shared" si="54"/>
        <v>0</v>
      </c>
      <c r="G56" s="77"/>
      <c r="H56" s="77"/>
      <c r="I56" s="77"/>
      <c r="J56" s="77">
        <v>3.0</v>
      </c>
      <c r="K56" s="76">
        <f t="shared" si="55"/>
        <v>3</v>
      </c>
      <c r="L56" s="90"/>
      <c r="M56" s="90"/>
      <c r="N56" s="90"/>
      <c r="O56" s="90"/>
      <c r="P56" s="76">
        <f t="shared" si="56"/>
        <v>0</v>
      </c>
      <c r="Q56" s="75">
        <f t="shared" ref="Q56:T56" si="68">SUM(B56,G56,L56)</f>
        <v>0</v>
      </c>
      <c r="R56" s="75">
        <f t="shared" si="68"/>
        <v>0</v>
      </c>
      <c r="S56" s="86">
        <f t="shared" si="68"/>
        <v>0</v>
      </c>
      <c r="T56" s="86">
        <f t="shared" si="68"/>
        <v>3</v>
      </c>
      <c r="U56" s="91">
        <f t="shared" si="58"/>
        <v>3</v>
      </c>
      <c r="V56" s="2"/>
    </row>
    <row r="57" ht="15.0" customHeight="1">
      <c r="A57" s="74" t="s">
        <v>94</v>
      </c>
      <c r="B57" s="77"/>
      <c r="C57" s="77">
        <v>217.0</v>
      </c>
      <c r="D57" s="77">
        <v>175.0</v>
      </c>
      <c r="E57" s="77"/>
      <c r="F57" s="76">
        <f t="shared" si="54"/>
        <v>392</v>
      </c>
      <c r="G57" s="77"/>
      <c r="H57" s="77"/>
      <c r="I57" s="77"/>
      <c r="J57" s="2"/>
      <c r="K57" s="76">
        <f t="shared" si="55"/>
        <v>0</v>
      </c>
      <c r="L57" s="77"/>
      <c r="M57" s="77">
        <v>60.0</v>
      </c>
      <c r="N57" s="77"/>
      <c r="O57" s="77"/>
      <c r="P57" s="76">
        <f t="shared" si="56"/>
        <v>60</v>
      </c>
      <c r="Q57" s="75">
        <f t="shared" ref="Q57:T57" si="69">SUM(B57,G57,L57)</f>
        <v>0</v>
      </c>
      <c r="R57" s="75">
        <f t="shared" si="69"/>
        <v>277</v>
      </c>
      <c r="S57" s="86">
        <f t="shared" si="69"/>
        <v>175</v>
      </c>
      <c r="T57" s="86">
        <f t="shared" si="69"/>
        <v>0</v>
      </c>
      <c r="U57" s="91">
        <f t="shared" si="58"/>
        <v>452</v>
      </c>
      <c r="V57" s="2"/>
    </row>
    <row r="58" ht="15.0" customHeight="1">
      <c r="A58" s="74" t="s">
        <v>95</v>
      </c>
      <c r="B58" s="77"/>
      <c r="C58" s="77"/>
      <c r="D58" s="77"/>
      <c r="E58" s="77"/>
      <c r="F58" s="76">
        <f t="shared" si="54"/>
        <v>0</v>
      </c>
      <c r="G58" s="77"/>
      <c r="H58" s="77"/>
      <c r="I58" s="77"/>
      <c r="J58" s="77"/>
      <c r="K58" s="76">
        <f t="shared" si="55"/>
        <v>0</v>
      </c>
      <c r="L58" s="77">
        <v>33.0</v>
      </c>
      <c r="M58" s="77">
        <v>40.0</v>
      </c>
      <c r="N58" s="77"/>
      <c r="O58" s="77"/>
      <c r="P58" s="76">
        <f t="shared" si="56"/>
        <v>73</v>
      </c>
      <c r="Q58" s="75">
        <f t="shared" ref="Q58:T58" si="70">SUM(B58,G58,L58)</f>
        <v>33</v>
      </c>
      <c r="R58" s="75">
        <f t="shared" si="70"/>
        <v>40</v>
      </c>
      <c r="S58" s="75">
        <f t="shared" si="70"/>
        <v>0</v>
      </c>
      <c r="T58" s="86">
        <f t="shared" si="70"/>
        <v>0</v>
      </c>
      <c r="U58" s="91">
        <f t="shared" si="58"/>
        <v>73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/>
      <c r="C60" s="77"/>
      <c r="D60" s="77"/>
      <c r="E60" s="77"/>
      <c r="F60" s="76">
        <f t="shared" si="54"/>
        <v>0</v>
      </c>
      <c r="G60" s="77"/>
      <c r="H60" s="77"/>
      <c r="I60" s="77"/>
      <c r="J60" s="77"/>
      <c r="K60" s="76">
        <f t="shared" si="55"/>
        <v>0</v>
      </c>
      <c r="L60" s="77"/>
      <c r="M60" s="77"/>
      <c r="N60" s="77"/>
      <c r="O60" s="77"/>
      <c r="P60" s="76">
        <f t="shared" si="56"/>
        <v>0</v>
      </c>
      <c r="Q60" s="75">
        <f t="shared" ref="Q60:T60" si="72">SUM(B60,G60,L60)</f>
        <v>0</v>
      </c>
      <c r="R60" s="75">
        <f t="shared" si="72"/>
        <v>0</v>
      </c>
      <c r="S60" s="75">
        <f t="shared" si="72"/>
        <v>0</v>
      </c>
      <c r="T60" s="75">
        <f t="shared" si="72"/>
        <v>0</v>
      </c>
      <c r="U60" s="78">
        <f t="shared" si="58"/>
        <v>0</v>
      </c>
      <c r="V60" s="2"/>
    </row>
    <row r="61" ht="15.0" customHeight="1">
      <c r="A61" s="74" t="s">
        <v>78</v>
      </c>
      <c r="B61" s="80"/>
      <c r="C61" s="80"/>
      <c r="D61" s="80"/>
      <c r="E61" s="80"/>
      <c r="F61" s="76">
        <f t="shared" si="54"/>
        <v>0</v>
      </c>
      <c r="G61" s="77"/>
      <c r="H61" s="77"/>
      <c r="I61" s="77"/>
      <c r="J61" s="77">
        <v>532.0</v>
      </c>
      <c r="K61" s="76">
        <f t="shared" si="55"/>
        <v>532</v>
      </c>
      <c r="L61" s="77"/>
      <c r="M61" s="77">
        <v>111.0</v>
      </c>
      <c r="N61" s="77"/>
      <c r="O61" s="77"/>
      <c r="P61" s="76">
        <f t="shared" si="56"/>
        <v>111</v>
      </c>
      <c r="Q61" s="75">
        <f t="shared" ref="Q61:T61" si="73">SUM(B61,G61,L61)</f>
        <v>0</v>
      </c>
      <c r="R61" s="75">
        <f t="shared" si="73"/>
        <v>111</v>
      </c>
      <c r="S61" s="75">
        <f t="shared" si="73"/>
        <v>0</v>
      </c>
      <c r="T61" s="75">
        <f t="shared" si="73"/>
        <v>532</v>
      </c>
      <c r="U61" s="78">
        <f t="shared" si="58"/>
        <v>643</v>
      </c>
      <c r="V61" s="2"/>
    </row>
    <row r="62" ht="15.0" customHeight="1">
      <c r="A62" s="74" t="s">
        <v>97</v>
      </c>
      <c r="B62" s="77"/>
      <c r="C62" s="77"/>
      <c r="D62" s="77"/>
      <c r="E62" s="77"/>
      <c r="F62" s="76">
        <f t="shared" si="54"/>
        <v>0</v>
      </c>
      <c r="G62" s="77"/>
      <c r="H62" s="77"/>
      <c r="I62" s="77"/>
      <c r="J62" s="77"/>
      <c r="K62" s="76">
        <f t="shared" si="55"/>
        <v>0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0</v>
      </c>
      <c r="R62" s="75">
        <f t="shared" si="74"/>
        <v>0</v>
      </c>
      <c r="S62" s="75">
        <f t="shared" si="74"/>
        <v>0</v>
      </c>
      <c r="T62" s="75">
        <f t="shared" si="74"/>
        <v>0</v>
      </c>
      <c r="U62" s="78">
        <f t="shared" si="58"/>
        <v>0</v>
      </c>
      <c r="V62" s="2"/>
    </row>
    <row r="63" ht="15.75" customHeight="1">
      <c r="A63" s="74" t="s">
        <v>98</v>
      </c>
      <c r="B63" s="77"/>
      <c r="C63" s="77"/>
      <c r="D63" s="77"/>
      <c r="E63" s="77">
        <v>306.0</v>
      </c>
      <c r="F63" s="76">
        <f t="shared" si="54"/>
        <v>306</v>
      </c>
      <c r="G63" s="77"/>
      <c r="H63" s="77"/>
      <c r="I63" s="77"/>
      <c r="J63" s="77">
        <v>238.0</v>
      </c>
      <c r="K63" s="76">
        <f t="shared" si="55"/>
        <v>238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0</v>
      </c>
      <c r="R63" s="75">
        <f t="shared" si="75"/>
        <v>0</v>
      </c>
      <c r="S63" s="75">
        <f t="shared" si="75"/>
        <v>0</v>
      </c>
      <c r="T63" s="75">
        <f t="shared" si="75"/>
        <v>544</v>
      </c>
      <c r="U63" s="78">
        <f t="shared" si="58"/>
        <v>544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6">SUM(C65:C78)</f>
        <v>0</v>
      </c>
      <c r="D64" s="73">
        <f t="shared" si="76"/>
        <v>0</v>
      </c>
      <c r="E64" s="73">
        <f t="shared" si="76"/>
        <v>0</v>
      </c>
      <c r="F64" s="73">
        <f t="shared" si="76"/>
        <v>0</v>
      </c>
      <c r="G64" s="73">
        <f t="shared" si="76"/>
        <v>0</v>
      </c>
      <c r="H64" s="73">
        <f t="shared" si="76"/>
        <v>0</v>
      </c>
      <c r="I64" s="73">
        <f t="shared" si="76"/>
        <v>0</v>
      </c>
      <c r="J64" s="73">
        <f t="shared" si="76"/>
        <v>0</v>
      </c>
      <c r="K64" s="73">
        <f t="shared" si="76"/>
        <v>0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0</v>
      </c>
      <c r="R64" s="73">
        <f t="shared" si="77"/>
        <v>0</v>
      </c>
      <c r="S64" s="73">
        <f t="shared" si="77"/>
        <v>0</v>
      </c>
      <c r="T64" s="73">
        <f t="shared" si="77"/>
        <v>0</v>
      </c>
      <c r="U64" s="73">
        <f t="shared" si="77"/>
        <v>0</v>
      </c>
      <c r="V64" s="2"/>
    </row>
    <row r="65" ht="15.0" customHeight="1">
      <c r="A65" s="74" t="s">
        <v>100</v>
      </c>
      <c r="B65" s="75"/>
      <c r="C65" s="75"/>
      <c r="D65" s="75"/>
      <c r="E65" s="75"/>
      <c r="F65" s="76">
        <f t="shared" ref="F65:F79" si="79">SUM(B65:E65)</f>
        <v>0</v>
      </c>
      <c r="G65" s="75"/>
      <c r="H65" s="75"/>
      <c r="I65" s="75"/>
      <c r="J65" s="75"/>
      <c r="K65" s="76">
        <f t="shared" ref="K65:K79" si="80">SUM(G65:J65)</f>
        <v>0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0</v>
      </c>
      <c r="R65" s="75">
        <f t="shared" si="78"/>
        <v>0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0</v>
      </c>
      <c r="V65" s="2"/>
    </row>
    <row r="66" ht="15.0" customHeight="1">
      <c r="A66" s="74" t="s">
        <v>101</v>
      </c>
      <c r="B66" s="77"/>
      <c r="C66" s="77"/>
      <c r="D66" s="77"/>
      <c r="E66" s="77"/>
      <c r="F66" s="76">
        <f t="shared" si="79"/>
        <v>0</v>
      </c>
      <c r="G66" s="77"/>
      <c r="H66" s="77"/>
      <c r="I66" s="77"/>
      <c r="J66" s="77"/>
      <c r="K66" s="76">
        <f t="shared" si="80"/>
        <v>0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0</v>
      </c>
      <c r="R66" s="75">
        <f t="shared" si="82"/>
        <v>0</v>
      </c>
      <c r="S66" s="75">
        <f t="shared" si="82"/>
        <v>0</v>
      </c>
      <c r="T66" s="75">
        <f t="shared" si="82"/>
        <v>0</v>
      </c>
      <c r="U66" s="76">
        <f t="shared" si="83"/>
        <v>0</v>
      </c>
      <c r="V66" s="2"/>
    </row>
    <row r="67" ht="15.0" customHeight="1">
      <c r="A67" s="74" t="s">
        <v>102</v>
      </c>
      <c r="B67" s="77"/>
      <c r="C67" s="77"/>
      <c r="D67" s="77"/>
      <c r="E67" s="77"/>
      <c r="F67" s="76">
        <f t="shared" si="79"/>
        <v>0</v>
      </c>
      <c r="G67" s="77"/>
      <c r="H67" s="77"/>
      <c r="I67" s="77"/>
      <c r="J67" s="77"/>
      <c r="K67" s="76">
        <f t="shared" si="80"/>
        <v>0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0</v>
      </c>
      <c r="R67" s="75">
        <f t="shared" si="84"/>
        <v>0</v>
      </c>
      <c r="S67" s="75">
        <f t="shared" si="84"/>
        <v>0</v>
      </c>
      <c r="T67" s="75">
        <f t="shared" si="84"/>
        <v>0</v>
      </c>
      <c r="U67" s="76">
        <f t="shared" si="83"/>
        <v>0</v>
      </c>
      <c r="V67" s="2"/>
    </row>
    <row r="68" ht="15.0" customHeight="1">
      <c r="A68" s="74" t="s">
        <v>103</v>
      </c>
      <c r="B68" s="77"/>
      <c r="C68" s="77"/>
      <c r="D68" s="77"/>
      <c r="E68" s="77"/>
      <c r="F68" s="76">
        <f t="shared" si="79"/>
        <v>0</v>
      </c>
      <c r="G68" s="77"/>
      <c r="H68" s="77"/>
      <c r="I68" s="77"/>
      <c r="J68" s="77"/>
      <c r="K68" s="76">
        <f t="shared" si="80"/>
        <v>0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0</v>
      </c>
      <c r="R68" s="75">
        <f t="shared" si="85"/>
        <v>0</v>
      </c>
      <c r="S68" s="75">
        <f t="shared" si="85"/>
        <v>0</v>
      </c>
      <c r="T68" s="75">
        <f t="shared" si="85"/>
        <v>0</v>
      </c>
      <c r="U68" s="76">
        <f t="shared" si="83"/>
        <v>0</v>
      </c>
      <c r="V68" s="2"/>
    </row>
    <row r="69" ht="15.0" customHeight="1">
      <c r="A69" s="74" t="s">
        <v>59</v>
      </c>
      <c r="B69" s="77"/>
      <c r="C69" s="77"/>
      <c r="D69" s="77"/>
      <c r="E69" s="77"/>
      <c r="F69" s="76">
        <f t="shared" si="79"/>
        <v>0</v>
      </c>
      <c r="G69" s="77"/>
      <c r="H69" s="77"/>
      <c r="I69" s="77"/>
      <c r="J69" s="77"/>
      <c r="K69" s="76">
        <f t="shared" si="80"/>
        <v>0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0</v>
      </c>
      <c r="R69" s="75">
        <f t="shared" si="86"/>
        <v>0</v>
      </c>
      <c r="S69" s="75">
        <f t="shared" si="86"/>
        <v>0</v>
      </c>
      <c r="T69" s="75">
        <f t="shared" si="86"/>
        <v>0</v>
      </c>
      <c r="U69" s="76">
        <f t="shared" si="83"/>
        <v>0</v>
      </c>
      <c r="V69" s="2"/>
    </row>
    <row r="70" ht="15.0" customHeight="1">
      <c r="A70" s="74" t="s">
        <v>104</v>
      </c>
      <c r="B70" s="77"/>
      <c r="C70" s="77"/>
      <c r="D70" s="77"/>
      <c r="E70" s="77"/>
      <c r="F70" s="76">
        <f t="shared" si="79"/>
        <v>0</v>
      </c>
      <c r="G70" s="77"/>
      <c r="H70" s="77"/>
      <c r="I70" s="77"/>
      <c r="J70" s="77"/>
      <c r="K70" s="76">
        <f t="shared" si="80"/>
        <v>0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0</v>
      </c>
      <c r="R70" s="75">
        <f t="shared" si="87"/>
        <v>0</v>
      </c>
      <c r="S70" s="75">
        <f t="shared" si="87"/>
        <v>0</v>
      </c>
      <c r="T70" s="75">
        <f t="shared" si="87"/>
        <v>0</v>
      </c>
      <c r="U70" s="76">
        <f t="shared" si="83"/>
        <v>0</v>
      </c>
      <c r="V70" s="2"/>
    </row>
    <row r="71" ht="15.0" customHeight="1">
      <c r="A71" s="74" t="s">
        <v>105</v>
      </c>
      <c r="B71" s="77"/>
      <c r="C71" s="77"/>
      <c r="D71" s="77"/>
      <c r="E71" s="77"/>
      <c r="F71" s="76">
        <f t="shared" si="79"/>
        <v>0</v>
      </c>
      <c r="G71" s="77"/>
      <c r="H71" s="77"/>
      <c r="I71" s="77"/>
      <c r="J71" s="77"/>
      <c r="K71" s="76">
        <f t="shared" si="80"/>
        <v>0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0</v>
      </c>
      <c r="R71" s="75">
        <f t="shared" si="88"/>
        <v>0</v>
      </c>
      <c r="S71" s="75">
        <f t="shared" si="88"/>
        <v>0</v>
      </c>
      <c r="T71" s="75">
        <f t="shared" si="88"/>
        <v>0</v>
      </c>
      <c r="U71" s="76">
        <f t="shared" si="83"/>
        <v>0</v>
      </c>
      <c r="V71" s="2"/>
    </row>
    <row r="72" ht="15.0" customHeight="1">
      <c r="A72" s="74" t="s">
        <v>106</v>
      </c>
      <c r="B72" s="90"/>
      <c r="C72" s="90"/>
      <c r="D72" s="90"/>
      <c r="E72" s="90"/>
      <c r="F72" s="76">
        <f t="shared" si="79"/>
        <v>0</v>
      </c>
      <c r="G72" s="90"/>
      <c r="H72" s="90"/>
      <c r="I72" s="90"/>
      <c r="J72" s="90"/>
      <c r="K72" s="76">
        <f t="shared" si="80"/>
        <v>0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0</v>
      </c>
      <c r="R72" s="75">
        <f t="shared" si="89"/>
        <v>0</v>
      </c>
      <c r="S72" s="75">
        <f t="shared" si="89"/>
        <v>0</v>
      </c>
      <c r="T72" s="75">
        <f t="shared" si="89"/>
        <v>0</v>
      </c>
      <c r="U72" s="76">
        <f t="shared" si="83"/>
        <v>0</v>
      </c>
      <c r="V72" s="2"/>
    </row>
    <row r="73" ht="15.0" customHeight="1">
      <c r="A73" s="74" t="s">
        <v>107</v>
      </c>
      <c r="B73" s="77"/>
      <c r="C73" s="77"/>
      <c r="D73" s="77"/>
      <c r="E73" s="77"/>
      <c r="F73" s="76">
        <f t="shared" si="79"/>
        <v>0</v>
      </c>
      <c r="G73" s="77"/>
      <c r="H73" s="77"/>
      <c r="I73" s="77"/>
      <c r="J73" s="77"/>
      <c r="K73" s="76">
        <f t="shared" si="80"/>
        <v>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0</v>
      </c>
      <c r="R73" s="75">
        <f t="shared" si="90"/>
        <v>0</v>
      </c>
      <c r="S73" s="75">
        <f t="shared" si="90"/>
        <v>0</v>
      </c>
      <c r="T73" s="75">
        <f t="shared" si="90"/>
        <v>0</v>
      </c>
      <c r="U73" s="76">
        <f t="shared" si="83"/>
        <v>0</v>
      </c>
      <c r="V73" s="2"/>
    </row>
    <row r="74" ht="15.0" customHeight="1">
      <c r="A74" s="74" t="s">
        <v>108</v>
      </c>
      <c r="B74" s="77"/>
      <c r="C74" s="77"/>
      <c r="D74" s="77"/>
      <c r="E74" s="77"/>
      <c r="F74" s="76">
        <f t="shared" si="79"/>
        <v>0</v>
      </c>
      <c r="G74" s="77"/>
      <c r="H74" s="77"/>
      <c r="I74" s="77"/>
      <c r="J74" s="77"/>
      <c r="K74" s="76">
        <f t="shared" si="80"/>
        <v>0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0</v>
      </c>
      <c r="R74" s="75">
        <f t="shared" si="91"/>
        <v>0</v>
      </c>
      <c r="S74" s="75">
        <f t="shared" si="91"/>
        <v>0</v>
      </c>
      <c r="T74" s="75">
        <f t="shared" si="91"/>
        <v>0</v>
      </c>
      <c r="U74" s="76">
        <f t="shared" si="83"/>
        <v>0</v>
      </c>
      <c r="V74" s="2"/>
    </row>
    <row r="75" ht="15.0" customHeight="1">
      <c r="A75" s="74" t="s">
        <v>109</v>
      </c>
      <c r="B75" s="77"/>
      <c r="C75" s="77"/>
      <c r="D75" s="77"/>
      <c r="E75" s="77"/>
      <c r="F75" s="76">
        <f t="shared" si="79"/>
        <v>0</v>
      </c>
      <c r="G75" s="77"/>
      <c r="H75" s="77"/>
      <c r="I75" s="77"/>
      <c r="J75" s="77"/>
      <c r="K75" s="76">
        <f t="shared" si="80"/>
        <v>0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0</v>
      </c>
      <c r="R75" s="75">
        <f t="shared" si="92"/>
        <v>0</v>
      </c>
      <c r="S75" s="75">
        <f t="shared" si="92"/>
        <v>0</v>
      </c>
      <c r="T75" s="75">
        <f t="shared" si="92"/>
        <v>0</v>
      </c>
      <c r="U75" s="76">
        <f t="shared" si="83"/>
        <v>0</v>
      </c>
      <c r="V75" s="2"/>
    </row>
    <row r="76" ht="15.0" customHeight="1">
      <c r="A76" s="74" t="s">
        <v>65</v>
      </c>
      <c r="B76" s="77"/>
      <c r="C76" s="77"/>
      <c r="D76" s="77"/>
      <c r="E76" s="77"/>
      <c r="F76" s="76">
        <f t="shared" si="79"/>
        <v>0</v>
      </c>
      <c r="G76" s="77"/>
      <c r="H76" s="77"/>
      <c r="I76" s="77"/>
      <c r="J76" s="77"/>
      <c r="K76" s="76">
        <f t="shared" si="80"/>
        <v>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0</v>
      </c>
      <c r="R76" s="75">
        <f t="shared" si="93"/>
        <v>0</v>
      </c>
      <c r="S76" s="75">
        <f t="shared" si="93"/>
        <v>0</v>
      </c>
      <c r="T76" s="75">
        <f t="shared" si="93"/>
        <v>0</v>
      </c>
      <c r="U76" s="76">
        <f t="shared" si="83"/>
        <v>0</v>
      </c>
      <c r="V76" s="2"/>
    </row>
    <row r="77" ht="15.0" customHeight="1">
      <c r="A77" s="74" t="s">
        <v>110</v>
      </c>
      <c r="B77" s="77"/>
      <c r="C77" s="77"/>
      <c r="D77" s="77"/>
      <c r="E77" s="77"/>
      <c r="F77" s="76">
        <f t="shared" si="79"/>
        <v>0</v>
      </c>
      <c r="G77" s="77"/>
      <c r="H77" s="77"/>
      <c r="I77" s="77"/>
      <c r="J77" s="77"/>
      <c r="K77" s="76">
        <f t="shared" si="80"/>
        <v>0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0</v>
      </c>
      <c r="R77" s="75">
        <f t="shared" si="94"/>
        <v>0</v>
      </c>
      <c r="S77" s="75">
        <f t="shared" si="94"/>
        <v>0</v>
      </c>
      <c r="T77" s="75">
        <f t="shared" si="94"/>
        <v>0</v>
      </c>
      <c r="U77" s="76">
        <f t="shared" si="83"/>
        <v>0</v>
      </c>
      <c r="V77" s="2"/>
    </row>
    <row r="78" ht="15.0" customHeight="1">
      <c r="A78" s="74" t="s">
        <v>111</v>
      </c>
      <c r="B78" s="77"/>
      <c r="C78" s="77"/>
      <c r="D78" s="77"/>
      <c r="E78" s="77"/>
      <c r="F78" s="76">
        <f t="shared" si="79"/>
        <v>0</v>
      </c>
      <c r="G78" s="77"/>
      <c r="H78" s="77"/>
      <c r="I78" s="77"/>
      <c r="J78" s="77"/>
      <c r="K78" s="76">
        <f t="shared" si="80"/>
        <v>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0</v>
      </c>
      <c r="R78" s="75">
        <f t="shared" si="95"/>
        <v>0</v>
      </c>
      <c r="S78" s="75">
        <f t="shared" si="95"/>
        <v>0</v>
      </c>
      <c r="T78" s="75">
        <f t="shared" si="95"/>
        <v>0</v>
      </c>
      <c r="U78" s="76">
        <f t="shared" si="83"/>
        <v>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/>
      <c r="H79" s="77"/>
      <c r="I79" s="77"/>
      <c r="J79" s="77"/>
      <c r="K79" s="76">
        <f t="shared" si="80"/>
        <v>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8632</v>
      </c>
      <c r="C9" s="70">
        <f t="shared" si="1"/>
        <v>773</v>
      </c>
      <c r="D9" s="70">
        <f t="shared" si="1"/>
        <v>293</v>
      </c>
      <c r="E9" s="70">
        <f t="shared" si="1"/>
        <v>1096</v>
      </c>
      <c r="F9" s="71">
        <f t="shared" si="1"/>
        <v>10794</v>
      </c>
      <c r="G9" s="70">
        <f t="shared" si="1"/>
        <v>193</v>
      </c>
      <c r="H9" s="70">
        <f t="shared" si="1"/>
        <v>0</v>
      </c>
      <c r="I9" s="70">
        <f t="shared" si="1"/>
        <v>32</v>
      </c>
      <c r="J9" s="70">
        <f t="shared" si="1"/>
        <v>961</v>
      </c>
      <c r="K9" s="71">
        <f t="shared" si="1"/>
        <v>1186</v>
      </c>
      <c r="L9" s="70">
        <f t="shared" si="1"/>
        <v>763</v>
      </c>
      <c r="M9" s="70">
        <f t="shared" si="1"/>
        <v>211</v>
      </c>
      <c r="N9" s="70">
        <f t="shared" si="1"/>
        <v>7</v>
      </c>
      <c r="O9" s="70">
        <f t="shared" si="1"/>
        <v>0</v>
      </c>
      <c r="P9" s="71">
        <f t="shared" si="1"/>
        <v>981</v>
      </c>
      <c r="Q9" s="70">
        <f t="shared" si="1"/>
        <v>9588</v>
      </c>
      <c r="R9" s="70">
        <f t="shared" si="1"/>
        <v>984</v>
      </c>
      <c r="S9" s="70">
        <f t="shared" si="1"/>
        <v>332</v>
      </c>
      <c r="T9" s="70">
        <f t="shared" si="1"/>
        <v>2008</v>
      </c>
      <c r="U9" s="71">
        <f t="shared" si="1"/>
        <v>12912</v>
      </c>
      <c r="V9" s="2"/>
    </row>
    <row r="10" ht="15.75" customHeight="1">
      <c r="A10" s="72" t="s">
        <v>49</v>
      </c>
      <c r="B10" s="73">
        <f t="shared" ref="B10:U10" si="2">SUM(B11:B16)</f>
        <v>5</v>
      </c>
      <c r="C10" s="73">
        <f t="shared" si="2"/>
        <v>0</v>
      </c>
      <c r="D10" s="73">
        <f t="shared" si="2"/>
        <v>2</v>
      </c>
      <c r="E10" s="73">
        <f t="shared" si="2"/>
        <v>75</v>
      </c>
      <c r="F10" s="73">
        <f t="shared" si="2"/>
        <v>82</v>
      </c>
      <c r="G10" s="73">
        <f t="shared" si="2"/>
        <v>0</v>
      </c>
      <c r="H10" s="73">
        <f t="shared" si="2"/>
        <v>0</v>
      </c>
      <c r="I10" s="73">
        <f t="shared" si="2"/>
        <v>0</v>
      </c>
      <c r="J10" s="73">
        <f t="shared" si="2"/>
        <v>29</v>
      </c>
      <c r="K10" s="73">
        <f t="shared" si="2"/>
        <v>29</v>
      </c>
      <c r="L10" s="73">
        <f t="shared" si="2"/>
        <v>59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59</v>
      </c>
      <c r="Q10" s="73">
        <f t="shared" si="2"/>
        <v>64</v>
      </c>
      <c r="R10" s="73">
        <f t="shared" si="2"/>
        <v>0</v>
      </c>
      <c r="S10" s="73">
        <f t="shared" si="2"/>
        <v>2</v>
      </c>
      <c r="T10" s="73">
        <f t="shared" si="2"/>
        <v>104</v>
      </c>
      <c r="U10" s="73">
        <f t="shared" si="2"/>
        <v>170</v>
      </c>
      <c r="V10" s="2" t="s">
        <v>114</v>
      </c>
    </row>
    <row r="11" ht="15.0" customHeight="1">
      <c r="A11" s="74" t="s">
        <v>50</v>
      </c>
      <c r="B11" s="75"/>
      <c r="C11" s="75"/>
      <c r="D11" s="75">
        <v>1.0</v>
      </c>
      <c r="E11" s="75">
        <v>73.0</v>
      </c>
      <c r="F11" s="76">
        <f t="shared" ref="F11:F16" si="4">SUM(B11:E11)</f>
        <v>74</v>
      </c>
      <c r="G11" s="75"/>
      <c r="H11" s="75"/>
      <c r="I11" s="75"/>
      <c r="J11" s="75">
        <v>2.0</v>
      </c>
      <c r="K11" s="76">
        <f t="shared" ref="K11:K16" si="5">SUM(G11:J11)</f>
        <v>2</v>
      </c>
      <c r="L11" s="75">
        <v>59.0</v>
      </c>
      <c r="M11" s="75"/>
      <c r="N11" s="75"/>
      <c r="O11" s="75"/>
      <c r="P11" s="76">
        <f t="shared" ref="P11:P16" si="6">SUM(L11:O11)</f>
        <v>59</v>
      </c>
      <c r="Q11" s="75">
        <f t="shared" ref="Q11:T11" si="3">SUM(B11,G11,L11)</f>
        <v>59</v>
      </c>
      <c r="R11" s="75">
        <f t="shared" si="3"/>
        <v>0</v>
      </c>
      <c r="S11" s="75">
        <f t="shared" si="3"/>
        <v>1</v>
      </c>
      <c r="T11" s="75">
        <f t="shared" si="3"/>
        <v>75</v>
      </c>
      <c r="U11" s="76">
        <f t="shared" ref="U11:U16" si="8">SUM(Q11:T11)</f>
        <v>135</v>
      </c>
      <c r="V11" s="2"/>
    </row>
    <row r="12" ht="15.0" customHeight="1">
      <c r="A12" s="74" t="s">
        <v>51</v>
      </c>
      <c r="B12" s="77"/>
      <c r="C12" s="77"/>
      <c r="D12" s="77"/>
      <c r="E12" s="77">
        <v>2.0</v>
      </c>
      <c r="F12" s="78">
        <f t="shared" si="4"/>
        <v>2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0</v>
      </c>
      <c r="T12" s="77">
        <f t="shared" si="7"/>
        <v>2</v>
      </c>
      <c r="U12" s="78">
        <f t="shared" si="8"/>
        <v>2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>
        <v>16.0</v>
      </c>
      <c r="K13" s="78">
        <f t="shared" si="5"/>
        <v>16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16</v>
      </c>
      <c r="U13" s="78">
        <f t="shared" si="8"/>
        <v>16</v>
      </c>
      <c r="V13" s="2"/>
    </row>
    <row r="14" ht="15.0" customHeight="1">
      <c r="A14" s="74" t="s">
        <v>53</v>
      </c>
      <c r="B14" s="77"/>
      <c r="C14" s="77"/>
      <c r="D14" s="77"/>
      <c r="E14" s="77"/>
      <c r="F14" s="78">
        <f t="shared" si="4"/>
        <v>0</v>
      </c>
      <c r="G14" s="77"/>
      <c r="H14" s="77"/>
      <c r="I14" s="77"/>
      <c r="J14" s="77"/>
      <c r="K14" s="78">
        <f t="shared" si="5"/>
        <v>0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0</v>
      </c>
      <c r="V14" s="2"/>
    </row>
    <row r="15" ht="15.0" customHeight="1">
      <c r="A15" s="74" t="s">
        <v>54</v>
      </c>
      <c r="B15" s="77">
        <v>5.0</v>
      </c>
      <c r="C15" s="77"/>
      <c r="D15" s="77">
        <v>1.0</v>
      </c>
      <c r="E15" s="77"/>
      <c r="F15" s="78">
        <f t="shared" si="4"/>
        <v>6</v>
      </c>
      <c r="G15" s="77"/>
      <c r="H15" s="77"/>
      <c r="I15" s="77"/>
      <c r="J15" s="77"/>
      <c r="K15" s="78">
        <f t="shared" si="5"/>
        <v>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5</v>
      </c>
      <c r="R15" s="77">
        <f t="shared" si="11"/>
        <v>0</v>
      </c>
      <c r="S15" s="77">
        <f t="shared" si="11"/>
        <v>1</v>
      </c>
      <c r="T15" s="77">
        <f t="shared" si="11"/>
        <v>0</v>
      </c>
      <c r="U15" s="78">
        <f t="shared" si="8"/>
        <v>6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>
        <v>11.0</v>
      </c>
      <c r="K16" s="78">
        <f t="shared" si="5"/>
        <v>11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11</v>
      </c>
      <c r="U16" s="78">
        <f t="shared" si="8"/>
        <v>11</v>
      </c>
      <c r="V16" s="2"/>
    </row>
    <row r="17" ht="15.75" customHeight="1">
      <c r="A17" s="72" t="s">
        <v>56</v>
      </c>
      <c r="B17" s="73">
        <f t="shared" ref="B17:Q17" si="13">SUM(B18:B28)</f>
        <v>0</v>
      </c>
      <c r="C17" s="73">
        <f t="shared" si="13"/>
        <v>0</v>
      </c>
      <c r="D17" s="73">
        <f t="shared" si="13"/>
        <v>0</v>
      </c>
      <c r="E17" s="73">
        <f t="shared" si="13"/>
        <v>547</v>
      </c>
      <c r="F17" s="73">
        <f t="shared" si="13"/>
        <v>547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0</v>
      </c>
      <c r="R17" s="73">
        <f>R18+R19+R20+R21+R22+R23+R24+R25+R26+R27+R28</f>
        <v>0</v>
      </c>
      <c r="S17" s="73">
        <f t="shared" ref="S17:U17" si="14">SUM(S18:S28)</f>
        <v>0</v>
      </c>
      <c r="T17" s="73">
        <f t="shared" si="14"/>
        <v>547</v>
      </c>
      <c r="U17" s="73">
        <f t="shared" si="14"/>
        <v>547</v>
      </c>
      <c r="V17" s="2" t="s">
        <v>114</v>
      </c>
    </row>
    <row r="18" ht="15.0" customHeight="1">
      <c r="A18" s="74" t="s">
        <v>57</v>
      </c>
      <c r="B18" s="75"/>
      <c r="C18" s="75"/>
      <c r="D18" s="75"/>
      <c r="E18" s="75"/>
      <c r="F18" s="76">
        <f t="shared" ref="F18:F28" si="16">SUM(B18:E18)</f>
        <v>0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0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0</v>
      </c>
      <c r="V18" s="2"/>
    </row>
    <row r="19" ht="15.0" customHeight="1">
      <c r="A19" s="74" t="s">
        <v>58</v>
      </c>
      <c r="B19" s="77"/>
      <c r="C19" s="77"/>
      <c r="D19" s="75"/>
      <c r="E19" s="75"/>
      <c r="F19" s="76">
        <f t="shared" si="16"/>
        <v>0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0</v>
      </c>
      <c r="S19" s="75">
        <f t="shared" si="19"/>
        <v>0</v>
      </c>
      <c r="T19" s="75">
        <f t="shared" si="19"/>
        <v>0</v>
      </c>
      <c r="U19" s="78">
        <f t="shared" si="20"/>
        <v>0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/>
      <c r="E21" s="77"/>
      <c r="F21" s="76">
        <f t="shared" si="16"/>
        <v>0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0</v>
      </c>
      <c r="T21" s="75">
        <f t="shared" si="22"/>
        <v>0</v>
      </c>
      <c r="U21" s="78">
        <f t="shared" si="20"/>
        <v>0</v>
      </c>
      <c r="V21" s="2"/>
    </row>
    <row r="22" ht="15.0" customHeight="1">
      <c r="A22" s="74" t="s">
        <v>61</v>
      </c>
      <c r="B22" s="77"/>
      <c r="C22" s="77"/>
      <c r="D22" s="77"/>
      <c r="E22" s="77"/>
      <c r="F22" s="76">
        <f t="shared" si="16"/>
        <v>0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0</v>
      </c>
      <c r="V22" s="2"/>
    </row>
    <row r="23" ht="15.0" customHeight="1">
      <c r="A23" s="74" t="s">
        <v>62</v>
      </c>
      <c r="B23" s="77"/>
      <c r="C23" s="77"/>
      <c r="D23" s="77"/>
      <c r="E23" s="77"/>
      <c r="F23" s="76">
        <f t="shared" si="16"/>
        <v>0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0</v>
      </c>
      <c r="S23" s="75">
        <f t="shared" si="24"/>
        <v>0</v>
      </c>
      <c r="T23" s="75">
        <f t="shared" si="24"/>
        <v>0</v>
      </c>
      <c r="U23" s="78">
        <f t="shared" si="20"/>
        <v>0</v>
      </c>
      <c r="V23" s="2"/>
    </row>
    <row r="24" ht="15.0" customHeight="1">
      <c r="A24" s="74" t="s">
        <v>63</v>
      </c>
      <c r="B24" s="79"/>
      <c r="C24" s="77"/>
      <c r="D24" s="77"/>
      <c r="E24" s="77"/>
      <c r="F24" s="76">
        <f t="shared" si="16"/>
        <v>0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0</v>
      </c>
      <c r="V24" s="2"/>
    </row>
    <row r="25" ht="15.0" customHeight="1">
      <c r="A25" s="74" t="s">
        <v>17</v>
      </c>
      <c r="B25" s="75"/>
      <c r="C25" s="75"/>
      <c r="D25" s="77"/>
      <c r="E25" s="77"/>
      <c r="F25" s="76">
        <f t="shared" si="16"/>
        <v>0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0</v>
      </c>
      <c r="V25" s="2"/>
    </row>
    <row r="26" ht="15.0" customHeight="1">
      <c r="A26" s="74" t="s">
        <v>64</v>
      </c>
      <c r="B26" s="77"/>
      <c r="C26" s="80"/>
      <c r="D26" s="80"/>
      <c r="E26" s="75"/>
      <c r="F26" s="76">
        <f t="shared" si="16"/>
        <v>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0</v>
      </c>
      <c r="V26" s="2"/>
    </row>
    <row r="27" ht="15.0" customHeight="1">
      <c r="A27" s="74" t="s">
        <v>65</v>
      </c>
      <c r="B27" s="77"/>
      <c r="C27" s="77"/>
      <c r="D27" s="77"/>
      <c r="E27" s="77"/>
      <c r="F27" s="76">
        <f t="shared" si="16"/>
        <v>0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0</v>
      </c>
      <c r="S27" s="75">
        <f t="shared" si="28"/>
        <v>0</v>
      </c>
      <c r="T27" s="75">
        <f t="shared" si="28"/>
        <v>0</v>
      </c>
      <c r="U27" s="78">
        <f t="shared" si="20"/>
        <v>0</v>
      </c>
      <c r="V27" s="2"/>
    </row>
    <row r="28" ht="15.75" customHeight="1">
      <c r="A28" s="74" t="s">
        <v>54</v>
      </c>
      <c r="B28" s="77"/>
      <c r="C28" s="77"/>
      <c r="D28" s="77"/>
      <c r="E28" s="77">
        <v>547.0</v>
      </c>
      <c r="F28" s="76">
        <f t="shared" si="16"/>
        <v>547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0</v>
      </c>
      <c r="S28" s="75">
        <f t="shared" si="29"/>
        <v>0</v>
      </c>
      <c r="T28" s="75">
        <f t="shared" si="29"/>
        <v>547</v>
      </c>
      <c r="U28" s="78">
        <f t="shared" si="20"/>
        <v>547</v>
      </c>
      <c r="V28" s="2"/>
    </row>
    <row r="29" ht="15.75" customHeight="1">
      <c r="A29" s="72" t="s">
        <v>66</v>
      </c>
      <c r="B29" s="73">
        <f t="shared" ref="B29:U29" si="30">SUM(B30:B44)</f>
        <v>8276</v>
      </c>
      <c r="C29" s="73">
        <f t="shared" si="30"/>
        <v>479</v>
      </c>
      <c r="D29" s="73">
        <f t="shared" si="30"/>
        <v>0</v>
      </c>
      <c r="E29" s="73">
        <f t="shared" si="30"/>
        <v>0</v>
      </c>
      <c r="F29" s="81">
        <f t="shared" si="30"/>
        <v>8755</v>
      </c>
      <c r="G29" s="73">
        <f t="shared" si="30"/>
        <v>121</v>
      </c>
      <c r="H29" s="73">
        <f t="shared" si="30"/>
        <v>0</v>
      </c>
      <c r="I29" s="73">
        <f t="shared" si="30"/>
        <v>0</v>
      </c>
      <c r="J29" s="73">
        <f t="shared" si="30"/>
        <v>28</v>
      </c>
      <c r="K29" s="81">
        <f t="shared" si="30"/>
        <v>149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0</v>
      </c>
      <c r="Q29" s="73">
        <f t="shared" si="30"/>
        <v>8397</v>
      </c>
      <c r="R29" s="73">
        <f t="shared" si="30"/>
        <v>479</v>
      </c>
      <c r="S29" s="73">
        <f t="shared" si="30"/>
        <v>0</v>
      </c>
      <c r="T29" s="73">
        <f t="shared" si="30"/>
        <v>28</v>
      </c>
      <c r="U29" s="81">
        <f t="shared" si="30"/>
        <v>8904</v>
      </c>
      <c r="V29" s="2" t="s">
        <v>114</v>
      </c>
    </row>
    <row r="30" ht="15.0" customHeight="1">
      <c r="A30" s="74" t="s">
        <v>67</v>
      </c>
      <c r="B30" s="75">
        <v>160.0</v>
      </c>
      <c r="C30" s="75"/>
      <c r="D30" s="75"/>
      <c r="E30" s="75"/>
      <c r="F30" s="76">
        <f t="shared" ref="F30:F44" si="32">SUM(B30:E30)</f>
        <v>160</v>
      </c>
      <c r="G30" s="75">
        <v>30.0</v>
      </c>
      <c r="H30" s="75"/>
      <c r="I30" s="75"/>
      <c r="J30" s="75"/>
      <c r="K30" s="76">
        <f t="shared" ref="K30:K44" si="33">SUM(G30:J30)</f>
        <v>30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190</v>
      </c>
      <c r="R30" s="75">
        <f t="shared" si="31"/>
        <v>0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190</v>
      </c>
      <c r="V30" s="2"/>
    </row>
    <row r="31" ht="15.0" customHeight="1">
      <c r="A31" s="74" t="s">
        <v>68</v>
      </c>
      <c r="B31" s="77">
        <v>1083.0</v>
      </c>
      <c r="C31" s="77">
        <v>183.0</v>
      </c>
      <c r="D31" s="77"/>
      <c r="E31" s="77"/>
      <c r="F31" s="76">
        <f t="shared" si="32"/>
        <v>1266</v>
      </c>
      <c r="G31" s="77">
        <v>61.0</v>
      </c>
      <c r="H31" s="77"/>
      <c r="I31" s="77"/>
      <c r="J31" s="77"/>
      <c r="K31" s="76">
        <f t="shared" si="33"/>
        <v>61</v>
      </c>
      <c r="L31" s="77"/>
      <c r="M31" s="77"/>
      <c r="N31" s="77"/>
      <c r="O31" s="77"/>
      <c r="P31" s="78">
        <f t="shared" si="34"/>
        <v>0</v>
      </c>
      <c r="Q31" s="77">
        <f t="shared" ref="Q31:T31" si="35">SUM(B31,G31,L31)</f>
        <v>1144</v>
      </c>
      <c r="R31" s="77">
        <f t="shared" si="35"/>
        <v>183</v>
      </c>
      <c r="S31" s="77">
        <f t="shared" si="35"/>
        <v>0</v>
      </c>
      <c r="T31" s="77">
        <f t="shared" si="35"/>
        <v>0</v>
      </c>
      <c r="U31" s="78">
        <f t="shared" si="36"/>
        <v>1327</v>
      </c>
      <c r="V31" s="2"/>
    </row>
    <row r="32" ht="15.0" customHeight="1">
      <c r="A32" s="74" t="s">
        <v>69</v>
      </c>
      <c r="B32" s="77">
        <v>446.0</v>
      </c>
      <c r="C32" s="77"/>
      <c r="D32" s="77"/>
      <c r="E32" s="77"/>
      <c r="F32" s="76">
        <f t="shared" si="32"/>
        <v>446</v>
      </c>
      <c r="G32" s="77"/>
      <c r="H32" s="77"/>
      <c r="I32" s="77"/>
      <c r="J32" s="77"/>
      <c r="K32" s="76">
        <f t="shared" si="33"/>
        <v>0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446</v>
      </c>
      <c r="R32" s="77">
        <f t="shared" si="37"/>
        <v>0</v>
      </c>
      <c r="S32" s="77">
        <f t="shared" si="37"/>
        <v>0</v>
      </c>
      <c r="T32" s="77">
        <f t="shared" si="37"/>
        <v>0</v>
      </c>
      <c r="U32" s="78">
        <f t="shared" si="36"/>
        <v>446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>
        <v>603.0</v>
      </c>
      <c r="C34" s="77">
        <v>228.0</v>
      </c>
      <c r="D34" s="77"/>
      <c r="E34" s="77"/>
      <c r="F34" s="76">
        <f t="shared" si="32"/>
        <v>831</v>
      </c>
      <c r="G34" s="77">
        <v>30.0</v>
      </c>
      <c r="H34" s="77"/>
      <c r="I34" s="77"/>
      <c r="J34" s="77"/>
      <c r="K34" s="76">
        <f t="shared" si="33"/>
        <v>30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633</v>
      </c>
      <c r="R34" s="77">
        <f t="shared" si="39"/>
        <v>228</v>
      </c>
      <c r="S34" s="77">
        <f t="shared" si="39"/>
        <v>0</v>
      </c>
      <c r="T34" s="77">
        <f t="shared" si="39"/>
        <v>0</v>
      </c>
      <c r="U34" s="78">
        <f t="shared" si="36"/>
        <v>861</v>
      </c>
      <c r="V34" s="2"/>
    </row>
    <row r="35" ht="15.0" customHeight="1">
      <c r="A35" s="74" t="s">
        <v>72</v>
      </c>
      <c r="B35" s="77"/>
      <c r="C35" s="77"/>
      <c r="D35" s="77"/>
      <c r="E35" s="77"/>
      <c r="F35" s="76">
        <f t="shared" si="32"/>
        <v>0</v>
      </c>
      <c r="G35" s="77"/>
      <c r="H35" s="77"/>
      <c r="I35" s="77"/>
      <c r="J35" s="77"/>
      <c r="K35" s="76">
        <f t="shared" si="33"/>
        <v>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0</v>
      </c>
      <c r="V35" s="2"/>
    </row>
    <row r="36" ht="15.0" customHeight="1">
      <c r="A36" s="74" t="s">
        <v>73</v>
      </c>
      <c r="B36" s="77">
        <v>348.0</v>
      </c>
      <c r="C36" s="77"/>
      <c r="D36" s="77"/>
      <c r="E36" s="77"/>
      <c r="F36" s="76">
        <f t="shared" si="32"/>
        <v>348</v>
      </c>
      <c r="G36" s="77"/>
      <c r="H36" s="77"/>
      <c r="I36" s="77"/>
      <c r="J36" s="77"/>
      <c r="K36" s="76">
        <f t="shared" si="33"/>
        <v>0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348</v>
      </c>
      <c r="R36" s="77">
        <f t="shared" si="41"/>
        <v>0</v>
      </c>
      <c r="S36" s="77">
        <f t="shared" si="41"/>
        <v>0</v>
      </c>
      <c r="T36" s="77">
        <f t="shared" si="41"/>
        <v>0</v>
      </c>
      <c r="U36" s="78">
        <f t="shared" si="36"/>
        <v>348</v>
      </c>
      <c r="V36" s="2"/>
    </row>
    <row r="37" ht="15.0" customHeight="1">
      <c r="A37" s="74" t="s">
        <v>74</v>
      </c>
      <c r="B37" s="77">
        <v>5612.0</v>
      </c>
      <c r="C37" s="77"/>
      <c r="D37" s="77"/>
      <c r="E37" s="77"/>
      <c r="F37" s="76">
        <f t="shared" si="32"/>
        <v>5612</v>
      </c>
      <c r="G37" s="77"/>
      <c r="H37" s="77"/>
      <c r="I37" s="77"/>
      <c r="J37" s="77"/>
      <c r="K37" s="76">
        <f t="shared" si="33"/>
        <v>0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5612</v>
      </c>
      <c r="R37" s="77">
        <f t="shared" si="42"/>
        <v>0</v>
      </c>
      <c r="S37" s="77">
        <f t="shared" ref="S37:S41" si="44">SUM(D37,I36,N37)</f>
        <v>0</v>
      </c>
      <c r="T37" s="77">
        <f t="shared" ref="T37:T41" si="45">SUM(E37,J37,O37)</f>
        <v>0</v>
      </c>
      <c r="U37" s="78">
        <f t="shared" si="36"/>
        <v>5612</v>
      </c>
      <c r="V37" s="2"/>
    </row>
    <row r="38" ht="15.0" customHeight="1">
      <c r="A38" s="74" t="s">
        <v>75</v>
      </c>
      <c r="B38" s="77"/>
      <c r="C38" s="77"/>
      <c r="D38" s="77"/>
      <c r="E38" s="77"/>
      <c r="F38" s="76">
        <f t="shared" si="32"/>
        <v>0</v>
      </c>
      <c r="G38" s="77"/>
      <c r="H38" s="77"/>
      <c r="I38" s="77"/>
      <c r="J38" s="77"/>
      <c r="K38" s="76">
        <f t="shared" si="33"/>
        <v>0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0</v>
      </c>
      <c r="T38" s="77">
        <f t="shared" si="45"/>
        <v>0</v>
      </c>
      <c r="U38" s="78">
        <f t="shared" si="36"/>
        <v>0</v>
      </c>
      <c r="V38" s="2"/>
    </row>
    <row r="39" ht="15.0" customHeight="1">
      <c r="A39" s="74" t="s">
        <v>76</v>
      </c>
      <c r="B39" s="77"/>
      <c r="C39" s="77"/>
      <c r="D39" s="77"/>
      <c r="E39" s="77"/>
      <c r="F39" s="76">
        <f t="shared" si="32"/>
        <v>0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0</v>
      </c>
      <c r="T39" s="77">
        <f t="shared" si="45"/>
        <v>0</v>
      </c>
      <c r="U39" s="78">
        <f t="shared" si="36"/>
        <v>0</v>
      </c>
      <c r="V39" s="2"/>
    </row>
    <row r="40" ht="15.0" customHeight="1">
      <c r="A40" s="74" t="s">
        <v>77</v>
      </c>
      <c r="B40" s="77"/>
      <c r="C40" s="77"/>
      <c r="D40" s="77"/>
      <c r="E40" s="77"/>
      <c r="F40" s="76">
        <f t="shared" si="32"/>
        <v>0</v>
      </c>
      <c r="G40" s="77"/>
      <c r="H40" s="77"/>
      <c r="I40" s="77"/>
      <c r="J40" s="77"/>
      <c r="K40" s="76">
        <f t="shared" si="33"/>
        <v>0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0</v>
      </c>
      <c r="V40" s="2"/>
    </row>
    <row r="41" ht="15.0" customHeight="1">
      <c r="A41" s="74" t="s">
        <v>78</v>
      </c>
      <c r="B41" s="77"/>
      <c r="C41" s="77"/>
      <c r="D41" s="77"/>
      <c r="E41" s="77"/>
      <c r="F41" s="76">
        <f t="shared" si="32"/>
        <v>0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0</v>
      </c>
      <c r="T41" s="77">
        <f t="shared" si="45"/>
        <v>0</v>
      </c>
      <c r="U41" s="78">
        <f t="shared" si="36"/>
        <v>0</v>
      </c>
      <c r="V41" s="2"/>
    </row>
    <row r="42" ht="15.0" customHeight="1">
      <c r="A42" s="74" t="s">
        <v>79</v>
      </c>
      <c r="B42" s="77"/>
      <c r="C42" s="77"/>
      <c r="D42" s="77"/>
      <c r="E42" s="77"/>
      <c r="F42" s="76">
        <f t="shared" si="32"/>
        <v>0</v>
      </c>
      <c r="G42" s="77"/>
      <c r="H42" s="77"/>
      <c r="I42" s="77"/>
      <c r="J42" s="77"/>
      <c r="K42" s="76">
        <f t="shared" si="33"/>
        <v>0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0</v>
      </c>
      <c r="T42" s="77">
        <f t="shared" si="49"/>
        <v>0</v>
      </c>
      <c r="U42" s="78">
        <f t="shared" si="36"/>
        <v>0</v>
      </c>
      <c r="V42" s="2"/>
    </row>
    <row r="43" ht="15.0" customHeight="1">
      <c r="A43" s="74" t="s">
        <v>80</v>
      </c>
      <c r="B43" s="77"/>
      <c r="C43" s="77"/>
      <c r="D43" s="77"/>
      <c r="E43" s="77"/>
      <c r="F43" s="76">
        <f t="shared" si="32"/>
        <v>0</v>
      </c>
      <c r="G43" s="77"/>
      <c r="H43" s="77"/>
      <c r="I43" s="77"/>
      <c r="J43" s="77"/>
      <c r="K43" s="76">
        <f t="shared" si="33"/>
        <v>0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0</v>
      </c>
      <c r="T43" s="77">
        <f t="shared" si="50"/>
        <v>0</v>
      </c>
      <c r="U43" s="78">
        <f t="shared" si="36"/>
        <v>0</v>
      </c>
      <c r="V43" s="2"/>
    </row>
    <row r="44" ht="15.75" customHeight="1">
      <c r="A44" s="74" t="s">
        <v>81</v>
      </c>
      <c r="B44" s="77">
        <v>24.0</v>
      </c>
      <c r="C44" s="77">
        <v>68.0</v>
      </c>
      <c r="D44" s="77"/>
      <c r="E44" s="77"/>
      <c r="F44" s="76">
        <f t="shared" si="32"/>
        <v>92</v>
      </c>
      <c r="G44" s="77"/>
      <c r="H44" s="77"/>
      <c r="I44" s="77"/>
      <c r="J44" s="77">
        <v>28.0</v>
      </c>
      <c r="K44" s="76">
        <f t="shared" si="33"/>
        <v>28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24</v>
      </c>
      <c r="R44" s="77">
        <f t="shared" si="51"/>
        <v>68</v>
      </c>
      <c r="S44" s="77">
        <f t="shared" si="51"/>
        <v>0</v>
      </c>
      <c r="T44" s="77">
        <f t="shared" si="51"/>
        <v>28</v>
      </c>
      <c r="U44" s="78">
        <f t="shared" si="36"/>
        <v>120</v>
      </c>
      <c r="V44" s="2"/>
    </row>
    <row r="45" ht="15.75" customHeight="1">
      <c r="A45" s="72" t="s">
        <v>82</v>
      </c>
      <c r="B45" s="73">
        <f t="shared" ref="B45:U45" si="52">SUM(B46:B63)</f>
        <v>351</v>
      </c>
      <c r="C45" s="73">
        <f t="shared" si="52"/>
        <v>294</v>
      </c>
      <c r="D45" s="73">
        <f t="shared" si="52"/>
        <v>291</v>
      </c>
      <c r="E45" s="73">
        <f t="shared" si="52"/>
        <v>474</v>
      </c>
      <c r="F45" s="81">
        <f t="shared" si="52"/>
        <v>1410</v>
      </c>
      <c r="G45" s="73">
        <f t="shared" si="52"/>
        <v>72</v>
      </c>
      <c r="H45" s="73">
        <f t="shared" si="52"/>
        <v>0</v>
      </c>
      <c r="I45" s="73">
        <f t="shared" si="52"/>
        <v>32</v>
      </c>
      <c r="J45" s="73">
        <f t="shared" si="52"/>
        <v>904</v>
      </c>
      <c r="K45" s="81">
        <f t="shared" si="52"/>
        <v>1008</v>
      </c>
      <c r="L45" s="73">
        <f t="shared" si="52"/>
        <v>704</v>
      </c>
      <c r="M45" s="73">
        <f t="shared" si="52"/>
        <v>211</v>
      </c>
      <c r="N45" s="73">
        <f t="shared" si="52"/>
        <v>7</v>
      </c>
      <c r="O45" s="73">
        <f t="shared" si="52"/>
        <v>0</v>
      </c>
      <c r="P45" s="81">
        <f t="shared" si="52"/>
        <v>922</v>
      </c>
      <c r="Q45" s="73">
        <f t="shared" si="52"/>
        <v>1127</v>
      </c>
      <c r="R45" s="73">
        <f t="shared" si="52"/>
        <v>505</v>
      </c>
      <c r="S45" s="73">
        <f t="shared" si="52"/>
        <v>330</v>
      </c>
      <c r="T45" s="73">
        <f t="shared" si="52"/>
        <v>1329</v>
      </c>
      <c r="U45" s="73">
        <f t="shared" si="52"/>
        <v>3291</v>
      </c>
      <c r="V45" s="2" t="s">
        <v>114</v>
      </c>
    </row>
    <row r="46" ht="15.0" customHeight="1">
      <c r="A46" s="74" t="s">
        <v>83</v>
      </c>
      <c r="B46" s="75">
        <v>120.0</v>
      </c>
      <c r="C46" s="75"/>
      <c r="D46" s="75"/>
      <c r="E46" s="75"/>
      <c r="F46" s="76">
        <f t="shared" ref="F46:F63" si="54">SUM(B46:E46)</f>
        <v>120</v>
      </c>
      <c r="G46" s="75"/>
      <c r="H46" s="75"/>
      <c r="I46" s="75"/>
      <c r="J46" s="75"/>
      <c r="K46" s="76">
        <f t="shared" ref="K46:K63" si="55">SUM(G46:J46)</f>
        <v>0</v>
      </c>
      <c r="L46" s="75">
        <v>80.0</v>
      </c>
      <c r="M46" s="75"/>
      <c r="N46" s="75"/>
      <c r="O46" s="75"/>
      <c r="P46" s="76">
        <f t="shared" ref="P46:P63" si="56">SUM(L46:O46)</f>
        <v>80</v>
      </c>
      <c r="Q46" s="75">
        <f t="shared" ref="Q46:T46" si="53">SUM(B46,G46,L46)</f>
        <v>200</v>
      </c>
      <c r="R46" s="75">
        <f t="shared" si="53"/>
        <v>0</v>
      </c>
      <c r="S46" s="75">
        <f t="shared" si="53"/>
        <v>0</v>
      </c>
      <c r="T46" s="75">
        <f t="shared" si="53"/>
        <v>0</v>
      </c>
      <c r="U46" s="76">
        <f t="shared" ref="U46:U63" si="58">SUM(Q46:T46)</f>
        <v>200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15.0</v>
      </c>
      <c r="C49" s="77">
        <v>2.0</v>
      </c>
      <c r="D49" s="77">
        <v>6.0</v>
      </c>
      <c r="E49" s="77"/>
      <c r="F49" s="76">
        <f t="shared" si="54"/>
        <v>23</v>
      </c>
      <c r="G49" s="77"/>
      <c r="H49" s="77"/>
      <c r="I49" s="77"/>
      <c r="J49" s="77"/>
      <c r="K49" s="76">
        <f t="shared" si="55"/>
        <v>0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15</v>
      </c>
      <c r="R49" s="75">
        <f t="shared" si="60"/>
        <v>2</v>
      </c>
      <c r="S49" s="75">
        <f t="shared" si="60"/>
        <v>6</v>
      </c>
      <c r="T49" s="75">
        <f t="shared" si="60"/>
        <v>0</v>
      </c>
      <c r="U49" s="78">
        <f t="shared" si="58"/>
        <v>23</v>
      </c>
      <c r="V49" s="2"/>
    </row>
    <row r="50" ht="15.0" customHeight="1">
      <c r="A50" s="74" t="s">
        <v>87</v>
      </c>
      <c r="B50" s="77"/>
      <c r="C50" s="77"/>
      <c r="D50" s="77"/>
      <c r="E50" s="77">
        <v>38.0</v>
      </c>
      <c r="F50" s="76">
        <f t="shared" si="54"/>
        <v>38</v>
      </c>
      <c r="G50" s="77"/>
      <c r="H50" s="77"/>
      <c r="I50" s="77"/>
      <c r="J50" s="77"/>
      <c r="K50" s="76">
        <f t="shared" si="55"/>
        <v>0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0</v>
      </c>
      <c r="R50" s="75">
        <f t="shared" si="61"/>
        <v>0</v>
      </c>
      <c r="S50" s="75">
        <f t="shared" si="61"/>
        <v>0</v>
      </c>
      <c r="T50" s="75">
        <f t="shared" si="61"/>
        <v>38</v>
      </c>
      <c r="U50" s="78">
        <f t="shared" si="58"/>
        <v>38</v>
      </c>
      <c r="V50" s="2"/>
    </row>
    <row r="51" ht="15.0" customHeight="1">
      <c r="A51" s="74" t="s">
        <v>88</v>
      </c>
      <c r="B51" s="77"/>
      <c r="C51" s="77">
        <v>17.0</v>
      </c>
      <c r="D51" s="77">
        <v>67.0</v>
      </c>
      <c r="E51" s="77"/>
      <c r="F51" s="76">
        <f t="shared" si="54"/>
        <v>84</v>
      </c>
      <c r="G51" s="77"/>
      <c r="H51" s="77"/>
      <c r="J51" s="92">
        <v>52.0</v>
      </c>
      <c r="K51" s="76">
        <f t="shared" si="55"/>
        <v>52</v>
      </c>
      <c r="L51" s="77"/>
      <c r="M51" s="77"/>
      <c r="N51" s="77"/>
      <c r="O51" s="77"/>
      <c r="P51" s="76">
        <f t="shared" si="56"/>
        <v>0</v>
      </c>
      <c r="Q51" s="75">
        <f t="shared" ref="Q51:R51" si="62">SUM(B51,G51,L51)</f>
        <v>0</v>
      </c>
      <c r="R51" s="75">
        <f t="shared" si="62"/>
        <v>17</v>
      </c>
      <c r="S51" s="75">
        <f t="shared" ref="S51:T51" si="63">SUM(D51,I56,N51)</f>
        <v>67</v>
      </c>
      <c r="T51" s="75">
        <f t="shared" si="63"/>
        <v>3</v>
      </c>
      <c r="U51" s="78">
        <f t="shared" si="58"/>
        <v>87</v>
      </c>
      <c r="V51" s="2"/>
    </row>
    <row r="52" ht="15.0" customHeight="1">
      <c r="A52" s="83" t="s">
        <v>89</v>
      </c>
      <c r="B52" s="84"/>
      <c r="C52" s="84"/>
      <c r="D52" s="84">
        <v>43.0</v>
      </c>
      <c r="E52" s="84">
        <v>123.0</v>
      </c>
      <c r="F52" s="85">
        <f t="shared" si="54"/>
        <v>166</v>
      </c>
      <c r="G52" s="84"/>
      <c r="H52" s="84"/>
      <c r="I52" s="84">
        <v>32.0</v>
      </c>
      <c r="J52" s="84">
        <v>79.0</v>
      </c>
      <c r="K52" s="85">
        <f t="shared" si="55"/>
        <v>111</v>
      </c>
      <c r="L52" s="84"/>
      <c r="M52" s="84"/>
      <c r="N52" s="84"/>
      <c r="O52" s="84"/>
      <c r="P52" s="85">
        <f t="shared" si="56"/>
        <v>0</v>
      </c>
      <c r="Q52" s="86">
        <f t="shared" ref="Q52:T52" si="64">SUM(B52,G52,L52)</f>
        <v>0</v>
      </c>
      <c r="R52" s="86">
        <f t="shared" si="64"/>
        <v>0</v>
      </c>
      <c r="S52" s="86">
        <f t="shared" si="64"/>
        <v>75</v>
      </c>
      <c r="T52" s="86">
        <f t="shared" si="64"/>
        <v>202</v>
      </c>
      <c r="U52" s="87">
        <f t="shared" si="58"/>
        <v>277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1.0</v>
      </c>
      <c r="C53" s="77"/>
      <c r="D53" s="77"/>
      <c r="E53" s="77"/>
      <c r="F53" s="76">
        <f t="shared" si="54"/>
        <v>1</v>
      </c>
      <c r="G53" s="77"/>
      <c r="H53" s="77"/>
      <c r="I53" s="77"/>
      <c r="J53" s="77"/>
      <c r="K53" s="76">
        <f t="shared" si="55"/>
        <v>0</v>
      </c>
      <c r="L53" s="77">
        <v>101.0</v>
      </c>
      <c r="M53" s="77"/>
      <c r="N53" s="77">
        <v>7.0</v>
      </c>
      <c r="O53" s="77"/>
      <c r="P53" s="76">
        <f t="shared" si="56"/>
        <v>108</v>
      </c>
      <c r="Q53" s="75">
        <f t="shared" ref="Q53:T53" si="65">SUM(B53,G53,L53)</f>
        <v>102</v>
      </c>
      <c r="R53" s="75">
        <f t="shared" si="65"/>
        <v>0</v>
      </c>
      <c r="S53" s="86">
        <f t="shared" si="65"/>
        <v>7</v>
      </c>
      <c r="T53" s="86">
        <f t="shared" si="65"/>
        <v>0</v>
      </c>
      <c r="U53" s="78">
        <f t="shared" si="58"/>
        <v>109</v>
      </c>
      <c r="V53" s="2"/>
    </row>
    <row r="54" ht="15.0" customHeight="1">
      <c r="A54" s="74" t="s">
        <v>91</v>
      </c>
      <c r="B54" s="77"/>
      <c r="C54" s="77"/>
      <c r="D54" s="77"/>
      <c r="E54" s="77"/>
      <c r="F54" s="76">
        <f t="shared" si="54"/>
        <v>0</v>
      </c>
      <c r="G54" s="77"/>
      <c r="H54" s="77"/>
      <c r="I54" s="77"/>
      <c r="J54" s="77"/>
      <c r="K54" s="76">
        <f t="shared" si="55"/>
        <v>0</v>
      </c>
      <c r="L54" s="77"/>
      <c r="M54" s="77"/>
      <c r="N54" s="77"/>
      <c r="O54" s="77"/>
      <c r="P54" s="76">
        <f t="shared" si="56"/>
        <v>0</v>
      </c>
      <c r="Q54" s="75">
        <f t="shared" ref="Q54:T54" si="66">SUM(B54,G54,L54)</f>
        <v>0</v>
      </c>
      <c r="R54" s="75">
        <f t="shared" si="66"/>
        <v>0</v>
      </c>
      <c r="S54" s="86">
        <f t="shared" si="66"/>
        <v>0</v>
      </c>
      <c r="T54" s="86">
        <f t="shared" si="66"/>
        <v>0</v>
      </c>
      <c r="U54" s="78">
        <f t="shared" si="58"/>
        <v>0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7">SUM(B55,G55,L55)</f>
        <v>0</v>
      </c>
      <c r="R55" s="75">
        <f t="shared" si="67"/>
        <v>0</v>
      </c>
      <c r="S55" s="86">
        <f t="shared" si="67"/>
        <v>0</v>
      </c>
      <c r="T55" s="86">
        <f t="shared" si="67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/>
      <c r="C56" s="77"/>
      <c r="D56" s="77"/>
      <c r="E56" s="77"/>
      <c r="F56" s="76">
        <f t="shared" si="54"/>
        <v>0</v>
      </c>
      <c r="G56" s="77"/>
      <c r="H56" s="77"/>
      <c r="I56" s="77"/>
      <c r="J56" s="77">
        <v>3.0</v>
      </c>
      <c r="K56" s="76">
        <f t="shared" si="55"/>
        <v>3</v>
      </c>
      <c r="L56" s="90"/>
      <c r="M56" s="90"/>
      <c r="N56" s="90"/>
      <c r="O56" s="90"/>
      <c r="P56" s="76">
        <f t="shared" si="56"/>
        <v>0</v>
      </c>
      <c r="Q56" s="75">
        <f t="shared" ref="Q56:T56" si="68">SUM(B56,G56,L56)</f>
        <v>0</v>
      </c>
      <c r="R56" s="75">
        <f t="shared" si="68"/>
        <v>0</v>
      </c>
      <c r="S56" s="86">
        <f t="shared" si="68"/>
        <v>0</v>
      </c>
      <c r="T56" s="86">
        <f t="shared" si="68"/>
        <v>3</v>
      </c>
      <c r="U56" s="91">
        <f t="shared" si="58"/>
        <v>3</v>
      </c>
      <c r="V56" s="2"/>
    </row>
    <row r="57" ht="15.0" customHeight="1">
      <c r="A57" s="74" t="s">
        <v>94</v>
      </c>
      <c r="B57" s="77"/>
      <c r="C57" s="77">
        <v>217.0</v>
      </c>
      <c r="D57" s="77">
        <v>175.0</v>
      </c>
      <c r="E57" s="77"/>
      <c r="F57" s="76">
        <f t="shared" si="54"/>
        <v>392</v>
      </c>
      <c r="G57" s="77"/>
      <c r="H57" s="77"/>
      <c r="I57" s="77"/>
      <c r="J57" s="2"/>
      <c r="K57" s="76">
        <f t="shared" si="55"/>
        <v>0</v>
      </c>
      <c r="L57" s="77"/>
      <c r="M57" s="77">
        <v>60.0</v>
      </c>
      <c r="N57" s="77"/>
      <c r="O57" s="77"/>
      <c r="P57" s="76">
        <f t="shared" si="56"/>
        <v>60</v>
      </c>
      <c r="Q57" s="75">
        <f t="shared" ref="Q57:T57" si="69">SUM(B57,G57,L57)</f>
        <v>0</v>
      </c>
      <c r="R57" s="75">
        <f t="shared" si="69"/>
        <v>277</v>
      </c>
      <c r="S57" s="86">
        <f t="shared" si="69"/>
        <v>175</v>
      </c>
      <c r="T57" s="86">
        <f t="shared" si="69"/>
        <v>0</v>
      </c>
      <c r="U57" s="91">
        <f t="shared" si="58"/>
        <v>452</v>
      </c>
      <c r="V57" s="2"/>
    </row>
    <row r="58" ht="15.0" customHeight="1">
      <c r="A58" s="74" t="s">
        <v>95</v>
      </c>
      <c r="B58" s="77"/>
      <c r="C58" s="77"/>
      <c r="D58" s="77"/>
      <c r="E58" s="77"/>
      <c r="F58" s="76">
        <f t="shared" si="54"/>
        <v>0</v>
      </c>
      <c r="G58" s="77"/>
      <c r="H58" s="77"/>
      <c r="I58" s="77"/>
      <c r="J58" s="77"/>
      <c r="K58" s="76">
        <f t="shared" si="55"/>
        <v>0</v>
      </c>
      <c r="L58" s="77">
        <v>33.0</v>
      </c>
      <c r="M58" s="77">
        <v>40.0</v>
      </c>
      <c r="N58" s="77"/>
      <c r="O58" s="77"/>
      <c r="P58" s="76">
        <f t="shared" si="56"/>
        <v>73</v>
      </c>
      <c r="Q58" s="75">
        <f t="shared" ref="Q58:T58" si="70">SUM(B58,G58,L58)</f>
        <v>33</v>
      </c>
      <c r="R58" s="75">
        <f t="shared" si="70"/>
        <v>40</v>
      </c>
      <c r="S58" s="75">
        <f t="shared" si="70"/>
        <v>0</v>
      </c>
      <c r="T58" s="86">
        <f t="shared" si="70"/>
        <v>0</v>
      </c>
      <c r="U58" s="91">
        <f t="shared" si="58"/>
        <v>73</v>
      </c>
      <c r="V58" s="2"/>
    </row>
    <row r="59" ht="15.0" customHeight="1">
      <c r="A59" s="74" t="s">
        <v>96</v>
      </c>
      <c r="B59" s="77">
        <v>215.0</v>
      </c>
      <c r="C59" s="77">
        <v>58.0</v>
      </c>
      <c r="D59" s="77"/>
      <c r="E59" s="77"/>
      <c r="F59" s="76">
        <f t="shared" si="54"/>
        <v>273</v>
      </c>
      <c r="G59" s="82">
        <v>72.0</v>
      </c>
      <c r="H59" s="82"/>
      <c r="I59" s="82"/>
      <c r="J59" s="82"/>
      <c r="K59" s="76">
        <f t="shared" si="55"/>
        <v>72</v>
      </c>
      <c r="L59" s="77">
        <v>490.0</v>
      </c>
      <c r="M59" s="77"/>
      <c r="N59" s="77"/>
      <c r="O59" s="77"/>
      <c r="P59" s="76">
        <f t="shared" si="56"/>
        <v>490</v>
      </c>
      <c r="Q59" s="75">
        <f t="shared" ref="Q59:T59" si="71">SUM(B59,G59,L59)</f>
        <v>777</v>
      </c>
      <c r="R59" s="75">
        <f t="shared" si="71"/>
        <v>58</v>
      </c>
      <c r="S59" s="75">
        <f t="shared" si="71"/>
        <v>0</v>
      </c>
      <c r="T59" s="75">
        <f t="shared" si="71"/>
        <v>0</v>
      </c>
      <c r="U59" s="91">
        <f t="shared" si="58"/>
        <v>835</v>
      </c>
      <c r="V59" s="2"/>
    </row>
    <row r="60" ht="15.0" customHeight="1">
      <c r="A60" s="74" t="s">
        <v>17</v>
      </c>
      <c r="B60" s="77"/>
      <c r="C60" s="77"/>
      <c r="D60" s="77"/>
      <c r="E60" s="77"/>
      <c r="F60" s="76">
        <f t="shared" si="54"/>
        <v>0</v>
      </c>
      <c r="G60" s="77"/>
      <c r="H60" s="77"/>
      <c r="I60" s="77"/>
      <c r="J60" s="77"/>
      <c r="K60" s="76">
        <f t="shared" si="55"/>
        <v>0</v>
      </c>
      <c r="L60" s="77"/>
      <c r="M60" s="77"/>
      <c r="N60" s="77"/>
      <c r="O60" s="77"/>
      <c r="P60" s="76">
        <f t="shared" si="56"/>
        <v>0</v>
      </c>
      <c r="Q60" s="75">
        <f t="shared" ref="Q60:T60" si="72">SUM(B60,G60,L60)</f>
        <v>0</v>
      </c>
      <c r="R60" s="75">
        <f t="shared" si="72"/>
        <v>0</v>
      </c>
      <c r="S60" s="75">
        <f t="shared" si="72"/>
        <v>0</v>
      </c>
      <c r="T60" s="75">
        <f t="shared" si="72"/>
        <v>0</v>
      </c>
      <c r="U60" s="78">
        <f t="shared" si="58"/>
        <v>0</v>
      </c>
      <c r="V60" s="2"/>
    </row>
    <row r="61" ht="15.0" customHeight="1">
      <c r="A61" s="74" t="s">
        <v>78</v>
      </c>
      <c r="B61" s="80"/>
      <c r="C61" s="80"/>
      <c r="D61" s="80"/>
      <c r="E61" s="80"/>
      <c r="F61" s="76">
        <f t="shared" si="54"/>
        <v>0</v>
      </c>
      <c r="G61" s="77"/>
      <c r="H61" s="77"/>
      <c r="I61" s="77"/>
      <c r="J61" s="77">
        <v>532.0</v>
      </c>
      <c r="K61" s="76">
        <f t="shared" si="55"/>
        <v>532</v>
      </c>
      <c r="L61" s="77"/>
      <c r="M61" s="77">
        <v>111.0</v>
      </c>
      <c r="N61" s="77"/>
      <c r="O61" s="77"/>
      <c r="P61" s="76">
        <f t="shared" si="56"/>
        <v>111</v>
      </c>
      <c r="Q61" s="75">
        <f t="shared" ref="Q61:T61" si="73">SUM(B61,G61,L61)</f>
        <v>0</v>
      </c>
      <c r="R61" s="75">
        <f t="shared" si="73"/>
        <v>111</v>
      </c>
      <c r="S61" s="75">
        <f t="shared" si="73"/>
        <v>0</v>
      </c>
      <c r="T61" s="75">
        <f t="shared" si="73"/>
        <v>532</v>
      </c>
      <c r="U61" s="78">
        <f t="shared" si="58"/>
        <v>643</v>
      </c>
      <c r="V61" s="2"/>
    </row>
    <row r="62" ht="15.0" customHeight="1">
      <c r="A62" s="74" t="s">
        <v>97</v>
      </c>
      <c r="B62" s="77"/>
      <c r="C62" s="77"/>
      <c r="D62" s="77"/>
      <c r="E62" s="77"/>
      <c r="F62" s="76">
        <f t="shared" si="54"/>
        <v>0</v>
      </c>
      <c r="G62" s="77"/>
      <c r="H62" s="77"/>
      <c r="I62" s="77"/>
      <c r="J62" s="77"/>
      <c r="K62" s="76">
        <f t="shared" si="55"/>
        <v>0</v>
      </c>
      <c r="L62" s="77"/>
      <c r="M62" s="77"/>
      <c r="N62" s="77"/>
      <c r="O62" s="77"/>
      <c r="P62" s="76">
        <f t="shared" si="56"/>
        <v>0</v>
      </c>
      <c r="Q62" s="75">
        <f t="shared" ref="Q62:T62" si="74">SUM(B62,G62,L62)</f>
        <v>0</v>
      </c>
      <c r="R62" s="75">
        <f t="shared" si="74"/>
        <v>0</v>
      </c>
      <c r="S62" s="75">
        <f t="shared" si="74"/>
        <v>0</v>
      </c>
      <c r="T62" s="75">
        <f t="shared" si="74"/>
        <v>0</v>
      </c>
      <c r="U62" s="78">
        <f t="shared" si="58"/>
        <v>0</v>
      </c>
      <c r="V62" s="2"/>
    </row>
    <row r="63" ht="15.75" customHeight="1">
      <c r="A63" s="74" t="s">
        <v>98</v>
      </c>
      <c r="B63" s="77"/>
      <c r="C63" s="77"/>
      <c r="D63" s="77"/>
      <c r="E63" s="77">
        <v>306.0</v>
      </c>
      <c r="F63" s="76">
        <f t="shared" si="54"/>
        <v>306</v>
      </c>
      <c r="G63" s="77"/>
      <c r="H63" s="77"/>
      <c r="I63" s="77"/>
      <c r="J63" s="77">
        <v>238.0</v>
      </c>
      <c r="K63" s="76">
        <f t="shared" si="55"/>
        <v>238</v>
      </c>
      <c r="L63" s="77"/>
      <c r="M63" s="77"/>
      <c r="N63" s="77"/>
      <c r="O63" s="77"/>
      <c r="P63" s="76">
        <f t="shared" si="56"/>
        <v>0</v>
      </c>
      <c r="Q63" s="75">
        <f t="shared" ref="Q63:T63" si="75">SUM(B63,G63,L63)</f>
        <v>0</v>
      </c>
      <c r="R63" s="75">
        <f t="shared" si="75"/>
        <v>0</v>
      </c>
      <c r="S63" s="75">
        <f t="shared" si="75"/>
        <v>0</v>
      </c>
      <c r="T63" s="75">
        <f t="shared" si="75"/>
        <v>544</v>
      </c>
      <c r="U63" s="78">
        <f t="shared" si="58"/>
        <v>544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6">SUM(C65:C78)</f>
        <v>0</v>
      </c>
      <c r="D64" s="73">
        <f t="shared" si="76"/>
        <v>0</v>
      </c>
      <c r="E64" s="73">
        <f t="shared" si="76"/>
        <v>0</v>
      </c>
      <c r="F64" s="73">
        <f t="shared" si="76"/>
        <v>0</v>
      </c>
      <c r="G64" s="73">
        <f t="shared" si="76"/>
        <v>0</v>
      </c>
      <c r="H64" s="73">
        <f t="shared" si="76"/>
        <v>0</v>
      </c>
      <c r="I64" s="73">
        <f t="shared" si="76"/>
        <v>0</v>
      </c>
      <c r="J64" s="73">
        <f t="shared" si="76"/>
        <v>0</v>
      </c>
      <c r="K64" s="73">
        <f t="shared" si="76"/>
        <v>0</v>
      </c>
      <c r="L64" s="73">
        <f t="shared" ref="L64:U64" si="77">SUM(L65:L79)</f>
        <v>0</v>
      </c>
      <c r="M64" s="73">
        <f t="shared" si="77"/>
        <v>0</v>
      </c>
      <c r="N64" s="73">
        <f t="shared" si="77"/>
        <v>0</v>
      </c>
      <c r="O64" s="73">
        <f t="shared" si="77"/>
        <v>0</v>
      </c>
      <c r="P64" s="73">
        <f t="shared" si="77"/>
        <v>0</v>
      </c>
      <c r="Q64" s="73">
        <f t="shared" si="77"/>
        <v>0</v>
      </c>
      <c r="R64" s="73">
        <f t="shared" si="77"/>
        <v>0</v>
      </c>
      <c r="S64" s="73">
        <f t="shared" si="77"/>
        <v>0</v>
      </c>
      <c r="T64" s="73">
        <f t="shared" si="77"/>
        <v>0</v>
      </c>
      <c r="U64" s="73">
        <f t="shared" si="77"/>
        <v>0</v>
      </c>
      <c r="V64" s="2" t="s">
        <v>114</v>
      </c>
    </row>
    <row r="65" ht="15.0" customHeight="1">
      <c r="A65" s="74" t="s">
        <v>100</v>
      </c>
      <c r="B65" s="75"/>
      <c r="C65" s="75"/>
      <c r="D65" s="75"/>
      <c r="E65" s="75"/>
      <c r="F65" s="76">
        <f t="shared" ref="F65:F79" si="79">SUM(B65:E65)</f>
        <v>0</v>
      </c>
      <c r="G65" s="75"/>
      <c r="H65" s="75"/>
      <c r="I65" s="75"/>
      <c r="J65" s="75"/>
      <c r="K65" s="76">
        <f t="shared" ref="K65:K79" si="80">SUM(G65:J65)</f>
        <v>0</v>
      </c>
      <c r="L65" s="75"/>
      <c r="M65" s="75"/>
      <c r="N65" s="75"/>
      <c r="O65" s="75"/>
      <c r="P65" s="76">
        <f t="shared" ref="P65:P79" si="81">SUM(L65:O65)</f>
        <v>0</v>
      </c>
      <c r="Q65" s="75">
        <f t="shared" ref="Q65:T65" si="78">B65+G65+L65</f>
        <v>0</v>
      </c>
      <c r="R65" s="75">
        <f t="shared" si="78"/>
        <v>0</v>
      </c>
      <c r="S65" s="75">
        <f t="shared" si="78"/>
        <v>0</v>
      </c>
      <c r="T65" s="75">
        <f t="shared" si="78"/>
        <v>0</v>
      </c>
      <c r="U65" s="76">
        <f t="shared" ref="U65:U79" si="83">SUM(Q65:T65)</f>
        <v>0</v>
      </c>
      <c r="V65" s="2"/>
    </row>
    <row r="66" ht="15.0" customHeight="1">
      <c r="A66" s="74" t="s">
        <v>101</v>
      </c>
      <c r="B66" s="77"/>
      <c r="C66" s="77"/>
      <c r="D66" s="77"/>
      <c r="E66" s="77"/>
      <c r="F66" s="76">
        <f t="shared" si="79"/>
        <v>0</v>
      </c>
      <c r="G66" s="77"/>
      <c r="H66" s="77"/>
      <c r="I66" s="77"/>
      <c r="J66" s="77"/>
      <c r="K66" s="76">
        <f t="shared" si="80"/>
        <v>0</v>
      </c>
      <c r="L66" s="77"/>
      <c r="M66" s="77"/>
      <c r="N66" s="77"/>
      <c r="O66" s="77"/>
      <c r="P66" s="78">
        <f t="shared" si="81"/>
        <v>0</v>
      </c>
      <c r="Q66" s="75">
        <f t="shared" ref="Q66:T66" si="82">B66+G66+L66</f>
        <v>0</v>
      </c>
      <c r="R66" s="75">
        <f t="shared" si="82"/>
        <v>0</v>
      </c>
      <c r="S66" s="75">
        <f t="shared" si="82"/>
        <v>0</v>
      </c>
      <c r="T66" s="75">
        <f t="shared" si="82"/>
        <v>0</v>
      </c>
      <c r="U66" s="76">
        <f t="shared" si="83"/>
        <v>0</v>
      </c>
      <c r="V66" s="2"/>
    </row>
    <row r="67" ht="15.0" customHeight="1">
      <c r="A67" s="74" t="s">
        <v>102</v>
      </c>
      <c r="B67" s="77"/>
      <c r="C67" s="77"/>
      <c r="D67" s="77"/>
      <c r="E67" s="77"/>
      <c r="F67" s="76">
        <f t="shared" si="79"/>
        <v>0</v>
      </c>
      <c r="G67" s="77"/>
      <c r="H67" s="77"/>
      <c r="I67" s="77"/>
      <c r="J67" s="77"/>
      <c r="K67" s="76">
        <f t="shared" si="80"/>
        <v>0</v>
      </c>
      <c r="L67" s="77"/>
      <c r="M67" s="77"/>
      <c r="N67" s="77"/>
      <c r="O67" s="77"/>
      <c r="P67" s="78">
        <f t="shared" si="81"/>
        <v>0</v>
      </c>
      <c r="Q67" s="75">
        <f t="shared" ref="Q67:T67" si="84">B67+G67+L67</f>
        <v>0</v>
      </c>
      <c r="R67" s="75">
        <f t="shared" si="84"/>
        <v>0</v>
      </c>
      <c r="S67" s="75">
        <f t="shared" si="84"/>
        <v>0</v>
      </c>
      <c r="T67" s="75">
        <f t="shared" si="84"/>
        <v>0</v>
      </c>
      <c r="U67" s="76">
        <f t="shared" si="83"/>
        <v>0</v>
      </c>
      <c r="V67" s="2"/>
    </row>
    <row r="68" ht="15.0" customHeight="1">
      <c r="A68" s="74" t="s">
        <v>103</v>
      </c>
      <c r="B68" s="77"/>
      <c r="C68" s="77"/>
      <c r="D68" s="77"/>
      <c r="E68" s="77"/>
      <c r="F68" s="76">
        <f t="shared" si="79"/>
        <v>0</v>
      </c>
      <c r="G68" s="77"/>
      <c r="H68" s="77"/>
      <c r="I68" s="77"/>
      <c r="J68" s="77"/>
      <c r="K68" s="76">
        <f t="shared" si="80"/>
        <v>0</v>
      </c>
      <c r="L68" s="77"/>
      <c r="M68" s="77"/>
      <c r="N68" s="77"/>
      <c r="O68" s="77"/>
      <c r="P68" s="78">
        <f t="shared" si="81"/>
        <v>0</v>
      </c>
      <c r="Q68" s="75">
        <f t="shared" ref="Q68:T68" si="85">B68+G68+L68</f>
        <v>0</v>
      </c>
      <c r="R68" s="75">
        <f t="shared" si="85"/>
        <v>0</v>
      </c>
      <c r="S68" s="75">
        <f t="shared" si="85"/>
        <v>0</v>
      </c>
      <c r="T68" s="75">
        <f t="shared" si="85"/>
        <v>0</v>
      </c>
      <c r="U68" s="76">
        <f t="shared" si="83"/>
        <v>0</v>
      </c>
      <c r="V68" s="2"/>
    </row>
    <row r="69" ht="15.0" customHeight="1">
      <c r="A69" s="74" t="s">
        <v>59</v>
      </c>
      <c r="B69" s="77"/>
      <c r="C69" s="77"/>
      <c r="D69" s="77"/>
      <c r="E69" s="77"/>
      <c r="F69" s="76">
        <f t="shared" si="79"/>
        <v>0</v>
      </c>
      <c r="G69" s="77"/>
      <c r="H69" s="77"/>
      <c r="I69" s="77"/>
      <c r="J69" s="77"/>
      <c r="K69" s="76">
        <f t="shared" si="80"/>
        <v>0</v>
      </c>
      <c r="L69" s="77"/>
      <c r="M69" s="77"/>
      <c r="N69" s="77"/>
      <c r="O69" s="77"/>
      <c r="P69" s="78">
        <f t="shared" si="81"/>
        <v>0</v>
      </c>
      <c r="Q69" s="75">
        <f t="shared" ref="Q69:T69" si="86">B69+G69+L69</f>
        <v>0</v>
      </c>
      <c r="R69" s="75">
        <f t="shared" si="86"/>
        <v>0</v>
      </c>
      <c r="S69" s="75">
        <f t="shared" si="86"/>
        <v>0</v>
      </c>
      <c r="T69" s="75">
        <f t="shared" si="86"/>
        <v>0</v>
      </c>
      <c r="U69" s="76">
        <f t="shared" si="83"/>
        <v>0</v>
      </c>
      <c r="V69" s="2"/>
    </row>
    <row r="70" ht="15.0" customHeight="1">
      <c r="A70" s="74" t="s">
        <v>104</v>
      </c>
      <c r="B70" s="77"/>
      <c r="C70" s="77"/>
      <c r="D70" s="77"/>
      <c r="E70" s="77"/>
      <c r="F70" s="76">
        <f t="shared" si="79"/>
        <v>0</v>
      </c>
      <c r="G70" s="77"/>
      <c r="H70" s="77"/>
      <c r="I70" s="77"/>
      <c r="J70" s="77"/>
      <c r="K70" s="76">
        <f t="shared" si="80"/>
        <v>0</v>
      </c>
      <c r="L70" s="77"/>
      <c r="M70" s="77"/>
      <c r="N70" s="77"/>
      <c r="O70" s="77"/>
      <c r="P70" s="78">
        <f t="shared" si="81"/>
        <v>0</v>
      </c>
      <c r="Q70" s="75">
        <f t="shared" ref="Q70:T70" si="87">B70+G70+L70</f>
        <v>0</v>
      </c>
      <c r="R70" s="75">
        <f t="shared" si="87"/>
        <v>0</v>
      </c>
      <c r="S70" s="75">
        <f t="shared" si="87"/>
        <v>0</v>
      </c>
      <c r="T70" s="75">
        <f t="shared" si="87"/>
        <v>0</v>
      </c>
      <c r="U70" s="76">
        <f t="shared" si="83"/>
        <v>0</v>
      </c>
      <c r="V70" s="2"/>
    </row>
    <row r="71" ht="15.0" customHeight="1">
      <c r="A71" s="74" t="s">
        <v>105</v>
      </c>
      <c r="B71" s="77"/>
      <c r="C71" s="77"/>
      <c r="D71" s="77"/>
      <c r="E71" s="77"/>
      <c r="F71" s="76">
        <f t="shared" si="79"/>
        <v>0</v>
      </c>
      <c r="G71" s="77"/>
      <c r="H71" s="77"/>
      <c r="I71" s="77"/>
      <c r="J71" s="77"/>
      <c r="K71" s="76">
        <f t="shared" si="80"/>
        <v>0</v>
      </c>
      <c r="L71" s="77"/>
      <c r="M71" s="77"/>
      <c r="N71" s="77"/>
      <c r="O71" s="77"/>
      <c r="P71" s="78">
        <f t="shared" si="81"/>
        <v>0</v>
      </c>
      <c r="Q71" s="75">
        <f t="shared" ref="Q71:T71" si="88">B71+G71+L71</f>
        <v>0</v>
      </c>
      <c r="R71" s="75">
        <f t="shared" si="88"/>
        <v>0</v>
      </c>
      <c r="S71" s="75">
        <f t="shared" si="88"/>
        <v>0</v>
      </c>
      <c r="T71" s="75">
        <f t="shared" si="88"/>
        <v>0</v>
      </c>
      <c r="U71" s="76">
        <f t="shared" si="83"/>
        <v>0</v>
      </c>
      <c r="V71" s="2"/>
    </row>
    <row r="72" ht="15.0" customHeight="1">
      <c r="A72" s="74" t="s">
        <v>106</v>
      </c>
      <c r="B72" s="90"/>
      <c r="C72" s="90"/>
      <c r="D72" s="90"/>
      <c r="E72" s="90"/>
      <c r="F72" s="76">
        <f t="shared" si="79"/>
        <v>0</v>
      </c>
      <c r="G72" s="90"/>
      <c r="H72" s="90"/>
      <c r="I72" s="90"/>
      <c r="J72" s="90"/>
      <c r="K72" s="76">
        <f t="shared" si="80"/>
        <v>0</v>
      </c>
      <c r="L72" s="90"/>
      <c r="M72" s="90"/>
      <c r="N72" s="90"/>
      <c r="O72" s="90"/>
      <c r="P72" s="91">
        <f t="shared" si="81"/>
        <v>0</v>
      </c>
      <c r="Q72" s="75">
        <f t="shared" ref="Q72:T72" si="89">B72+G72+L72</f>
        <v>0</v>
      </c>
      <c r="R72" s="75">
        <f t="shared" si="89"/>
        <v>0</v>
      </c>
      <c r="S72" s="75">
        <f t="shared" si="89"/>
        <v>0</v>
      </c>
      <c r="T72" s="75">
        <f t="shared" si="89"/>
        <v>0</v>
      </c>
      <c r="U72" s="76">
        <f t="shared" si="83"/>
        <v>0</v>
      </c>
      <c r="V72" s="2"/>
    </row>
    <row r="73" ht="15.0" customHeight="1">
      <c r="A73" s="74" t="s">
        <v>107</v>
      </c>
      <c r="B73" s="77"/>
      <c r="C73" s="77"/>
      <c r="D73" s="77"/>
      <c r="E73" s="77"/>
      <c r="F73" s="76">
        <f t="shared" si="79"/>
        <v>0</v>
      </c>
      <c r="G73" s="77"/>
      <c r="H73" s="77"/>
      <c r="I73" s="77"/>
      <c r="J73" s="77"/>
      <c r="K73" s="76">
        <f t="shared" si="80"/>
        <v>0</v>
      </c>
      <c r="L73" s="77"/>
      <c r="M73" s="77"/>
      <c r="N73" s="77"/>
      <c r="O73" s="77"/>
      <c r="P73" s="78">
        <f t="shared" si="81"/>
        <v>0</v>
      </c>
      <c r="Q73" s="75">
        <f t="shared" ref="Q73:T73" si="90">B73+G73+L73</f>
        <v>0</v>
      </c>
      <c r="R73" s="75">
        <f t="shared" si="90"/>
        <v>0</v>
      </c>
      <c r="S73" s="75">
        <f t="shared" si="90"/>
        <v>0</v>
      </c>
      <c r="T73" s="75">
        <f t="shared" si="90"/>
        <v>0</v>
      </c>
      <c r="U73" s="76">
        <f t="shared" si="83"/>
        <v>0</v>
      </c>
      <c r="V73" s="2"/>
    </row>
    <row r="74" ht="15.0" customHeight="1">
      <c r="A74" s="74" t="s">
        <v>108</v>
      </c>
      <c r="B74" s="77"/>
      <c r="C74" s="77"/>
      <c r="D74" s="77"/>
      <c r="E74" s="77"/>
      <c r="F74" s="76">
        <f t="shared" si="79"/>
        <v>0</v>
      </c>
      <c r="G74" s="77"/>
      <c r="H74" s="77"/>
      <c r="I74" s="77"/>
      <c r="J74" s="77"/>
      <c r="K74" s="76">
        <f t="shared" si="80"/>
        <v>0</v>
      </c>
      <c r="L74" s="77"/>
      <c r="M74" s="77"/>
      <c r="N74" s="77"/>
      <c r="O74" s="77"/>
      <c r="P74" s="78">
        <f t="shared" si="81"/>
        <v>0</v>
      </c>
      <c r="Q74" s="75">
        <f t="shared" ref="Q74:T74" si="91">B74+G74+L74</f>
        <v>0</v>
      </c>
      <c r="R74" s="75">
        <f t="shared" si="91"/>
        <v>0</v>
      </c>
      <c r="S74" s="75">
        <f t="shared" si="91"/>
        <v>0</v>
      </c>
      <c r="T74" s="75">
        <f t="shared" si="91"/>
        <v>0</v>
      </c>
      <c r="U74" s="76">
        <f t="shared" si="83"/>
        <v>0</v>
      </c>
      <c r="V74" s="2"/>
    </row>
    <row r="75" ht="15.0" customHeight="1">
      <c r="A75" s="74" t="s">
        <v>109</v>
      </c>
      <c r="B75" s="77"/>
      <c r="C75" s="77"/>
      <c r="D75" s="77"/>
      <c r="E75" s="77"/>
      <c r="F75" s="76">
        <f t="shared" si="79"/>
        <v>0</v>
      </c>
      <c r="G75" s="77"/>
      <c r="H75" s="77"/>
      <c r="I75" s="77"/>
      <c r="J75" s="77"/>
      <c r="K75" s="76">
        <f t="shared" si="80"/>
        <v>0</v>
      </c>
      <c r="L75" s="77"/>
      <c r="M75" s="77"/>
      <c r="N75" s="77"/>
      <c r="O75" s="77"/>
      <c r="P75" s="78">
        <f t="shared" si="81"/>
        <v>0</v>
      </c>
      <c r="Q75" s="75">
        <f t="shared" ref="Q75:T75" si="92">B75+G75+L75</f>
        <v>0</v>
      </c>
      <c r="R75" s="75">
        <f t="shared" si="92"/>
        <v>0</v>
      </c>
      <c r="S75" s="75">
        <f t="shared" si="92"/>
        <v>0</v>
      </c>
      <c r="T75" s="75">
        <f t="shared" si="92"/>
        <v>0</v>
      </c>
      <c r="U75" s="76">
        <f t="shared" si="83"/>
        <v>0</v>
      </c>
      <c r="V75" s="2"/>
    </row>
    <row r="76" ht="15.0" customHeight="1">
      <c r="A76" s="74" t="s">
        <v>65</v>
      </c>
      <c r="B76" s="77"/>
      <c r="C76" s="77"/>
      <c r="D76" s="77"/>
      <c r="E76" s="77"/>
      <c r="F76" s="76">
        <f t="shared" si="79"/>
        <v>0</v>
      </c>
      <c r="G76" s="77"/>
      <c r="H76" s="77"/>
      <c r="I76" s="77"/>
      <c r="J76" s="77"/>
      <c r="K76" s="76">
        <f t="shared" si="80"/>
        <v>0</v>
      </c>
      <c r="L76" s="77"/>
      <c r="M76" s="77"/>
      <c r="N76" s="77"/>
      <c r="O76" s="77"/>
      <c r="P76" s="78">
        <f t="shared" si="81"/>
        <v>0</v>
      </c>
      <c r="Q76" s="75">
        <f t="shared" ref="Q76:T76" si="93">B76+G76+L76</f>
        <v>0</v>
      </c>
      <c r="R76" s="75">
        <f t="shared" si="93"/>
        <v>0</v>
      </c>
      <c r="S76" s="75">
        <f t="shared" si="93"/>
        <v>0</v>
      </c>
      <c r="T76" s="75">
        <f t="shared" si="93"/>
        <v>0</v>
      </c>
      <c r="U76" s="76">
        <f t="shared" si="83"/>
        <v>0</v>
      </c>
      <c r="V76" s="2"/>
    </row>
    <row r="77" ht="15.0" customHeight="1">
      <c r="A77" s="74" t="s">
        <v>110</v>
      </c>
      <c r="B77" s="77"/>
      <c r="C77" s="77"/>
      <c r="D77" s="77"/>
      <c r="E77" s="77"/>
      <c r="F77" s="76">
        <f t="shared" si="79"/>
        <v>0</v>
      </c>
      <c r="G77" s="77"/>
      <c r="H77" s="77"/>
      <c r="I77" s="77"/>
      <c r="J77" s="77"/>
      <c r="K77" s="76">
        <f t="shared" si="80"/>
        <v>0</v>
      </c>
      <c r="L77" s="77"/>
      <c r="M77" s="77"/>
      <c r="N77" s="77"/>
      <c r="O77" s="77"/>
      <c r="P77" s="78">
        <f t="shared" si="81"/>
        <v>0</v>
      </c>
      <c r="Q77" s="75">
        <f t="shared" ref="Q77:T77" si="94">B77+G77+L77</f>
        <v>0</v>
      </c>
      <c r="R77" s="75">
        <f t="shared" si="94"/>
        <v>0</v>
      </c>
      <c r="S77" s="75">
        <f t="shared" si="94"/>
        <v>0</v>
      </c>
      <c r="T77" s="75">
        <f t="shared" si="94"/>
        <v>0</v>
      </c>
      <c r="U77" s="76">
        <f t="shared" si="83"/>
        <v>0</v>
      </c>
      <c r="V77" s="2"/>
    </row>
    <row r="78" ht="15.0" customHeight="1">
      <c r="A78" s="74" t="s">
        <v>111</v>
      </c>
      <c r="B78" s="77"/>
      <c r="C78" s="77"/>
      <c r="D78" s="77"/>
      <c r="E78" s="77"/>
      <c r="F78" s="76">
        <f t="shared" si="79"/>
        <v>0</v>
      </c>
      <c r="G78" s="77"/>
      <c r="H78" s="77"/>
      <c r="I78" s="77"/>
      <c r="J78" s="77"/>
      <c r="K78" s="76">
        <f t="shared" si="80"/>
        <v>0</v>
      </c>
      <c r="L78" s="77"/>
      <c r="M78" s="77"/>
      <c r="N78" s="77"/>
      <c r="O78" s="77"/>
      <c r="P78" s="78">
        <f t="shared" si="81"/>
        <v>0</v>
      </c>
      <c r="Q78" s="75">
        <f t="shared" ref="Q78:T78" si="95">B78+G78+L78</f>
        <v>0</v>
      </c>
      <c r="R78" s="75">
        <f t="shared" si="95"/>
        <v>0</v>
      </c>
      <c r="S78" s="75">
        <f t="shared" si="95"/>
        <v>0</v>
      </c>
      <c r="T78" s="75">
        <f t="shared" si="95"/>
        <v>0</v>
      </c>
      <c r="U78" s="76">
        <f t="shared" si="83"/>
        <v>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9"/>
        <v>0</v>
      </c>
      <c r="G79" s="77"/>
      <c r="H79" s="77"/>
      <c r="I79" s="77"/>
      <c r="J79" s="77"/>
      <c r="K79" s="76">
        <f t="shared" si="80"/>
        <v>0</v>
      </c>
      <c r="L79" s="77"/>
      <c r="M79" s="77"/>
      <c r="N79" s="77"/>
      <c r="O79" s="77"/>
      <c r="P79" s="78">
        <f t="shared" si="81"/>
        <v>0</v>
      </c>
      <c r="Q79" s="75">
        <f t="shared" ref="Q79:T79" si="96">B79+G79+L79</f>
        <v>0</v>
      </c>
      <c r="R79" s="75">
        <f t="shared" si="96"/>
        <v>0</v>
      </c>
      <c r="S79" s="75">
        <f t="shared" si="96"/>
        <v>0</v>
      </c>
      <c r="T79" s="75">
        <f t="shared" si="96"/>
        <v>0</v>
      </c>
      <c r="U79" s="76">
        <f t="shared" si="83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907</v>
      </c>
      <c r="C9" s="70">
        <f t="shared" si="1"/>
        <v>56</v>
      </c>
      <c r="D9" s="70">
        <f t="shared" si="1"/>
        <v>220</v>
      </c>
      <c r="E9" s="70">
        <f t="shared" si="1"/>
        <v>998</v>
      </c>
      <c r="F9" s="71">
        <f t="shared" si="1"/>
        <v>2181</v>
      </c>
      <c r="G9" s="70">
        <f t="shared" si="1"/>
        <v>0</v>
      </c>
      <c r="H9" s="70">
        <f t="shared" si="1"/>
        <v>0</v>
      </c>
      <c r="I9" s="70">
        <f t="shared" si="1"/>
        <v>551</v>
      </c>
      <c r="J9" s="70">
        <f t="shared" si="1"/>
        <v>96</v>
      </c>
      <c r="K9" s="71">
        <f t="shared" si="1"/>
        <v>647</v>
      </c>
      <c r="L9" s="70">
        <f t="shared" si="1"/>
        <v>0</v>
      </c>
      <c r="M9" s="70">
        <f t="shared" si="1"/>
        <v>32</v>
      </c>
      <c r="N9" s="70">
        <f t="shared" si="1"/>
        <v>0</v>
      </c>
      <c r="O9" s="70">
        <f t="shared" si="1"/>
        <v>0</v>
      </c>
      <c r="P9" s="71">
        <f t="shared" si="1"/>
        <v>32</v>
      </c>
      <c r="Q9" s="70">
        <f t="shared" si="1"/>
        <v>907</v>
      </c>
      <c r="R9" s="70">
        <f t="shared" si="1"/>
        <v>88</v>
      </c>
      <c r="S9" s="70">
        <f t="shared" si="1"/>
        <v>771</v>
      </c>
      <c r="T9" s="70">
        <f t="shared" si="1"/>
        <v>1094</v>
      </c>
      <c r="U9" s="71">
        <f t="shared" si="1"/>
        <v>2860</v>
      </c>
      <c r="V9" s="2"/>
    </row>
    <row r="10" ht="15.75" customHeight="1">
      <c r="A10" s="72" t="s">
        <v>49</v>
      </c>
      <c r="B10" s="73">
        <f t="shared" ref="B10:U10" si="2">SUM(B11:B16)</f>
        <v>0</v>
      </c>
      <c r="C10" s="73">
        <f t="shared" si="2"/>
        <v>1</v>
      </c>
      <c r="D10" s="73">
        <f t="shared" si="2"/>
        <v>22</v>
      </c>
      <c r="E10" s="73">
        <f t="shared" si="2"/>
        <v>193</v>
      </c>
      <c r="F10" s="73">
        <f t="shared" si="2"/>
        <v>216</v>
      </c>
      <c r="G10" s="73">
        <f t="shared" si="2"/>
        <v>0</v>
      </c>
      <c r="H10" s="73">
        <f t="shared" si="2"/>
        <v>0</v>
      </c>
      <c r="I10" s="73">
        <f t="shared" si="2"/>
        <v>16</v>
      </c>
      <c r="J10" s="73">
        <f t="shared" si="2"/>
        <v>21</v>
      </c>
      <c r="K10" s="73">
        <f t="shared" si="2"/>
        <v>37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0</v>
      </c>
      <c r="R10" s="73">
        <f t="shared" si="2"/>
        <v>1</v>
      </c>
      <c r="S10" s="73">
        <f t="shared" si="2"/>
        <v>38</v>
      </c>
      <c r="T10" s="73">
        <f t="shared" si="2"/>
        <v>214</v>
      </c>
      <c r="U10" s="73">
        <f t="shared" si="2"/>
        <v>253</v>
      </c>
      <c r="V10" s="2" t="s">
        <v>114</v>
      </c>
    </row>
    <row r="11" ht="15.0" customHeight="1">
      <c r="A11" s="74" t="s">
        <v>50</v>
      </c>
      <c r="B11" s="75"/>
      <c r="C11" s="75"/>
      <c r="D11" s="75">
        <v>22.0</v>
      </c>
      <c r="E11" s="75">
        <v>125.0</v>
      </c>
      <c r="F11" s="76">
        <f t="shared" ref="F11:F16" si="4">SUM(B11:E11)</f>
        <v>147</v>
      </c>
      <c r="G11" s="75"/>
      <c r="H11" s="75"/>
      <c r="I11" s="75"/>
      <c r="J11" s="75">
        <v>8.0</v>
      </c>
      <c r="K11" s="76">
        <f t="shared" ref="K11:K16" si="5">SUM(G11:J11)</f>
        <v>8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0</v>
      </c>
      <c r="S11" s="75">
        <f t="shared" si="3"/>
        <v>22</v>
      </c>
      <c r="T11" s="75">
        <f t="shared" si="3"/>
        <v>133</v>
      </c>
      <c r="U11" s="76">
        <f t="shared" ref="U11:U16" si="8">SUM(Q11:T11)</f>
        <v>155</v>
      </c>
      <c r="V11" s="2"/>
    </row>
    <row r="12" ht="15.0" customHeight="1">
      <c r="A12" s="74" t="s">
        <v>51</v>
      </c>
      <c r="B12" s="77"/>
      <c r="C12" s="77"/>
      <c r="D12" s="77"/>
      <c r="E12" s="77">
        <v>2.0</v>
      </c>
      <c r="F12" s="78">
        <f t="shared" si="4"/>
        <v>2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0</v>
      </c>
      <c r="T12" s="77">
        <f t="shared" si="7"/>
        <v>2</v>
      </c>
      <c r="U12" s="78">
        <f t="shared" si="8"/>
        <v>2</v>
      </c>
      <c r="V12" s="2"/>
    </row>
    <row r="13" ht="15.0" customHeight="1">
      <c r="A13" s="74" t="s">
        <v>52</v>
      </c>
      <c r="B13" s="77"/>
      <c r="C13" s="77"/>
      <c r="D13" s="77"/>
      <c r="E13" s="77">
        <v>15.0</v>
      </c>
      <c r="F13" s="78">
        <f t="shared" si="4"/>
        <v>15</v>
      </c>
      <c r="G13" s="77"/>
      <c r="H13" s="77"/>
      <c r="I13" s="77">
        <v>16.0</v>
      </c>
      <c r="J13" s="77">
        <v>2.0</v>
      </c>
      <c r="K13" s="78">
        <f t="shared" si="5"/>
        <v>18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16</v>
      </c>
      <c r="T13" s="77">
        <f t="shared" si="9"/>
        <v>17</v>
      </c>
      <c r="U13" s="78">
        <f t="shared" si="8"/>
        <v>33</v>
      </c>
      <c r="V13" s="2"/>
    </row>
    <row r="14" ht="15.0" customHeight="1">
      <c r="A14" s="74" t="s">
        <v>53</v>
      </c>
      <c r="B14" s="77"/>
      <c r="C14" s="77"/>
      <c r="D14" s="77"/>
      <c r="E14" s="77"/>
      <c r="F14" s="78">
        <f t="shared" si="4"/>
        <v>0</v>
      </c>
      <c r="G14" s="77"/>
      <c r="H14" s="77"/>
      <c r="I14" s="77"/>
      <c r="J14" s="77"/>
      <c r="K14" s="78">
        <f t="shared" si="5"/>
        <v>0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0</v>
      </c>
      <c r="V14" s="2"/>
    </row>
    <row r="15" ht="15.0" customHeight="1">
      <c r="A15" s="74" t="s">
        <v>54</v>
      </c>
      <c r="B15" s="77"/>
      <c r="C15" s="77">
        <v>1.0</v>
      </c>
      <c r="D15" s="77"/>
      <c r="E15" s="77">
        <v>42.0</v>
      </c>
      <c r="F15" s="78">
        <f t="shared" si="4"/>
        <v>43</v>
      </c>
      <c r="G15" s="77"/>
      <c r="H15" s="77"/>
      <c r="I15" s="77"/>
      <c r="J15" s="77"/>
      <c r="K15" s="78">
        <f t="shared" si="5"/>
        <v>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1</v>
      </c>
      <c r="S15" s="77">
        <f t="shared" si="11"/>
        <v>0</v>
      </c>
      <c r="T15" s="77">
        <f t="shared" si="11"/>
        <v>42</v>
      </c>
      <c r="U15" s="78">
        <f t="shared" si="8"/>
        <v>43</v>
      </c>
      <c r="V15" s="2"/>
    </row>
    <row r="16" ht="15.75" customHeight="1">
      <c r="A16" s="74" t="s">
        <v>55</v>
      </c>
      <c r="B16" s="77"/>
      <c r="C16" s="77"/>
      <c r="D16" s="77"/>
      <c r="E16" s="77">
        <v>9.0</v>
      </c>
      <c r="F16" s="78">
        <f t="shared" si="4"/>
        <v>9</v>
      </c>
      <c r="G16" s="77"/>
      <c r="H16" s="77"/>
      <c r="I16" s="77"/>
      <c r="J16" s="77">
        <v>11.0</v>
      </c>
      <c r="K16" s="78">
        <f t="shared" si="5"/>
        <v>11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20</v>
      </c>
      <c r="U16" s="78">
        <f t="shared" si="8"/>
        <v>20</v>
      </c>
      <c r="V16" s="2"/>
    </row>
    <row r="17" ht="15.75" customHeight="1">
      <c r="A17" s="72" t="s">
        <v>56</v>
      </c>
      <c r="B17" s="73">
        <f t="shared" ref="B17:Q17" si="13">SUM(B18:B28)</f>
        <v>547</v>
      </c>
      <c r="C17" s="73">
        <f t="shared" si="13"/>
        <v>0</v>
      </c>
      <c r="D17" s="73">
        <f t="shared" si="13"/>
        <v>0</v>
      </c>
      <c r="E17" s="73">
        <f t="shared" si="13"/>
        <v>650</v>
      </c>
      <c r="F17" s="73">
        <f t="shared" si="13"/>
        <v>1197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547</v>
      </c>
      <c r="R17" s="73">
        <f>R18+R19+R20+R21+R22+R23+R24+R25+R26+R27+R28</f>
        <v>0</v>
      </c>
      <c r="S17" s="73">
        <f t="shared" ref="S17:U17" si="14">SUM(S18:S28)</f>
        <v>0</v>
      </c>
      <c r="T17" s="73">
        <f t="shared" si="14"/>
        <v>650</v>
      </c>
      <c r="U17" s="73">
        <f t="shared" si="14"/>
        <v>1197</v>
      </c>
      <c r="V17" s="2" t="s">
        <v>114</v>
      </c>
    </row>
    <row r="18" ht="15.0" customHeight="1">
      <c r="A18" s="74" t="s">
        <v>57</v>
      </c>
      <c r="B18" s="75"/>
      <c r="C18" s="75"/>
      <c r="D18" s="75"/>
      <c r="E18" s="75">
        <v>25.0</v>
      </c>
      <c r="F18" s="76">
        <f t="shared" ref="F18:F28" si="16">SUM(B18:E18)</f>
        <v>25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0</v>
      </c>
      <c r="S18" s="75">
        <f t="shared" si="15"/>
        <v>0</v>
      </c>
      <c r="T18" s="75">
        <f t="shared" si="15"/>
        <v>25</v>
      </c>
      <c r="U18" s="76">
        <f t="shared" ref="U18:U28" si="20">SUM(Q18:T18)</f>
        <v>25</v>
      </c>
      <c r="V18" s="2"/>
    </row>
    <row r="19" ht="15.0" customHeight="1">
      <c r="A19" s="74" t="s">
        <v>58</v>
      </c>
      <c r="B19" s="77"/>
      <c r="C19" s="77"/>
      <c r="D19" s="75"/>
      <c r="E19" s="75"/>
      <c r="F19" s="76">
        <f t="shared" si="16"/>
        <v>0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0</v>
      </c>
      <c r="S19" s="75">
        <f t="shared" si="19"/>
        <v>0</v>
      </c>
      <c r="T19" s="75">
        <f t="shared" si="19"/>
        <v>0</v>
      </c>
      <c r="U19" s="78">
        <f t="shared" si="20"/>
        <v>0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/>
      <c r="E21" s="77"/>
      <c r="F21" s="76">
        <f t="shared" si="16"/>
        <v>0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0</v>
      </c>
      <c r="T21" s="75">
        <f t="shared" si="22"/>
        <v>0</v>
      </c>
      <c r="U21" s="78">
        <f t="shared" si="20"/>
        <v>0</v>
      </c>
      <c r="V21" s="2"/>
    </row>
    <row r="22" ht="15.0" customHeight="1">
      <c r="A22" s="74" t="s">
        <v>61</v>
      </c>
      <c r="B22" s="77"/>
      <c r="C22" s="77"/>
      <c r="D22" s="77"/>
      <c r="E22" s="77">
        <v>57.0</v>
      </c>
      <c r="F22" s="76">
        <f t="shared" si="16"/>
        <v>57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0</v>
      </c>
      <c r="T22" s="75">
        <f t="shared" si="23"/>
        <v>57</v>
      </c>
      <c r="U22" s="78">
        <f t="shared" si="20"/>
        <v>57</v>
      </c>
      <c r="V22" s="2"/>
    </row>
    <row r="23" ht="15.0" customHeight="1">
      <c r="A23" s="74" t="s">
        <v>62</v>
      </c>
      <c r="B23" s="77"/>
      <c r="C23" s="77"/>
      <c r="D23" s="77"/>
      <c r="E23" s="77"/>
      <c r="F23" s="76">
        <f t="shared" si="16"/>
        <v>0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0</v>
      </c>
      <c r="S23" s="75">
        <f t="shared" si="24"/>
        <v>0</v>
      </c>
      <c r="T23" s="75">
        <f t="shared" si="24"/>
        <v>0</v>
      </c>
      <c r="U23" s="78">
        <f t="shared" si="20"/>
        <v>0</v>
      </c>
      <c r="V23" s="2"/>
    </row>
    <row r="24" ht="15.0" customHeight="1">
      <c r="A24" s="74" t="s">
        <v>63</v>
      </c>
      <c r="B24" s="79"/>
      <c r="C24" s="77"/>
      <c r="D24" s="77"/>
      <c r="E24" s="77"/>
      <c r="F24" s="76">
        <f t="shared" si="16"/>
        <v>0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0</v>
      </c>
      <c r="V24" s="2"/>
    </row>
    <row r="25" ht="15.0" customHeight="1">
      <c r="A25" s="74" t="s">
        <v>17</v>
      </c>
      <c r="B25" s="75"/>
      <c r="C25" s="75"/>
      <c r="D25" s="77"/>
      <c r="E25" s="77"/>
      <c r="F25" s="76">
        <f t="shared" si="16"/>
        <v>0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0</v>
      </c>
      <c r="V25" s="2"/>
    </row>
    <row r="26" ht="15.0" customHeight="1">
      <c r="A26" s="74" t="s">
        <v>64</v>
      </c>
      <c r="B26" s="77"/>
      <c r="C26" s="80"/>
      <c r="D26" s="80"/>
      <c r="E26" s="75">
        <v>40.0</v>
      </c>
      <c r="F26" s="76">
        <f t="shared" si="16"/>
        <v>40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40</v>
      </c>
      <c r="U26" s="78">
        <f t="shared" si="20"/>
        <v>40</v>
      </c>
      <c r="V26" s="2"/>
    </row>
    <row r="27" ht="15.0" customHeight="1">
      <c r="A27" s="74" t="s">
        <v>65</v>
      </c>
      <c r="B27" s="77"/>
      <c r="C27" s="77"/>
      <c r="D27" s="77"/>
      <c r="E27" s="77">
        <v>154.0</v>
      </c>
      <c r="F27" s="76">
        <f t="shared" si="16"/>
        <v>154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0</v>
      </c>
      <c r="S27" s="75">
        <f t="shared" si="28"/>
        <v>0</v>
      </c>
      <c r="T27" s="75">
        <f t="shared" si="28"/>
        <v>154</v>
      </c>
      <c r="U27" s="78">
        <f t="shared" si="20"/>
        <v>154</v>
      </c>
      <c r="V27" s="2"/>
    </row>
    <row r="28" ht="15.75" customHeight="1">
      <c r="A28" s="74" t="s">
        <v>54</v>
      </c>
      <c r="B28" s="77">
        <v>547.0</v>
      </c>
      <c r="C28" s="77"/>
      <c r="D28" s="77"/>
      <c r="E28" s="77">
        <v>374.0</v>
      </c>
      <c r="F28" s="76">
        <f t="shared" si="16"/>
        <v>921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547</v>
      </c>
      <c r="R28" s="75">
        <f t="shared" si="29"/>
        <v>0</v>
      </c>
      <c r="S28" s="75">
        <f t="shared" si="29"/>
        <v>0</v>
      </c>
      <c r="T28" s="75">
        <f t="shared" si="29"/>
        <v>374</v>
      </c>
      <c r="U28" s="78">
        <f t="shared" si="20"/>
        <v>921</v>
      </c>
      <c r="V28" s="2"/>
    </row>
    <row r="29" ht="15.75" customHeight="1">
      <c r="A29" s="72" t="s">
        <v>66</v>
      </c>
      <c r="B29" s="73">
        <f t="shared" ref="B29:U29" si="30">SUM(B30:B44)</f>
        <v>338</v>
      </c>
      <c r="C29" s="73">
        <f t="shared" si="30"/>
        <v>0</v>
      </c>
      <c r="D29" s="73">
        <f t="shared" si="30"/>
        <v>0</v>
      </c>
      <c r="E29" s="73">
        <f t="shared" si="30"/>
        <v>28</v>
      </c>
      <c r="F29" s="81">
        <f t="shared" si="30"/>
        <v>366</v>
      </c>
      <c r="G29" s="73">
        <f t="shared" si="30"/>
        <v>0</v>
      </c>
      <c r="H29" s="73">
        <f t="shared" si="30"/>
        <v>0</v>
      </c>
      <c r="I29" s="73">
        <f t="shared" si="30"/>
        <v>0</v>
      </c>
      <c r="J29" s="73">
        <f t="shared" si="30"/>
        <v>28</v>
      </c>
      <c r="K29" s="81">
        <f t="shared" si="30"/>
        <v>28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0</v>
      </c>
      <c r="Q29" s="73">
        <f t="shared" si="30"/>
        <v>338</v>
      </c>
      <c r="R29" s="73">
        <f t="shared" si="30"/>
        <v>0</v>
      </c>
      <c r="S29" s="73">
        <f t="shared" si="30"/>
        <v>0</v>
      </c>
      <c r="T29" s="73">
        <f t="shared" si="30"/>
        <v>56</v>
      </c>
      <c r="U29" s="81">
        <f t="shared" si="30"/>
        <v>394</v>
      </c>
      <c r="V29" s="2" t="s">
        <v>114</v>
      </c>
    </row>
    <row r="30" ht="15.0" customHeight="1">
      <c r="A30" s="74" t="s">
        <v>67</v>
      </c>
      <c r="B30" s="75"/>
      <c r="C30" s="75"/>
      <c r="D30" s="75"/>
      <c r="E30" s="75"/>
      <c r="F30" s="76">
        <f t="shared" ref="F30:F44" si="32">SUM(B30:E30)</f>
        <v>0</v>
      </c>
      <c r="G30" s="75"/>
      <c r="H30" s="75"/>
      <c r="I30" s="75"/>
      <c r="J30" s="75"/>
      <c r="K30" s="76">
        <f t="shared" ref="K30:K44" si="33">SUM(G30:J30)</f>
        <v>0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0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0</v>
      </c>
      <c r="V30" s="2"/>
    </row>
    <row r="31" ht="15.0" customHeight="1">
      <c r="A31" s="74" t="s">
        <v>68</v>
      </c>
      <c r="B31" s="77"/>
      <c r="C31" s="77"/>
      <c r="D31" s="77"/>
      <c r="E31" s="77"/>
      <c r="F31" s="76">
        <f t="shared" si="32"/>
        <v>0</v>
      </c>
      <c r="G31" s="77"/>
      <c r="H31" s="77"/>
      <c r="I31" s="77"/>
      <c r="J31" s="77"/>
      <c r="K31" s="76">
        <f t="shared" si="33"/>
        <v>0</v>
      </c>
      <c r="L31" s="77"/>
      <c r="M31" s="77"/>
      <c r="N31" s="77"/>
      <c r="O31" s="77"/>
      <c r="P31" s="78">
        <f t="shared" si="34"/>
        <v>0</v>
      </c>
      <c r="Q31" s="77">
        <f t="shared" ref="Q31:T31" si="35">SUM(B31,G31,L31)</f>
        <v>0</v>
      </c>
      <c r="R31" s="77">
        <f t="shared" si="35"/>
        <v>0</v>
      </c>
      <c r="S31" s="77">
        <f t="shared" si="35"/>
        <v>0</v>
      </c>
      <c r="T31" s="77">
        <f t="shared" si="35"/>
        <v>0</v>
      </c>
      <c r="U31" s="78">
        <f t="shared" si="36"/>
        <v>0</v>
      </c>
      <c r="V31" s="2"/>
    </row>
    <row r="32" ht="15.0" customHeight="1">
      <c r="A32" s="74" t="s">
        <v>69</v>
      </c>
      <c r="B32" s="77"/>
      <c r="C32" s="77"/>
      <c r="D32" s="77"/>
      <c r="E32" s="77"/>
      <c r="F32" s="76">
        <f t="shared" si="32"/>
        <v>0</v>
      </c>
      <c r="G32" s="77"/>
      <c r="H32" s="77"/>
      <c r="I32" s="77"/>
      <c r="J32" s="77"/>
      <c r="K32" s="76">
        <f t="shared" si="33"/>
        <v>0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0</v>
      </c>
      <c r="S32" s="77">
        <f t="shared" si="37"/>
        <v>0</v>
      </c>
      <c r="T32" s="77">
        <f t="shared" si="37"/>
        <v>0</v>
      </c>
      <c r="U32" s="78">
        <f t="shared" si="36"/>
        <v>0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>
        <v>244.0</v>
      </c>
      <c r="C34" s="77"/>
      <c r="D34" s="77"/>
      <c r="E34" s="77"/>
      <c r="F34" s="76">
        <f t="shared" si="32"/>
        <v>244</v>
      </c>
      <c r="G34" s="77"/>
      <c r="H34" s="77"/>
      <c r="I34" s="77"/>
      <c r="J34" s="77"/>
      <c r="K34" s="76">
        <f t="shared" si="33"/>
        <v>0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244</v>
      </c>
      <c r="R34" s="77">
        <f t="shared" si="39"/>
        <v>0</v>
      </c>
      <c r="S34" s="77">
        <f t="shared" si="39"/>
        <v>0</v>
      </c>
      <c r="T34" s="77">
        <f t="shared" si="39"/>
        <v>0</v>
      </c>
      <c r="U34" s="78">
        <f t="shared" si="36"/>
        <v>244</v>
      </c>
      <c r="V34" s="2"/>
    </row>
    <row r="35" ht="15.0" customHeight="1">
      <c r="A35" s="74" t="s">
        <v>72</v>
      </c>
      <c r="B35" s="77"/>
      <c r="C35" s="77"/>
      <c r="D35" s="77"/>
      <c r="E35" s="77"/>
      <c r="F35" s="76">
        <f t="shared" si="32"/>
        <v>0</v>
      </c>
      <c r="G35" s="77"/>
      <c r="H35" s="77"/>
      <c r="I35" s="77"/>
      <c r="J35" s="77"/>
      <c r="K35" s="76">
        <f t="shared" si="33"/>
        <v>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0</v>
      </c>
      <c r="V35" s="2"/>
    </row>
    <row r="36" ht="15.0" customHeight="1">
      <c r="A36" s="74" t="s">
        <v>73</v>
      </c>
      <c r="B36" s="77"/>
      <c r="C36" s="77"/>
      <c r="D36" s="77"/>
      <c r="E36" s="77"/>
      <c r="F36" s="76">
        <f t="shared" si="32"/>
        <v>0</v>
      </c>
      <c r="G36" s="77"/>
      <c r="H36" s="77"/>
      <c r="I36" s="77"/>
      <c r="J36" s="77"/>
      <c r="K36" s="76">
        <f t="shared" si="33"/>
        <v>0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0</v>
      </c>
      <c r="S36" s="77">
        <f t="shared" si="41"/>
        <v>0</v>
      </c>
      <c r="T36" s="77">
        <f t="shared" si="41"/>
        <v>0</v>
      </c>
      <c r="U36" s="78">
        <f t="shared" si="36"/>
        <v>0</v>
      </c>
      <c r="V36" s="2"/>
    </row>
    <row r="37" ht="15.0" customHeight="1">
      <c r="A37" s="74" t="s">
        <v>74</v>
      </c>
      <c r="B37" s="77">
        <v>26.0</v>
      </c>
      <c r="C37" s="77"/>
      <c r="D37" s="77"/>
      <c r="E37" s="77"/>
      <c r="F37" s="76">
        <f t="shared" si="32"/>
        <v>26</v>
      </c>
      <c r="G37" s="77"/>
      <c r="H37" s="77"/>
      <c r="I37" s="77"/>
      <c r="J37" s="77"/>
      <c r="K37" s="76">
        <f t="shared" si="33"/>
        <v>0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26</v>
      </c>
      <c r="R37" s="77">
        <f t="shared" si="42"/>
        <v>0</v>
      </c>
      <c r="S37" s="77">
        <f t="shared" ref="S37:S41" si="44">SUM(D37,I36,N37)</f>
        <v>0</v>
      </c>
      <c r="T37" s="77">
        <f t="shared" ref="T37:T41" si="45">SUM(E37,J37,O37)</f>
        <v>0</v>
      </c>
      <c r="U37" s="78">
        <f t="shared" si="36"/>
        <v>26</v>
      </c>
      <c r="V37" s="2"/>
    </row>
    <row r="38" ht="15.0" customHeight="1">
      <c r="A38" s="74" t="s">
        <v>75</v>
      </c>
      <c r="B38" s="77"/>
      <c r="C38" s="77"/>
      <c r="D38" s="77"/>
      <c r="E38" s="77"/>
      <c r="F38" s="76">
        <f t="shared" si="32"/>
        <v>0</v>
      </c>
      <c r="G38" s="77"/>
      <c r="H38" s="77"/>
      <c r="I38" s="77"/>
      <c r="J38" s="77"/>
      <c r="K38" s="76">
        <f t="shared" si="33"/>
        <v>0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0</v>
      </c>
      <c r="T38" s="77">
        <f t="shared" si="45"/>
        <v>0</v>
      </c>
      <c r="U38" s="78">
        <f t="shared" si="36"/>
        <v>0</v>
      </c>
      <c r="V38" s="2"/>
    </row>
    <row r="39" ht="15.0" customHeight="1">
      <c r="A39" s="74" t="s">
        <v>76</v>
      </c>
      <c r="B39" s="77"/>
      <c r="C39" s="77"/>
      <c r="D39" s="77"/>
      <c r="E39" s="77"/>
      <c r="F39" s="76">
        <f t="shared" si="32"/>
        <v>0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0</v>
      </c>
      <c r="T39" s="77">
        <f t="shared" si="45"/>
        <v>0</v>
      </c>
      <c r="U39" s="78">
        <f t="shared" si="36"/>
        <v>0</v>
      </c>
      <c r="V39" s="2"/>
    </row>
    <row r="40" ht="15.0" customHeight="1">
      <c r="A40" s="74" t="s">
        <v>77</v>
      </c>
      <c r="B40" s="77"/>
      <c r="C40" s="77"/>
      <c r="D40" s="77"/>
      <c r="E40" s="77"/>
      <c r="F40" s="76">
        <f t="shared" si="32"/>
        <v>0</v>
      </c>
      <c r="G40" s="77"/>
      <c r="H40" s="77"/>
      <c r="I40" s="77"/>
      <c r="J40" s="77"/>
      <c r="K40" s="76">
        <f t="shared" si="33"/>
        <v>0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0</v>
      </c>
      <c r="V40" s="2"/>
    </row>
    <row r="41" ht="15.0" customHeight="1">
      <c r="A41" s="74" t="s">
        <v>78</v>
      </c>
      <c r="B41" s="77"/>
      <c r="C41" s="77"/>
      <c r="D41" s="77"/>
      <c r="E41" s="77">
        <v>9.0</v>
      </c>
      <c r="F41" s="76">
        <f t="shared" si="32"/>
        <v>9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0</v>
      </c>
      <c r="T41" s="77">
        <f t="shared" si="45"/>
        <v>9</v>
      </c>
      <c r="U41" s="78">
        <f t="shared" si="36"/>
        <v>9</v>
      </c>
      <c r="V41" s="2"/>
    </row>
    <row r="42" ht="15.0" customHeight="1">
      <c r="A42" s="74" t="s">
        <v>79</v>
      </c>
      <c r="B42" s="77"/>
      <c r="C42" s="77"/>
      <c r="D42" s="77"/>
      <c r="E42" s="77"/>
      <c r="F42" s="76">
        <f t="shared" si="32"/>
        <v>0</v>
      </c>
      <c r="G42" s="77"/>
      <c r="H42" s="77"/>
      <c r="I42" s="77"/>
      <c r="J42" s="77"/>
      <c r="K42" s="76">
        <f t="shared" si="33"/>
        <v>0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0</v>
      </c>
      <c r="T42" s="77">
        <f t="shared" si="49"/>
        <v>0</v>
      </c>
      <c r="U42" s="78">
        <f t="shared" si="36"/>
        <v>0</v>
      </c>
      <c r="V42" s="2"/>
    </row>
    <row r="43" ht="15.0" customHeight="1">
      <c r="A43" s="74" t="s">
        <v>80</v>
      </c>
      <c r="B43" s="77"/>
      <c r="C43" s="77"/>
      <c r="D43" s="77"/>
      <c r="E43" s="77"/>
      <c r="F43" s="76">
        <f t="shared" si="32"/>
        <v>0</v>
      </c>
      <c r="G43" s="77"/>
      <c r="H43" s="77"/>
      <c r="I43" s="77"/>
      <c r="J43" s="77"/>
      <c r="K43" s="76">
        <f t="shared" si="33"/>
        <v>0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0</v>
      </c>
      <c r="T43" s="77">
        <f t="shared" si="50"/>
        <v>0</v>
      </c>
      <c r="U43" s="78">
        <f t="shared" si="36"/>
        <v>0</v>
      </c>
      <c r="V43" s="2"/>
    </row>
    <row r="44" ht="15.75" customHeight="1">
      <c r="A44" s="74" t="s">
        <v>81</v>
      </c>
      <c r="B44" s="77">
        <v>68.0</v>
      </c>
      <c r="C44" s="77"/>
      <c r="D44" s="77"/>
      <c r="E44" s="77">
        <v>19.0</v>
      </c>
      <c r="F44" s="76">
        <f t="shared" si="32"/>
        <v>87</v>
      </c>
      <c r="G44" s="77"/>
      <c r="H44" s="77"/>
      <c r="I44" s="77"/>
      <c r="J44" s="77">
        <v>28.0</v>
      </c>
      <c r="K44" s="76">
        <f t="shared" si="33"/>
        <v>28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68</v>
      </c>
      <c r="R44" s="77">
        <f t="shared" si="51"/>
        <v>0</v>
      </c>
      <c r="S44" s="77">
        <f t="shared" si="51"/>
        <v>0</v>
      </c>
      <c r="T44" s="77">
        <f t="shared" si="51"/>
        <v>47</v>
      </c>
      <c r="U44" s="78">
        <f t="shared" si="36"/>
        <v>115</v>
      </c>
      <c r="V44" s="2"/>
    </row>
    <row r="45" ht="15.75" customHeight="1">
      <c r="A45" s="72" t="s">
        <v>82</v>
      </c>
      <c r="B45" s="73">
        <f t="shared" ref="B45:U45" si="52">SUM(B46:B63)</f>
        <v>22</v>
      </c>
      <c r="C45" s="73">
        <f t="shared" si="52"/>
        <v>55</v>
      </c>
      <c r="D45" s="73">
        <f t="shared" si="52"/>
        <v>198</v>
      </c>
      <c r="E45" s="73">
        <f t="shared" si="52"/>
        <v>127</v>
      </c>
      <c r="F45" s="81">
        <f t="shared" si="52"/>
        <v>402</v>
      </c>
      <c r="G45" s="73">
        <f t="shared" si="52"/>
        <v>0</v>
      </c>
      <c r="H45" s="73">
        <f t="shared" si="52"/>
        <v>0</v>
      </c>
      <c r="I45" s="73">
        <f t="shared" si="52"/>
        <v>535</v>
      </c>
      <c r="J45" s="73">
        <f t="shared" si="52"/>
        <v>35</v>
      </c>
      <c r="K45" s="81">
        <f t="shared" si="52"/>
        <v>570</v>
      </c>
      <c r="L45" s="73">
        <f t="shared" si="52"/>
        <v>0</v>
      </c>
      <c r="M45" s="73">
        <f t="shared" si="52"/>
        <v>32</v>
      </c>
      <c r="N45" s="73">
        <f t="shared" si="52"/>
        <v>0</v>
      </c>
      <c r="O45" s="73">
        <f t="shared" si="52"/>
        <v>0</v>
      </c>
      <c r="P45" s="81">
        <f t="shared" si="52"/>
        <v>32</v>
      </c>
      <c r="Q45" s="73">
        <f t="shared" si="52"/>
        <v>22</v>
      </c>
      <c r="R45" s="73">
        <f t="shared" si="52"/>
        <v>87</v>
      </c>
      <c r="S45" s="73">
        <f t="shared" si="52"/>
        <v>733</v>
      </c>
      <c r="T45" s="73">
        <f t="shared" si="52"/>
        <v>162</v>
      </c>
      <c r="U45" s="73">
        <f t="shared" si="52"/>
        <v>1004</v>
      </c>
      <c r="V45" s="2" t="s">
        <v>114</v>
      </c>
    </row>
    <row r="46" ht="15.0" customHeight="1">
      <c r="A46" s="74" t="s">
        <v>83</v>
      </c>
      <c r="B46" s="75"/>
      <c r="C46" s="75"/>
      <c r="D46" s="75"/>
      <c r="E46" s="75"/>
      <c r="F46" s="76">
        <f t="shared" ref="F46:F63" si="54">SUM(B46:E46)</f>
        <v>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/>
      <c r="N46" s="75"/>
      <c r="O46" s="75"/>
      <c r="P46" s="76">
        <f t="shared" ref="P46:P63" si="56">SUM(L46:O46)</f>
        <v>0</v>
      </c>
      <c r="Q46" s="75">
        <f t="shared" ref="Q46:T46" si="53">SUM(B46,G46,L46)</f>
        <v>0</v>
      </c>
      <c r="R46" s="75">
        <f t="shared" si="53"/>
        <v>0</v>
      </c>
      <c r="S46" s="75">
        <f t="shared" si="53"/>
        <v>0</v>
      </c>
      <c r="T46" s="75">
        <f t="shared" si="53"/>
        <v>0</v>
      </c>
      <c r="U46" s="76">
        <f t="shared" ref="U46:U63" si="58">SUM(Q46:T46)</f>
        <v>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/>
      <c r="C49" s="77">
        <v>2.0</v>
      </c>
      <c r="D49" s="77">
        <v>3.0</v>
      </c>
      <c r="E49" s="77"/>
      <c r="F49" s="76">
        <f t="shared" si="54"/>
        <v>5</v>
      </c>
      <c r="G49" s="77"/>
      <c r="H49" s="77"/>
      <c r="I49" s="77"/>
      <c r="J49" s="77"/>
      <c r="K49" s="76">
        <f t="shared" si="55"/>
        <v>0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0</v>
      </c>
      <c r="R49" s="75">
        <f t="shared" si="60"/>
        <v>2</v>
      </c>
      <c r="S49" s="75">
        <f t="shared" si="60"/>
        <v>3</v>
      </c>
      <c r="T49" s="75">
        <f t="shared" si="60"/>
        <v>0</v>
      </c>
      <c r="U49" s="78">
        <f t="shared" si="58"/>
        <v>5</v>
      </c>
      <c r="V49" s="2"/>
    </row>
    <row r="50" ht="15.0" customHeight="1">
      <c r="A50" s="74" t="s">
        <v>87</v>
      </c>
      <c r="B50" s="77">
        <v>22.0</v>
      </c>
      <c r="C50" s="77">
        <v>51.0</v>
      </c>
      <c r="D50" s="77"/>
      <c r="E50" s="77"/>
      <c r="F50" s="76">
        <f t="shared" si="54"/>
        <v>73</v>
      </c>
      <c r="G50" s="77"/>
      <c r="H50" s="77"/>
      <c r="I50" s="77"/>
      <c r="J50" s="77"/>
      <c r="K50" s="76">
        <f t="shared" si="55"/>
        <v>0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22</v>
      </c>
      <c r="R50" s="75">
        <f t="shared" si="61"/>
        <v>51</v>
      </c>
      <c r="S50" s="75">
        <f t="shared" si="61"/>
        <v>0</v>
      </c>
      <c r="T50" s="75">
        <f t="shared" si="61"/>
        <v>0</v>
      </c>
      <c r="U50" s="78">
        <f t="shared" si="58"/>
        <v>73</v>
      </c>
      <c r="V50" s="2"/>
    </row>
    <row r="51" ht="15.0" customHeight="1">
      <c r="A51" s="74" t="s">
        <v>88</v>
      </c>
      <c r="B51" s="77"/>
      <c r="C51" s="77"/>
      <c r="D51" s="77">
        <v>20.0</v>
      </c>
      <c r="E51" s="77">
        <v>84.0</v>
      </c>
      <c r="F51" s="76">
        <f t="shared" si="54"/>
        <v>104</v>
      </c>
      <c r="G51" s="77"/>
      <c r="H51" s="77"/>
      <c r="I51" s="77">
        <v>3.0</v>
      </c>
      <c r="J51" s="77">
        <v>3.0</v>
      </c>
      <c r="K51" s="76">
        <f t="shared" si="55"/>
        <v>6</v>
      </c>
      <c r="L51" s="77"/>
      <c r="M51" s="77"/>
      <c r="N51" s="77"/>
      <c r="O51" s="77"/>
      <c r="P51" s="76">
        <f t="shared" si="56"/>
        <v>0</v>
      </c>
      <c r="Q51" s="75">
        <f t="shared" ref="Q51:T51" si="62">SUM(B51,G51,L51)</f>
        <v>0</v>
      </c>
      <c r="R51" s="75">
        <f t="shared" si="62"/>
        <v>0</v>
      </c>
      <c r="S51" s="75">
        <f t="shared" si="62"/>
        <v>23</v>
      </c>
      <c r="T51" s="75">
        <f t="shared" si="62"/>
        <v>87</v>
      </c>
      <c r="U51" s="78">
        <f t="shared" si="58"/>
        <v>110</v>
      </c>
      <c r="V51" s="2"/>
    </row>
    <row r="52" ht="15.0" customHeight="1">
      <c r="A52" s="83" t="s">
        <v>89</v>
      </c>
      <c r="B52" s="84"/>
      <c r="C52" s="84"/>
      <c r="D52" s="84"/>
      <c r="E52" s="84">
        <v>43.0</v>
      </c>
      <c r="F52" s="85">
        <f t="shared" si="54"/>
        <v>43</v>
      </c>
      <c r="G52" s="84"/>
      <c r="H52" s="84"/>
      <c r="I52" s="84"/>
      <c r="J52" s="84">
        <v>32.0</v>
      </c>
      <c r="K52" s="85">
        <f t="shared" si="55"/>
        <v>32</v>
      </c>
      <c r="L52" s="84"/>
      <c r="M52" s="84"/>
      <c r="N52" s="84"/>
      <c r="O52" s="84"/>
      <c r="P52" s="85">
        <f t="shared" si="56"/>
        <v>0</v>
      </c>
      <c r="Q52" s="86">
        <f t="shared" ref="Q52:T52" si="63">SUM(B52,G52,L52)</f>
        <v>0</v>
      </c>
      <c r="R52" s="86">
        <f t="shared" si="63"/>
        <v>0</v>
      </c>
      <c r="S52" s="86">
        <f t="shared" si="63"/>
        <v>0</v>
      </c>
      <c r="T52" s="86">
        <f t="shared" si="63"/>
        <v>75</v>
      </c>
      <c r="U52" s="87">
        <f t="shared" si="58"/>
        <v>75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/>
      <c r="C53" s="77"/>
      <c r="D53" s="77"/>
      <c r="E53" s="77"/>
      <c r="F53" s="76">
        <f t="shared" si="54"/>
        <v>0</v>
      </c>
      <c r="G53" s="77"/>
      <c r="H53" s="77"/>
      <c r="I53" s="77"/>
      <c r="J53" s="77"/>
      <c r="K53" s="76">
        <f t="shared" si="55"/>
        <v>0</v>
      </c>
      <c r="L53" s="77"/>
      <c r="M53" s="77">
        <v>7.0</v>
      </c>
      <c r="N53" s="77"/>
      <c r="O53" s="77"/>
      <c r="P53" s="76">
        <f t="shared" si="56"/>
        <v>7</v>
      </c>
      <c r="Q53" s="75">
        <f t="shared" ref="Q53:T53" si="64">SUM(B53,G53,L53)</f>
        <v>0</v>
      </c>
      <c r="R53" s="75">
        <f t="shared" si="64"/>
        <v>7</v>
      </c>
      <c r="S53" s="75">
        <f t="shared" si="64"/>
        <v>0</v>
      </c>
      <c r="T53" s="75">
        <f t="shared" si="64"/>
        <v>0</v>
      </c>
      <c r="U53" s="78">
        <f t="shared" si="58"/>
        <v>7</v>
      </c>
      <c r="V53" s="2"/>
    </row>
    <row r="54" ht="15.0" customHeight="1">
      <c r="A54" s="74" t="s">
        <v>91</v>
      </c>
      <c r="B54" s="77"/>
      <c r="C54" s="77"/>
      <c r="D54" s="77"/>
      <c r="E54" s="77"/>
      <c r="F54" s="76">
        <f t="shared" si="54"/>
        <v>0</v>
      </c>
      <c r="G54" s="77"/>
      <c r="H54" s="77"/>
      <c r="I54" s="77"/>
      <c r="J54" s="77"/>
      <c r="K54" s="76">
        <f t="shared" si="55"/>
        <v>0</v>
      </c>
      <c r="L54" s="77"/>
      <c r="M54" s="77"/>
      <c r="N54" s="77"/>
      <c r="O54" s="77"/>
      <c r="P54" s="76">
        <f t="shared" si="56"/>
        <v>0</v>
      </c>
      <c r="Q54" s="75">
        <f t="shared" ref="Q54:T54" si="65">SUM(B54,G54,L54)</f>
        <v>0</v>
      </c>
      <c r="R54" s="75">
        <f t="shared" si="65"/>
        <v>0</v>
      </c>
      <c r="S54" s="75">
        <f t="shared" si="65"/>
        <v>0</v>
      </c>
      <c r="T54" s="75">
        <f t="shared" si="65"/>
        <v>0</v>
      </c>
      <c r="U54" s="78">
        <f t="shared" si="58"/>
        <v>0</v>
      </c>
      <c r="V54" s="2"/>
    </row>
    <row r="55" ht="15.0" customHeight="1">
      <c r="A55" s="74" t="s">
        <v>92</v>
      </c>
      <c r="B55" s="77"/>
      <c r="C55" s="77"/>
      <c r="D55" s="77"/>
      <c r="E55" s="77"/>
      <c r="F55" s="76">
        <f t="shared" si="54"/>
        <v>0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6">SUM(B55,G55,L55)</f>
        <v>0</v>
      </c>
      <c r="R55" s="75">
        <f t="shared" si="66"/>
        <v>0</v>
      </c>
      <c r="S55" s="75">
        <f t="shared" si="66"/>
        <v>0</v>
      </c>
      <c r="T55" s="75">
        <f t="shared" si="66"/>
        <v>0</v>
      </c>
      <c r="U55" s="78">
        <f t="shared" si="58"/>
        <v>0</v>
      </c>
      <c r="V55" s="2"/>
    </row>
    <row r="56" ht="15.0" customHeight="1">
      <c r="A56" s="74" t="s">
        <v>93</v>
      </c>
      <c r="B56" s="77"/>
      <c r="C56" s="77"/>
      <c r="D56" s="77"/>
      <c r="E56" s="77"/>
      <c r="F56" s="76">
        <f t="shared" si="54"/>
        <v>0</v>
      </c>
      <c r="G56" s="77"/>
      <c r="H56" s="77"/>
      <c r="I56" s="77"/>
      <c r="J56" s="77"/>
      <c r="K56" s="76">
        <f t="shared" si="55"/>
        <v>0</v>
      </c>
      <c r="L56" s="90"/>
      <c r="M56" s="90"/>
      <c r="N56" s="90"/>
      <c r="O56" s="90"/>
      <c r="P56" s="76">
        <f t="shared" si="56"/>
        <v>0</v>
      </c>
      <c r="Q56" s="75">
        <f t="shared" ref="Q56:T56" si="67">SUM(B56,G56,L56)</f>
        <v>0</v>
      </c>
      <c r="R56" s="75">
        <f t="shared" si="67"/>
        <v>0</v>
      </c>
      <c r="S56" s="75">
        <f t="shared" si="67"/>
        <v>0</v>
      </c>
      <c r="T56" s="75">
        <f t="shared" si="67"/>
        <v>0</v>
      </c>
      <c r="U56" s="91">
        <f t="shared" si="58"/>
        <v>0</v>
      </c>
      <c r="V56" s="2"/>
    </row>
    <row r="57" ht="15.0" customHeight="1">
      <c r="A57" s="74" t="s">
        <v>94</v>
      </c>
      <c r="B57" s="77"/>
      <c r="C57" s="77">
        <v>2.0</v>
      </c>
      <c r="D57" s="77">
        <v>175.0</v>
      </c>
      <c r="E57" s="77"/>
      <c r="F57" s="76">
        <f t="shared" si="54"/>
        <v>177</v>
      </c>
      <c r="G57" s="77"/>
      <c r="H57" s="77"/>
      <c r="I57" s="77"/>
      <c r="J57" s="2"/>
      <c r="K57" s="76">
        <f t="shared" si="55"/>
        <v>0</v>
      </c>
      <c r="L57" s="77"/>
      <c r="M57" s="77"/>
      <c r="N57" s="77"/>
      <c r="O57" s="77"/>
      <c r="P57" s="76">
        <f t="shared" si="56"/>
        <v>0</v>
      </c>
      <c r="Q57" s="75">
        <f t="shared" ref="Q57:T57" si="68">SUM(B57,G57,L57)</f>
        <v>0</v>
      </c>
      <c r="R57" s="75">
        <f t="shared" si="68"/>
        <v>2</v>
      </c>
      <c r="S57" s="75">
        <f t="shared" si="68"/>
        <v>175</v>
      </c>
      <c r="T57" s="75">
        <f t="shared" si="68"/>
        <v>0</v>
      </c>
      <c r="U57" s="91">
        <f t="shared" si="58"/>
        <v>177</v>
      </c>
      <c r="V57" s="2"/>
    </row>
    <row r="58" ht="15.0" customHeight="1">
      <c r="A58" s="74" t="s">
        <v>95</v>
      </c>
      <c r="B58" s="77"/>
      <c r="C58" s="77"/>
      <c r="D58" s="77"/>
      <c r="E58" s="77"/>
      <c r="F58" s="76">
        <f t="shared" si="54"/>
        <v>0</v>
      </c>
      <c r="G58" s="77"/>
      <c r="H58" s="77"/>
      <c r="I58" s="77"/>
      <c r="J58" s="77"/>
      <c r="K58" s="76">
        <f t="shared" si="55"/>
        <v>0</v>
      </c>
      <c r="L58" s="77"/>
      <c r="M58" s="77">
        <v>25.0</v>
      </c>
      <c r="N58" s="77"/>
      <c r="O58" s="77"/>
      <c r="P58" s="76">
        <f t="shared" si="56"/>
        <v>25</v>
      </c>
      <c r="Q58" s="75">
        <f t="shared" ref="Q58:T58" si="69">SUM(B58,G58,L58)</f>
        <v>0</v>
      </c>
      <c r="R58" s="75">
        <f t="shared" si="69"/>
        <v>25</v>
      </c>
      <c r="S58" s="75">
        <f t="shared" si="69"/>
        <v>0</v>
      </c>
      <c r="T58" s="75">
        <f t="shared" si="69"/>
        <v>0</v>
      </c>
      <c r="U58" s="91">
        <f t="shared" si="58"/>
        <v>25</v>
      </c>
      <c r="V58" s="2"/>
    </row>
    <row r="59" ht="15.0" customHeight="1">
      <c r="A59" s="74" t="s">
        <v>96</v>
      </c>
      <c r="B59" s="77"/>
      <c r="C59" s="77"/>
      <c r="D59" s="77"/>
      <c r="E59" s="77"/>
      <c r="F59" s="76">
        <f t="shared" si="54"/>
        <v>0</v>
      </c>
      <c r="G59" s="82"/>
      <c r="H59" s="82"/>
      <c r="I59" s="82"/>
      <c r="J59" s="82"/>
      <c r="K59" s="76">
        <f t="shared" si="55"/>
        <v>0</v>
      </c>
      <c r="L59" s="77"/>
      <c r="M59" s="77"/>
      <c r="N59" s="77"/>
      <c r="O59" s="77"/>
      <c r="P59" s="76">
        <f t="shared" si="56"/>
        <v>0</v>
      </c>
      <c r="Q59" s="75">
        <f t="shared" ref="Q59:T59" si="70">SUM(B59,G59,L59)</f>
        <v>0</v>
      </c>
      <c r="R59" s="75">
        <f t="shared" si="70"/>
        <v>0</v>
      </c>
      <c r="S59" s="75">
        <f t="shared" si="70"/>
        <v>0</v>
      </c>
      <c r="T59" s="75">
        <f t="shared" si="70"/>
        <v>0</v>
      </c>
      <c r="U59" s="91">
        <f t="shared" si="58"/>
        <v>0</v>
      </c>
      <c r="V59" s="2"/>
    </row>
    <row r="60" ht="15.0" customHeight="1">
      <c r="A60" s="74" t="s">
        <v>17</v>
      </c>
      <c r="B60" s="77"/>
      <c r="C60" s="77"/>
      <c r="D60" s="77"/>
      <c r="E60" s="77"/>
      <c r="F60" s="76">
        <f t="shared" si="54"/>
        <v>0</v>
      </c>
      <c r="G60" s="77"/>
      <c r="H60" s="77"/>
      <c r="I60" s="77"/>
      <c r="J60" s="77"/>
      <c r="K60" s="76">
        <f t="shared" si="55"/>
        <v>0</v>
      </c>
      <c r="L60" s="77"/>
      <c r="M60" s="77"/>
      <c r="N60" s="77"/>
      <c r="O60" s="77"/>
      <c r="P60" s="76">
        <f t="shared" si="56"/>
        <v>0</v>
      </c>
      <c r="Q60" s="75">
        <f t="shared" ref="Q60:T60" si="71">SUM(B60,G60,L60)</f>
        <v>0</v>
      </c>
      <c r="R60" s="75">
        <f t="shared" si="71"/>
        <v>0</v>
      </c>
      <c r="S60" s="75">
        <f t="shared" si="71"/>
        <v>0</v>
      </c>
      <c r="T60" s="75">
        <f t="shared" si="71"/>
        <v>0</v>
      </c>
      <c r="U60" s="78">
        <f t="shared" si="58"/>
        <v>0</v>
      </c>
      <c r="V60" s="2"/>
    </row>
    <row r="61" ht="15.0" customHeight="1">
      <c r="A61" s="74" t="s">
        <v>78</v>
      </c>
      <c r="B61" s="80"/>
      <c r="C61" s="80"/>
      <c r="D61" s="80"/>
      <c r="E61" s="80"/>
      <c r="F61" s="76">
        <f t="shared" si="54"/>
        <v>0</v>
      </c>
      <c r="G61" s="77"/>
      <c r="H61" s="77"/>
      <c r="I61" s="77">
        <v>532.0</v>
      </c>
      <c r="J61" s="77"/>
      <c r="K61" s="76">
        <f t="shared" si="55"/>
        <v>532</v>
      </c>
      <c r="L61" s="77"/>
      <c r="M61" s="77"/>
      <c r="N61" s="77"/>
      <c r="O61" s="77"/>
      <c r="P61" s="76">
        <f t="shared" si="56"/>
        <v>0</v>
      </c>
      <c r="Q61" s="75">
        <f t="shared" ref="Q61:T61" si="72">SUM(B61,G61,L61)</f>
        <v>0</v>
      </c>
      <c r="R61" s="75">
        <f t="shared" si="72"/>
        <v>0</v>
      </c>
      <c r="S61" s="75">
        <f t="shared" si="72"/>
        <v>532</v>
      </c>
      <c r="T61" s="75">
        <f t="shared" si="72"/>
        <v>0</v>
      </c>
      <c r="U61" s="78">
        <f t="shared" si="58"/>
        <v>532</v>
      </c>
      <c r="V61" s="2"/>
    </row>
    <row r="62" ht="15.0" customHeight="1">
      <c r="A62" s="74" t="s">
        <v>97</v>
      </c>
      <c r="B62" s="77"/>
      <c r="C62" s="77"/>
      <c r="D62" s="77"/>
      <c r="E62" s="77"/>
      <c r="F62" s="76">
        <f t="shared" si="54"/>
        <v>0</v>
      </c>
      <c r="G62" s="77"/>
      <c r="H62" s="77"/>
      <c r="I62" s="77"/>
      <c r="J62" s="77"/>
      <c r="K62" s="76">
        <f t="shared" si="55"/>
        <v>0</v>
      </c>
      <c r="L62" s="77"/>
      <c r="M62" s="77"/>
      <c r="N62" s="77"/>
      <c r="O62" s="77"/>
      <c r="P62" s="76">
        <f t="shared" si="56"/>
        <v>0</v>
      </c>
      <c r="Q62" s="75">
        <f t="shared" ref="Q62:T62" si="73">SUM(B62,G62,L62)</f>
        <v>0</v>
      </c>
      <c r="R62" s="75">
        <f t="shared" si="73"/>
        <v>0</v>
      </c>
      <c r="S62" s="75">
        <f t="shared" si="73"/>
        <v>0</v>
      </c>
      <c r="T62" s="75">
        <f t="shared" si="73"/>
        <v>0</v>
      </c>
      <c r="U62" s="78">
        <f t="shared" si="58"/>
        <v>0</v>
      </c>
      <c r="V62" s="2"/>
    </row>
    <row r="63" ht="15.75" customHeight="1">
      <c r="A63" s="74" t="s">
        <v>98</v>
      </c>
      <c r="B63" s="77"/>
      <c r="C63" s="77"/>
      <c r="D63" s="77"/>
      <c r="E63" s="77"/>
      <c r="F63" s="76">
        <f t="shared" si="54"/>
        <v>0</v>
      </c>
      <c r="G63" s="77"/>
      <c r="H63" s="77"/>
      <c r="I63" s="77"/>
      <c r="J63" s="77"/>
      <c r="K63" s="76">
        <f t="shared" si="55"/>
        <v>0</v>
      </c>
      <c r="L63" s="77"/>
      <c r="M63" s="77"/>
      <c r="N63" s="77"/>
      <c r="O63" s="77"/>
      <c r="P63" s="76">
        <f t="shared" si="56"/>
        <v>0</v>
      </c>
      <c r="Q63" s="75">
        <f t="shared" ref="Q63:T63" si="74">SUM(B63,G63,L63)</f>
        <v>0</v>
      </c>
      <c r="R63" s="75">
        <f t="shared" si="74"/>
        <v>0</v>
      </c>
      <c r="S63" s="75">
        <f t="shared" si="74"/>
        <v>0</v>
      </c>
      <c r="T63" s="75">
        <f t="shared" si="74"/>
        <v>0</v>
      </c>
      <c r="U63" s="78">
        <f t="shared" si="58"/>
        <v>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5">SUM(C65:C78)</f>
        <v>0</v>
      </c>
      <c r="D64" s="73">
        <f t="shared" si="75"/>
        <v>0</v>
      </c>
      <c r="E64" s="73">
        <f t="shared" si="75"/>
        <v>0</v>
      </c>
      <c r="F64" s="73">
        <f t="shared" si="75"/>
        <v>0</v>
      </c>
      <c r="G64" s="73">
        <f t="shared" si="75"/>
        <v>0</v>
      </c>
      <c r="H64" s="73">
        <f t="shared" si="75"/>
        <v>0</v>
      </c>
      <c r="I64" s="73">
        <f t="shared" si="75"/>
        <v>0</v>
      </c>
      <c r="J64" s="73">
        <f t="shared" si="75"/>
        <v>12</v>
      </c>
      <c r="K64" s="73">
        <f t="shared" si="75"/>
        <v>12</v>
      </c>
      <c r="L64" s="73">
        <f t="shared" ref="L64:U64" si="76">SUM(L65:L79)</f>
        <v>0</v>
      </c>
      <c r="M64" s="73">
        <f t="shared" si="76"/>
        <v>0</v>
      </c>
      <c r="N64" s="73">
        <f t="shared" si="76"/>
        <v>0</v>
      </c>
      <c r="O64" s="73">
        <f t="shared" si="76"/>
        <v>0</v>
      </c>
      <c r="P64" s="73">
        <f t="shared" si="76"/>
        <v>0</v>
      </c>
      <c r="Q64" s="73">
        <f t="shared" si="76"/>
        <v>0</v>
      </c>
      <c r="R64" s="73">
        <f t="shared" si="76"/>
        <v>0</v>
      </c>
      <c r="S64" s="73">
        <f t="shared" si="76"/>
        <v>0</v>
      </c>
      <c r="T64" s="73">
        <f t="shared" si="76"/>
        <v>12</v>
      </c>
      <c r="U64" s="73">
        <f t="shared" si="76"/>
        <v>12</v>
      </c>
      <c r="V64" s="2" t="s">
        <v>114</v>
      </c>
    </row>
    <row r="65" ht="15.0" customHeight="1">
      <c r="A65" s="74" t="s">
        <v>100</v>
      </c>
      <c r="B65" s="75"/>
      <c r="C65" s="75"/>
      <c r="D65" s="75"/>
      <c r="E65" s="75"/>
      <c r="F65" s="76">
        <f t="shared" ref="F65:F79" si="78">SUM(B65:E65)</f>
        <v>0</v>
      </c>
      <c r="G65" s="75"/>
      <c r="H65" s="75"/>
      <c r="I65" s="75"/>
      <c r="J65" s="75"/>
      <c r="K65" s="76">
        <f t="shared" ref="K65:K79" si="79">SUM(G65:J65)</f>
        <v>0</v>
      </c>
      <c r="L65" s="75"/>
      <c r="M65" s="75"/>
      <c r="N65" s="75"/>
      <c r="O65" s="75"/>
      <c r="P65" s="76">
        <f t="shared" ref="P65:P79" si="80">SUM(L65:O65)</f>
        <v>0</v>
      </c>
      <c r="Q65" s="75">
        <f t="shared" ref="Q65:T65" si="77">B65+G65+L65</f>
        <v>0</v>
      </c>
      <c r="R65" s="75">
        <f t="shared" si="77"/>
        <v>0</v>
      </c>
      <c r="S65" s="75">
        <f t="shared" si="77"/>
        <v>0</v>
      </c>
      <c r="T65" s="75">
        <f t="shared" si="77"/>
        <v>0</v>
      </c>
      <c r="U65" s="76">
        <f t="shared" ref="U65:U79" si="82">SUM(Q65:T65)</f>
        <v>0</v>
      </c>
      <c r="V65" s="2"/>
    </row>
    <row r="66" ht="15.0" customHeight="1">
      <c r="A66" s="74" t="s">
        <v>101</v>
      </c>
      <c r="B66" s="77"/>
      <c r="C66" s="77"/>
      <c r="D66" s="77"/>
      <c r="E66" s="77"/>
      <c r="F66" s="76">
        <f t="shared" si="78"/>
        <v>0</v>
      </c>
      <c r="G66" s="77"/>
      <c r="H66" s="77"/>
      <c r="I66" s="77"/>
      <c r="J66" s="77"/>
      <c r="K66" s="76">
        <f t="shared" si="79"/>
        <v>0</v>
      </c>
      <c r="L66" s="77"/>
      <c r="M66" s="77"/>
      <c r="N66" s="77"/>
      <c r="O66" s="77"/>
      <c r="P66" s="78">
        <f t="shared" si="80"/>
        <v>0</v>
      </c>
      <c r="Q66" s="75">
        <f t="shared" ref="Q66:T66" si="81">B66+G66+L66</f>
        <v>0</v>
      </c>
      <c r="R66" s="75">
        <f t="shared" si="81"/>
        <v>0</v>
      </c>
      <c r="S66" s="75">
        <f t="shared" si="81"/>
        <v>0</v>
      </c>
      <c r="T66" s="75">
        <f t="shared" si="81"/>
        <v>0</v>
      </c>
      <c r="U66" s="76">
        <f t="shared" si="82"/>
        <v>0</v>
      </c>
      <c r="V66" s="2"/>
    </row>
    <row r="67" ht="15.0" customHeight="1">
      <c r="A67" s="74" t="s">
        <v>102</v>
      </c>
      <c r="B67" s="77"/>
      <c r="C67" s="77"/>
      <c r="D67" s="77"/>
      <c r="E67" s="77"/>
      <c r="F67" s="76">
        <f t="shared" si="78"/>
        <v>0</v>
      </c>
      <c r="G67" s="77"/>
      <c r="H67" s="77"/>
      <c r="I67" s="77"/>
      <c r="J67" s="77"/>
      <c r="K67" s="76">
        <f t="shared" si="79"/>
        <v>0</v>
      </c>
      <c r="L67" s="77"/>
      <c r="M67" s="77"/>
      <c r="N67" s="77"/>
      <c r="O67" s="77"/>
      <c r="P67" s="78">
        <f t="shared" si="80"/>
        <v>0</v>
      </c>
      <c r="Q67" s="75">
        <f t="shared" ref="Q67:T67" si="83">B67+G67+L67</f>
        <v>0</v>
      </c>
      <c r="R67" s="75">
        <f t="shared" si="83"/>
        <v>0</v>
      </c>
      <c r="S67" s="75">
        <f t="shared" si="83"/>
        <v>0</v>
      </c>
      <c r="T67" s="75">
        <f t="shared" si="83"/>
        <v>0</v>
      </c>
      <c r="U67" s="76">
        <f t="shared" si="82"/>
        <v>0</v>
      </c>
      <c r="V67" s="2"/>
    </row>
    <row r="68" ht="15.0" customHeight="1">
      <c r="A68" s="74" t="s">
        <v>103</v>
      </c>
      <c r="B68" s="77"/>
      <c r="C68" s="77"/>
      <c r="D68" s="77"/>
      <c r="E68" s="77"/>
      <c r="F68" s="76">
        <f t="shared" si="78"/>
        <v>0</v>
      </c>
      <c r="G68" s="77"/>
      <c r="H68" s="77"/>
      <c r="I68" s="77"/>
      <c r="J68" s="77"/>
      <c r="K68" s="76">
        <f t="shared" si="79"/>
        <v>0</v>
      </c>
      <c r="L68" s="77"/>
      <c r="M68" s="77"/>
      <c r="N68" s="77"/>
      <c r="O68" s="77"/>
      <c r="P68" s="78">
        <f t="shared" si="80"/>
        <v>0</v>
      </c>
      <c r="Q68" s="75">
        <f t="shared" ref="Q68:T68" si="84">B68+G68+L68</f>
        <v>0</v>
      </c>
      <c r="R68" s="75">
        <f t="shared" si="84"/>
        <v>0</v>
      </c>
      <c r="S68" s="75">
        <f t="shared" si="84"/>
        <v>0</v>
      </c>
      <c r="T68" s="75">
        <f t="shared" si="84"/>
        <v>0</v>
      </c>
      <c r="U68" s="76">
        <f t="shared" si="82"/>
        <v>0</v>
      </c>
      <c r="V68" s="2"/>
    </row>
    <row r="69" ht="15.0" customHeight="1">
      <c r="A69" s="74" t="s">
        <v>59</v>
      </c>
      <c r="B69" s="77"/>
      <c r="C69" s="77"/>
      <c r="D69" s="77"/>
      <c r="E69" s="77"/>
      <c r="F69" s="76">
        <f t="shared" si="78"/>
        <v>0</v>
      </c>
      <c r="G69" s="77"/>
      <c r="H69" s="77"/>
      <c r="I69" s="77"/>
      <c r="J69" s="77"/>
      <c r="K69" s="76">
        <f t="shared" si="79"/>
        <v>0</v>
      </c>
      <c r="L69" s="77"/>
      <c r="M69" s="77"/>
      <c r="N69" s="77"/>
      <c r="O69" s="77"/>
      <c r="P69" s="78">
        <f t="shared" si="80"/>
        <v>0</v>
      </c>
      <c r="Q69" s="75">
        <f t="shared" ref="Q69:T69" si="85">B69+G69+L69</f>
        <v>0</v>
      </c>
      <c r="R69" s="75">
        <f t="shared" si="85"/>
        <v>0</v>
      </c>
      <c r="S69" s="75">
        <f t="shared" si="85"/>
        <v>0</v>
      </c>
      <c r="T69" s="75">
        <f t="shared" si="85"/>
        <v>0</v>
      </c>
      <c r="U69" s="76">
        <f t="shared" si="82"/>
        <v>0</v>
      </c>
      <c r="V69" s="2"/>
    </row>
    <row r="70" ht="15.0" customHeight="1">
      <c r="A70" s="74" t="s">
        <v>104</v>
      </c>
      <c r="B70" s="77"/>
      <c r="C70" s="77"/>
      <c r="D70" s="77"/>
      <c r="E70" s="77"/>
      <c r="F70" s="76">
        <f t="shared" si="78"/>
        <v>0</v>
      </c>
      <c r="G70" s="77"/>
      <c r="H70" s="77"/>
      <c r="I70" s="77"/>
      <c r="J70" s="77"/>
      <c r="K70" s="76">
        <f t="shared" si="79"/>
        <v>0</v>
      </c>
      <c r="L70" s="77"/>
      <c r="M70" s="77"/>
      <c r="N70" s="77"/>
      <c r="O70" s="77"/>
      <c r="P70" s="78">
        <f t="shared" si="80"/>
        <v>0</v>
      </c>
      <c r="Q70" s="75">
        <f t="shared" ref="Q70:T70" si="86">B70+G70+L70</f>
        <v>0</v>
      </c>
      <c r="R70" s="75">
        <f t="shared" si="86"/>
        <v>0</v>
      </c>
      <c r="S70" s="75">
        <f t="shared" si="86"/>
        <v>0</v>
      </c>
      <c r="T70" s="75">
        <f t="shared" si="86"/>
        <v>0</v>
      </c>
      <c r="U70" s="76">
        <f t="shared" si="82"/>
        <v>0</v>
      </c>
      <c r="V70" s="2"/>
    </row>
    <row r="71" ht="15.0" customHeight="1">
      <c r="A71" s="74" t="s">
        <v>105</v>
      </c>
      <c r="B71" s="77"/>
      <c r="C71" s="77"/>
      <c r="D71" s="77"/>
      <c r="E71" s="77"/>
      <c r="F71" s="76">
        <f t="shared" si="78"/>
        <v>0</v>
      </c>
      <c r="G71" s="77"/>
      <c r="H71" s="77"/>
      <c r="I71" s="77"/>
      <c r="J71" s="77"/>
      <c r="K71" s="76">
        <f t="shared" si="79"/>
        <v>0</v>
      </c>
      <c r="L71" s="77"/>
      <c r="M71" s="77"/>
      <c r="N71" s="77"/>
      <c r="O71" s="77"/>
      <c r="P71" s="78">
        <f t="shared" si="80"/>
        <v>0</v>
      </c>
      <c r="Q71" s="75">
        <f t="shared" ref="Q71:T71" si="87">B71+G71+L71</f>
        <v>0</v>
      </c>
      <c r="R71" s="75">
        <f t="shared" si="87"/>
        <v>0</v>
      </c>
      <c r="S71" s="75">
        <f t="shared" si="87"/>
        <v>0</v>
      </c>
      <c r="T71" s="75">
        <f t="shared" si="87"/>
        <v>0</v>
      </c>
      <c r="U71" s="76">
        <f t="shared" si="82"/>
        <v>0</v>
      </c>
      <c r="V71" s="2"/>
    </row>
    <row r="72" ht="15.0" customHeight="1">
      <c r="A72" s="74" t="s">
        <v>106</v>
      </c>
      <c r="B72" s="90"/>
      <c r="C72" s="90"/>
      <c r="D72" s="90"/>
      <c r="E72" s="90"/>
      <c r="F72" s="76">
        <f t="shared" si="78"/>
        <v>0</v>
      </c>
      <c r="G72" s="90"/>
      <c r="H72" s="90"/>
      <c r="I72" s="90"/>
      <c r="J72" s="90"/>
      <c r="K72" s="76">
        <f t="shared" si="79"/>
        <v>0</v>
      </c>
      <c r="L72" s="90"/>
      <c r="M72" s="90"/>
      <c r="N72" s="90"/>
      <c r="O72" s="90"/>
      <c r="P72" s="91">
        <f t="shared" si="80"/>
        <v>0</v>
      </c>
      <c r="Q72" s="75">
        <f t="shared" ref="Q72:T72" si="88">B72+G72+L72</f>
        <v>0</v>
      </c>
      <c r="R72" s="75">
        <f t="shared" si="88"/>
        <v>0</v>
      </c>
      <c r="S72" s="75">
        <f t="shared" si="88"/>
        <v>0</v>
      </c>
      <c r="T72" s="75">
        <f t="shared" si="88"/>
        <v>0</v>
      </c>
      <c r="U72" s="76">
        <f t="shared" si="82"/>
        <v>0</v>
      </c>
      <c r="V72" s="2"/>
    </row>
    <row r="73" ht="15.0" customHeight="1">
      <c r="A73" s="74" t="s">
        <v>107</v>
      </c>
      <c r="B73" s="77"/>
      <c r="C73" s="77"/>
      <c r="D73" s="77"/>
      <c r="E73" s="77"/>
      <c r="F73" s="76">
        <f t="shared" si="78"/>
        <v>0</v>
      </c>
      <c r="G73" s="77"/>
      <c r="H73" s="77"/>
      <c r="I73" s="77"/>
      <c r="J73" s="77"/>
      <c r="K73" s="76">
        <f t="shared" si="79"/>
        <v>0</v>
      </c>
      <c r="L73" s="77"/>
      <c r="M73" s="77"/>
      <c r="N73" s="77"/>
      <c r="O73" s="77"/>
      <c r="P73" s="78">
        <f t="shared" si="80"/>
        <v>0</v>
      </c>
      <c r="Q73" s="75">
        <f t="shared" ref="Q73:T73" si="89">B73+G73+L73</f>
        <v>0</v>
      </c>
      <c r="R73" s="75">
        <f t="shared" si="89"/>
        <v>0</v>
      </c>
      <c r="S73" s="75">
        <f t="shared" si="89"/>
        <v>0</v>
      </c>
      <c r="T73" s="75">
        <f t="shared" si="89"/>
        <v>0</v>
      </c>
      <c r="U73" s="76">
        <f t="shared" si="82"/>
        <v>0</v>
      </c>
      <c r="V73" s="2"/>
    </row>
    <row r="74" ht="15.0" customHeight="1">
      <c r="A74" s="74" t="s">
        <v>108</v>
      </c>
      <c r="B74" s="77"/>
      <c r="C74" s="77"/>
      <c r="D74" s="77"/>
      <c r="E74" s="77"/>
      <c r="F74" s="76">
        <f t="shared" si="78"/>
        <v>0</v>
      </c>
      <c r="G74" s="77"/>
      <c r="H74" s="77"/>
      <c r="I74" s="77"/>
      <c r="J74" s="77"/>
      <c r="K74" s="76">
        <f t="shared" si="79"/>
        <v>0</v>
      </c>
      <c r="L74" s="77"/>
      <c r="M74" s="77"/>
      <c r="N74" s="77"/>
      <c r="O74" s="77"/>
      <c r="P74" s="78">
        <f t="shared" si="80"/>
        <v>0</v>
      </c>
      <c r="Q74" s="75">
        <f t="shared" ref="Q74:T74" si="90">B74+G74+L74</f>
        <v>0</v>
      </c>
      <c r="R74" s="75">
        <f t="shared" si="90"/>
        <v>0</v>
      </c>
      <c r="S74" s="75">
        <f t="shared" si="90"/>
        <v>0</v>
      </c>
      <c r="T74" s="75">
        <f t="shared" si="90"/>
        <v>0</v>
      </c>
      <c r="U74" s="76">
        <f t="shared" si="82"/>
        <v>0</v>
      </c>
      <c r="V74" s="2"/>
    </row>
    <row r="75" ht="15.0" customHeight="1">
      <c r="A75" s="74" t="s">
        <v>109</v>
      </c>
      <c r="B75" s="77"/>
      <c r="C75" s="77"/>
      <c r="D75" s="77"/>
      <c r="E75" s="77"/>
      <c r="F75" s="76">
        <f t="shared" si="78"/>
        <v>0</v>
      </c>
      <c r="G75" s="77"/>
      <c r="H75" s="77"/>
      <c r="I75" s="77"/>
      <c r="J75" s="77"/>
      <c r="K75" s="76">
        <f t="shared" si="79"/>
        <v>0</v>
      </c>
      <c r="L75" s="77"/>
      <c r="M75" s="77"/>
      <c r="N75" s="77"/>
      <c r="O75" s="77"/>
      <c r="P75" s="78">
        <f t="shared" si="80"/>
        <v>0</v>
      </c>
      <c r="Q75" s="75">
        <f t="shared" ref="Q75:T75" si="91">B75+G75+L75</f>
        <v>0</v>
      </c>
      <c r="R75" s="75">
        <f t="shared" si="91"/>
        <v>0</v>
      </c>
      <c r="S75" s="75">
        <f t="shared" si="91"/>
        <v>0</v>
      </c>
      <c r="T75" s="75">
        <f t="shared" si="91"/>
        <v>0</v>
      </c>
      <c r="U75" s="76">
        <f t="shared" si="82"/>
        <v>0</v>
      </c>
      <c r="V75" s="2"/>
    </row>
    <row r="76" ht="15.0" customHeight="1">
      <c r="A76" s="74" t="s">
        <v>65</v>
      </c>
      <c r="B76" s="77"/>
      <c r="C76" s="77"/>
      <c r="D76" s="77"/>
      <c r="E76" s="77"/>
      <c r="F76" s="76">
        <f t="shared" si="78"/>
        <v>0</v>
      </c>
      <c r="G76" s="77"/>
      <c r="H76" s="77"/>
      <c r="I76" s="77"/>
      <c r="J76" s="77"/>
      <c r="K76" s="76">
        <f t="shared" si="79"/>
        <v>0</v>
      </c>
      <c r="L76" s="77"/>
      <c r="M76" s="77"/>
      <c r="N76" s="77"/>
      <c r="O76" s="77"/>
      <c r="P76" s="78">
        <f t="shared" si="80"/>
        <v>0</v>
      </c>
      <c r="Q76" s="75">
        <f t="shared" ref="Q76:T76" si="92">B76+G76+L76</f>
        <v>0</v>
      </c>
      <c r="R76" s="75">
        <f t="shared" si="92"/>
        <v>0</v>
      </c>
      <c r="S76" s="75">
        <f t="shared" si="92"/>
        <v>0</v>
      </c>
      <c r="T76" s="75">
        <f t="shared" si="92"/>
        <v>0</v>
      </c>
      <c r="U76" s="76">
        <f t="shared" si="82"/>
        <v>0</v>
      </c>
      <c r="V76" s="2"/>
    </row>
    <row r="77" ht="15.0" customHeight="1">
      <c r="A77" s="74" t="s">
        <v>110</v>
      </c>
      <c r="B77" s="77"/>
      <c r="C77" s="77"/>
      <c r="D77" s="77"/>
      <c r="E77" s="77"/>
      <c r="F77" s="76">
        <f t="shared" si="78"/>
        <v>0</v>
      </c>
      <c r="G77" s="77"/>
      <c r="H77" s="77"/>
      <c r="I77" s="77"/>
      <c r="J77" s="77">
        <v>12.0</v>
      </c>
      <c r="K77" s="76">
        <f t="shared" si="79"/>
        <v>12</v>
      </c>
      <c r="L77" s="77"/>
      <c r="M77" s="77"/>
      <c r="N77" s="77"/>
      <c r="O77" s="77"/>
      <c r="P77" s="78">
        <f t="shared" si="80"/>
        <v>0</v>
      </c>
      <c r="Q77" s="75">
        <f t="shared" ref="Q77:T77" si="93">B77+G77+L77</f>
        <v>0</v>
      </c>
      <c r="R77" s="75">
        <f t="shared" si="93"/>
        <v>0</v>
      </c>
      <c r="S77" s="75">
        <f t="shared" si="93"/>
        <v>0</v>
      </c>
      <c r="T77" s="75">
        <f t="shared" si="93"/>
        <v>12</v>
      </c>
      <c r="U77" s="76">
        <f t="shared" si="82"/>
        <v>12</v>
      </c>
      <c r="V77" s="2"/>
    </row>
    <row r="78" ht="15.0" customHeight="1">
      <c r="A78" s="74" t="s">
        <v>111</v>
      </c>
      <c r="B78" s="77"/>
      <c r="C78" s="77"/>
      <c r="D78" s="77"/>
      <c r="E78" s="77"/>
      <c r="F78" s="76">
        <f t="shared" si="78"/>
        <v>0</v>
      </c>
      <c r="G78" s="77"/>
      <c r="H78" s="77"/>
      <c r="I78" s="77"/>
      <c r="J78" s="77"/>
      <c r="K78" s="76">
        <f t="shared" si="79"/>
        <v>0</v>
      </c>
      <c r="L78" s="77"/>
      <c r="M78" s="77"/>
      <c r="N78" s="77"/>
      <c r="O78" s="77"/>
      <c r="P78" s="78">
        <f t="shared" si="80"/>
        <v>0</v>
      </c>
      <c r="Q78" s="75">
        <f t="shared" ref="Q78:T78" si="94">B78+G78+L78</f>
        <v>0</v>
      </c>
      <c r="R78" s="75">
        <f t="shared" si="94"/>
        <v>0</v>
      </c>
      <c r="S78" s="75">
        <f t="shared" si="94"/>
        <v>0</v>
      </c>
      <c r="T78" s="75">
        <f t="shared" si="94"/>
        <v>0</v>
      </c>
      <c r="U78" s="76">
        <f t="shared" si="82"/>
        <v>0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8"/>
        <v>0</v>
      </c>
      <c r="G79" s="77"/>
      <c r="H79" s="77"/>
      <c r="I79" s="77"/>
      <c r="J79" s="77"/>
      <c r="K79" s="76">
        <f t="shared" si="79"/>
        <v>0</v>
      </c>
      <c r="L79" s="77"/>
      <c r="M79" s="77"/>
      <c r="N79" s="77"/>
      <c r="O79" s="77"/>
      <c r="P79" s="78">
        <f t="shared" si="80"/>
        <v>0</v>
      </c>
      <c r="Q79" s="75">
        <f t="shared" ref="Q79:T79" si="95">B79+G79+L79</f>
        <v>0</v>
      </c>
      <c r="R79" s="75">
        <f t="shared" si="95"/>
        <v>0</v>
      </c>
      <c r="S79" s="75">
        <f t="shared" si="95"/>
        <v>0</v>
      </c>
      <c r="T79" s="75">
        <f t="shared" si="95"/>
        <v>0</v>
      </c>
      <c r="U79" s="76">
        <f t="shared" si="82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5</v>
      </c>
      <c r="C9" s="70">
        <f t="shared" si="1"/>
        <v>3489</v>
      </c>
      <c r="D9" s="70">
        <f t="shared" si="1"/>
        <v>641</v>
      </c>
      <c r="E9" s="70">
        <f t="shared" si="1"/>
        <v>11537</v>
      </c>
      <c r="F9" s="71">
        <f t="shared" si="1"/>
        <v>15672</v>
      </c>
      <c r="G9" s="70">
        <f t="shared" si="1"/>
        <v>0</v>
      </c>
      <c r="H9" s="70">
        <f t="shared" si="1"/>
        <v>2409</v>
      </c>
      <c r="I9" s="70">
        <f t="shared" si="1"/>
        <v>201</v>
      </c>
      <c r="J9" s="70">
        <f t="shared" si="1"/>
        <v>3943</v>
      </c>
      <c r="K9" s="71">
        <f t="shared" si="1"/>
        <v>6553</v>
      </c>
      <c r="L9" s="70">
        <f t="shared" si="1"/>
        <v>32</v>
      </c>
      <c r="M9" s="70">
        <f t="shared" si="1"/>
        <v>0</v>
      </c>
      <c r="N9" s="70">
        <f t="shared" si="1"/>
        <v>0</v>
      </c>
      <c r="O9" s="70">
        <f t="shared" si="1"/>
        <v>2</v>
      </c>
      <c r="P9" s="71">
        <f t="shared" si="1"/>
        <v>34</v>
      </c>
      <c r="Q9" s="70">
        <f t="shared" si="1"/>
        <v>37</v>
      </c>
      <c r="R9" s="70">
        <f t="shared" si="1"/>
        <v>5898</v>
      </c>
      <c r="S9" s="70">
        <f t="shared" si="1"/>
        <v>842</v>
      </c>
      <c r="T9" s="70">
        <f t="shared" si="1"/>
        <v>15482</v>
      </c>
      <c r="U9" s="71">
        <f t="shared" si="1"/>
        <v>22259</v>
      </c>
      <c r="V9" s="2"/>
    </row>
    <row r="10" ht="15.75" customHeight="1">
      <c r="A10" s="72" t="s">
        <v>49</v>
      </c>
      <c r="B10" s="73">
        <f t="shared" ref="B10:U10" si="2">SUM(B11:B16)</f>
        <v>1</v>
      </c>
      <c r="C10" s="73">
        <f t="shared" si="2"/>
        <v>1</v>
      </c>
      <c r="D10" s="73">
        <f t="shared" si="2"/>
        <v>84</v>
      </c>
      <c r="E10" s="73">
        <f t="shared" si="2"/>
        <v>492</v>
      </c>
      <c r="F10" s="73">
        <f t="shared" si="2"/>
        <v>578</v>
      </c>
      <c r="G10" s="73">
        <f t="shared" si="2"/>
        <v>0</v>
      </c>
      <c r="H10" s="73">
        <f t="shared" si="2"/>
        <v>0</v>
      </c>
      <c r="I10" s="73">
        <f t="shared" si="2"/>
        <v>21</v>
      </c>
      <c r="J10" s="73">
        <f t="shared" si="2"/>
        <v>163</v>
      </c>
      <c r="K10" s="73">
        <f t="shared" si="2"/>
        <v>184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2</v>
      </c>
      <c r="P10" s="73">
        <f t="shared" si="2"/>
        <v>2</v>
      </c>
      <c r="Q10" s="73">
        <f t="shared" si="2"/>
        <v>1</v>
      </c>
      <c r="R10" s="73">
        <f t="shared" si="2"/>
        <v>1</v>
      </c>
      <c r="S10" s="73">
        <f t="shared" si="2"/>
        <v>105</v>
      </c>
      <c r="T10" s="73">
        <f t="shared" si="2"/>
        <v>657</v>
      </c>
      <c r="U10" s="73">
        <f t="shared" si="2"/>
        <v>764</v>
      </c>
      <c r="V10" s="2" t="s">
        <v>114</v>
      </c>
    </row>
    <row r="11" ht="15.0" customHeight="1">
      <c r="A11" s="74" t="s">
        <v>50</v>
      </c>
      <c r="B11" s="75"/>
      <c r="C11" s="75">
        <v>1.0</v>
      </c>
      <c r="D11" s="75">
        <v>73.0</v>
      </c>
      <c r="E11" s="75">
        <v>91.0</v>
      </c>
      <c r="F11" s="76">
        <f t="shared" ref="F11:F16" si="4">SUM(B11:E11)</f>
        <v>165</v>
      </c>
      <c r="G11" s="75"/>
      <c r="H11" s="75"/>
      <c r="I11" s="75">
        <v>2.0</v>
      </c>
      <c r="J11" s="75">
        <v>10.0</v>
      </c>
      <c r="K11" s="76">
        <f t="shared" ref="K11:K16" si="5">SUM(G11:J11)</f>
        <v>12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1</v>
      </c>
      <c r="S11" s="75">
        <f t="shared" si="3"/>
        <v>75</v>
      </c>
      <c r="T11" s="75">
        <f t="shared" si="3"/>
        <v>101</v>
      </c>
      <c r="U11" s="76">
        <f t="shared" ref="U11:U16" si="8">SUM(Q11:T11)</f>
        <v>177</v>
      </c>
      <c r="V11" s="2"/>
    </row>
    <row r="12" ht="15.0" customHeight="1">
      <c r="A12" s="74" t="s">
        <v>51</v>
      </c>
      <c r="B12" s="77"/>
      <c r="C12" s="77"/>
      <c r="D12" s="77">
        <v>2.0</v>
      </c>
      <c r="E12" s="77"/>
      <c r="F12" s="78">
        <f t="shared" si="4"/>
        <v>2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2</v>
      </c>
      <c r="T12" s="77">
        <f t="shared" si="7"/>
        <v>0</v>
      </c>
      <c r="U12" s="78">
        <f t="shared" si="8"/>
        <v>2</v>
      </c>
      <c r="V12" s="2"/>
    </row>
    <row r="13" ht="15.0" customHeight="1">
      <c r="A13" s="74" t="s">
        <v>52</v>
      </c>
      <c r="B13" s="77"/>
      <c r="C13" s="77"/>
      <c r="D13" s="77"/>
      <c r="E13" s="77">
        <v>15.0</v>
      </c>
      <c r="F13" s="78">
        <f t="shared" si="4"/>
        <v>15</v>
      </c>
      <c r="G13" s="77"/>
      <c r="H13" s="77"/>
      <c r="I13" s="77">
        <v>16.0</v>
      </c>
      <c r="J13" s="77">
        <v>2.0</v>
      </c>
      <c r="K13" s="78">
        <f t="shared" si="5"/>
        <v>18</v>
      </c>
      <c r="L13" s="77"/>
      <c r="M13" s="77"/>
      <c r="N13" s="77"/>
      <c r="O13" s="77">
        <v>2.0</v>
      </c>
      <c r="P13" s="78">
        <f t="shared" si="6"/>
        <v>2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16</v>
      </c>
      <c r="T13" s="77">
        <f t="shared" si="9"/>
        <v>19</v>
      </c>
      <c r="U13" s="78">
        <f t="shared" si="8"/>
        <v>35</v>
      </c>
      <c r="V13" s="2"/>
    </row>
    <row r="14" ht="15.0" customHeight="1">
      <c r="A14" s="74" t="s">
        <v>53</v>
      </c>
      <c r="B14" s="77"/>
      <c r="C14" s="77"/>
      <c r="D14" s="77"/>
      <c r="E14" s="77">
        <v>156.0</v>
      </c>
      <c r="F14" s="78">
        <f t="shared" si="4"/>
        <v>156</v>
      </c>
      <c r="G14" s="77"/>
      <c r="H14" s="77"/>
      <c r="I14" s="77"/>
      <c r="J14" s="77">
        <v>76.0</v>
      </c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232</v>
      </c>
      <c r="U14" s="78">
        <f t="shared" si="8"/>
        <v>232</v>
      </c>
      <c r="V14" s="2"/>
    </row>
    <row r="15" ht="15.0" customHeight="1">
      <c r="A15" s="74" t="s">
        <v>54</v>
      </c>
      <c r="B15" s="77">
        <v>1.0</v>
      </c>
      <c r="C15" s="77"/>
      <c r="D15" s="77"/>
      <c r="E15" s="77">
        <v>142.0</v>
      </c>
      <c r="F15" s="78">
        <f t="shared" si="4"/>
        <v>143</v>
      </c>
      <c r="G15" s="77"/>
      <c r="H15" s="77"/>
      <c r="I15" s="77"/>
      <c r="J15" s="77">
        <v>18.0</v>
      </c>
      <c r="K15" s="78">
        <f t="shared" si="5"/>
        <v>18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1</v>
      </c>
      <c r="R15" s="77">
        <f t="shared" si="11"/>
        <v>0</v>
      </c>
      <c r="S15" s="77">
        <f t="shared" si="11"/>
        <v>0</v>
      </c>
      <c r="T15" s="77">
        <f t="shared" si="11"/>
        <v>160</v>
      </c>
      <c r="U15" s="78">
        <f t="shared" si="8"/>
        <v>161</v>
      </c>
      <c r="V15" s="2"/>
    </row>
    <row r="16" ht="15.75" customHeight="1">
      <c r="A16" s="74" t="s">
        <v>55</v>
      </c>
      <c r="B16" s="77"/>
      <c r="C16" s="77"/>
      <c r="D16" s="77">
        <v>9.0</v>
      </c>
      <c r="E16" s="77">
        <v>88.0</v>
      </c>
      <c r="F16" s="78">
        <f t="shared" si="4"/>
        <v>97</v>
      </c>
      <c r="G16" s="77"/>
      <c r="H16" s="77"/>
      <c r="I16" s="77">
        <v>3.0</v>
      </c>
      <c r="J16" s="77">
        <v>57.0</v>
      </c>
      <c r="K16" s="78">
        <f t="shared" si="5"/>
        <v>60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12</v>
      </c>
      <c r="T16" s="77">
        <f t="shared" si="12"/>
        <v>145</v>
      </c>
      <c r="U16" s="78">
        <f t="shared" si="8"/>
        <v>157</v>
      </c>
      <c r="V16" s="2"/>
    </row>
    <row r="17" ht="15.75" customHeight="1">
      <c r="A17" s="72" t="s">
        <v>56</v>
      </c>
      <c r="B17" s="73">
        <f t="shared" ref="B17:Q17" si="13">SUM(B18:B28)</f>
        <v>0</v>
      </c>
      <c r="C17" s="73">
        <f t="shared" si="13"/>
        <v>547</v>
      </c>
      <c r="D17" s="73">
        <f t="shared" si="13"/>
        <v>0</v>
      </c>
      <c r="E17" s="73">
        <f t="shared" si="13"/>
        <v>3338</v>
      </c>
      <c r="F17" s="73">
        <f t="shared" si="13"/>
        <v>3885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0</v>
      </c>
      <c r="R17" s="73">
        <f>R18+R19+R20+R21+R22+R23+R24+R25+R26+R27+R28</f>
        <v>547</v>
      </c>
      <c r="S17" s="73">
        <f t="shared" ref="S17:U17" si="14">SUM(S18:S28)</f>
        <v>0</v>
      </c>
      <c r="T17" s="73">
        <f t="shared" si="14"/>
        <v>3338</v>
      </c>
      <c r="U17" s="73">
        <f t="shared" si="14"/>
        <v>3885</v>
      </c>
      <c r="V17" s="2" t="s">
        <v>114</v>
      </c>
    </row>
    <row r="18" ht="15.0" customHeight="1">
      <c r="A18" s="74" t="s">
        <v>57</v>
      </c>
      <c r="B18" s="75"/>
      <c r="C18" s="75"/>
      <c r="D18" s="75"/>
      <c r="E18" s="75">
        <v>69.0</v>
      </c>
      <c r="F18" s="76">
        <f t="shared" ref="F18:F28" si="16">SUM(B18:E18)</f>
        <v>69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0</v>
      </c>
      <c r="S18" s="75">
        <f t="shared" si="15"/>
        <v>0</v>
      </c>
      <c r="T18" s="75">
        <f t="shared" si="15"/>
        <v>69</v>
      </c>
      <c r="U18" s="76">
        <f t="shared" ref="U18:U28" si="20">SUM(Q18:T18)</f>
        <v>69</v>
      </c>
      <c r="V18" s="2"/>
    </row>
    <row r="19" ht="15.0" customHeight="1">
      <c r="A19" s="74" t="s">
        <v>58</v>
      </c>
      <c r="B19" s="77"/>
      <c r="C19" s="77"/>
      <c r="D19" s="75"/>
      <c r="E19" s="75"/>
      <c r="F19" s="76">
        <f t="shared" si="16"/>
        <v>0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0</v>
      </c>
      <c r="S19" s="75">
        <f t="shared" si="19"/>
        <v>0</v>
      </c>
      <c r="T19" s="75">
        <f t="shared" si="19"/>
        <v>0</v>
      </c>
      <c r="U19" s="78">
        <f t="shared" si="20"/>
        <v>0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/>
      <c r="E21" s="77"/>
      <c r="F21" s="76">
        <f t="shared" si="16"/>
        <v>0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0</v>
      </c>
      <c r="T21" s="75">
        <f t="shared" si="22"/>
        <v>0</v>
      </c>
      <c r="U21" s="78">
        <f t="shared" si="20"/>
        <v>0</v>
      </c>
      <c r="V21" s="2"/>
    </row>
    <row r="22" ht="15.0" customHeight="1">
      <c r="A22" s="74" t="s">
        <v>61</v>
      </c>
      <c r="B22" s="77"/>
      <c r="C22" s="77"/>
      <c r="D22" s="77"/>
      <c r="E22" s="77">
        <v>202.0</v>
      </c>
      <c r="F22" s="76">
        <f t="shared" si="16"/>
        <v>202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0</v>
      </c>
      <c r="T22" s="75">
        <f t="shared" si="23"/>
        <v>202</v>
      </c>
      <c r="U22" s="78">
        <f t="shared" si="20"/>
        <v>202</v>
      </c>
      <c r="V22" s="2"/>
    </row>
    <row r="23" ht="15.0" customHeight="1">
      <c r="A23" s="74" t="s">
        <v>62</v>
      </c>
      <c r="B23" s="77"/>
      <c r="C23" s="77"/>
      <c r="D23" s="77"/>
      <c r="E23" s="77"/>
      <c r="F23" s="76">
        <f t="shared" si="16"/>
        <v>0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0</v>
      </c>
      <c r="S23" s="75">
        <f t="shared" si="24"/>
        <v>0</v>
      </c>
      <c r="T23" s="75">
        <f t="shared" si="24"/>
        <v>0</v>
      </c>
      <c r="U23" s="78">
        <f t="shared" si="20"/>
        <v>0</v>
      </c>
      <c r="V23" s="2"/>
    </row>
    <row r="24" ht="15.0" customHeight="1">
      <c r="A24" s="74" t="s">
        <v>63</v>
      </c>
      <c r="B24" s="79"/>
      <c r="C24" s="77"/>
      <c r="D24" s="77"/>
      <c r="E24" s="77">
        <v>325.0</v>
      </c>
      <c r="F24" s="76">
        <f t="shared" si="16"/>
        <v>325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325</v>
      </c>
      <c r="U24" s="78">
        <f t="shared" si="20"/>
        <v>325</v>
      </c>
      <c r="V24" s="2"/>
    </row>
    <row r="25" ht="15.0" customHeight="1">
      <c r="A25" s="74" t="s">
        <v>17</v>
      </c>
      <c r="B25" s="75"/>
      <c r="C25" s="75"/>
      <c r="D25" s="77"/>
      <c r="E25" s="77">
        <v>465.0</v>
      </c>
      <c r="F25" s="76">
        <f t="shared" si="16"/>
        <v>465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465</v>
      </c>
      <c r="U25" s="76">
        <f t="shared" si="20"/>
        <v>465</v>
      </c>
      <c r="V25" s="2"/>
    </row>
    <row r="26" ht="15.0" customHeight="1">
      <c r="A26" s="74" t="s">
        <v>64</v>
      </c>
      <c r="B26" s="77"/>
      <c r="C26" s="80"/>
      <c r="D26" s="80"/>
      <c r="E26" s="75">
        <v>40.0</v>
      </c>
      <c r="F26" s="76">
        <f t="shared" si="16"/>
        <v>40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0</v>
      </c>
      <c r="T26" s="75">
        <f t="shared" si="27"/>
        <v>40</v>
      </c>
      <c r="U26" s="78">
        <f t="shared" si="20"/>
        <v>40</v>
      </c>
      <c r="V26" s="2"/>
    </row>
    <row r="27" ht="15.0" customHeight="1">
      <c r="A27" s="74" t="s">
        <v>65</v>
      </c>
      <c r="B27" s="77"/>
      <c r="C27" s="77"/>
      <c r="D27" s="77"/>
      <c r="E27" s="77">
        <v>1863.0</v>
      </c>
      <c r="F27" s="76">
        <f t="shared" si="16"/>
        <v>1863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0</v>
      </c>
      <c r="S27" s="75">
        <f t="shared" si="28"/>
        <v>0</v>
      </c>
      <c r="T27" s="75">
        <f t="shared" si="28"/>
        <v>1863</v>
      </c>
      <c r="U27" s="78">
        <f t="shared" si="20"/>
        <v>1863</v>
      </c>
      <c r="V27" s="2"/>
    </row>
    <row r="28" ht="15.75" customHeight="1">
      <c r="A28" s="74" t="s">
        <v>54</v>
      </c>
      <c r="B28" s="77"/>
      <c r="C28" s="77">
        <v>547.0</v>
      </c>
      <c r="D28" s="77"/>
      <c r="E28" s="77">
        <v>374.0</v>
      </c>
      <c r="F28" s="76">
        <f t="shared" si="16"/>
        <v>921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547</v>
      </c>
      <c r="S28" s="75">
        <f t="shared" si="29"/>
        <v>0</v>
      </c>
      <c r="T28" s="75">
        <f t="shared" si="29"/>
        <v>374</v>
      </c>
      <c r="U28" s="78">
        <f t="shared" si="20"/>
        <v>921</v>
      </c>
      <c r="V28" s="2"/>
    </row>
    <row r="29" ht="15.75" customHeight="1">
      <c r="A29" s="72" t="s">
        <v>66</v>
      </c>
      <c r="B29" s="73">
        <f t="shared" ref="B29:U29" si="30">SUM(B30:B44)</f>
        <v>0</v>
      </c>
      <c r="C29" s="73">
        <f t="shared" si="30"/>
        <v>0</v>
      </c>
      <c r="D29" s="73">
        <f t="shared" si="30"/>
        <v>153</v>
      </c>
      <c r="E29" s="73">
        <f t="shared" si="30"/>
        <v>5437</v>
      </c>
      <c r="F29" s="81">
        <f t="shared" si="30"/>
        <v>5590</v>
      </c>
      <c r="G29" s="73">
        <f t="shared" si="30"/>
        <v>0</v>
      </c>
      <c r="H29" s="73">
        <f t="shared" si="30"/>
        <v>0</v>
      </c>
      <c r="I29" s="73">
        <f t="shared" si="30"/>
        <v>145</v>
      </c>
      <c r="J29" s="73">
        <f t="shared" si="30"/>
        <v>2772</v>
      </c>
      <c r="K29" s="81">
        <f t="shared" si="30"/>
        <v>2917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0</v>
      </c>
      <c r="Q29" s="73">
        <f t="shared" si="30"/>
        <v>0</v>
      </c>
      <c r="R29" s="73">
        <f t="shared" si="30"/>
        <v>0</v>
      </c>
      <c r="S29" s="73">
        <f t="shared" si="30"/>
        <v>298</v>
      </c>
      <c r="T29" s="73">
        <f t="shared" si="30"/>
        <v>8209</v>
      </c>
      <c r="U29" s="81">
        <f t="shared" si="30"/>
        <v>8507</v>
      </c>
      <c r="V29" s="2" t="s">
        <v>114</v>
      </c>
    </row>
    <row r="30" ht="15.0" customHeight="1">
      <c r="A30" s="74" t="s">
        <v>67</v>
      </c>
      <c r="B30" s="75"/>
      <c r="C30" s="75"/>
      <c r="D30" s="75"/>
      <c r="E30" s="75">
        <v>482.0</v>
      </c>
      <c r="F30" s="76">
        <f t="shared" ref="F30:F44" si="32">SUM(B30:E30)</f>
        <v>482</v>
      </c>
      <c r="G30" s="75"/>
      <c r="H30" s="75"/>
      <c r="I30" s="75"/>
      <c r="J30" s="75">
        <v>759.0</v>
      </c>
      <c r="K30" s="76">
        <f t="shared" ref="K30:K44" si="33">SUM(G30:J30)</f>
        <v>759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0</v>
      </c>
      <c r="S30" s="75">
        <f t="shared" si="31"/>
        <v>0</v>
      </c>
      <c r="T30" s="75">
        <f t="shared" si="31"/>
        <v>1241</v>
      </c>
      <c r="U30" s="76">
        <f t="shared" ref="U30:U44" si="36">SUM(Q30:T30)</f>
        <v>1241</v>
      </c>
      <c r="V30" s="2"/>
    </row>
    <row r="31" ht="15.0" customHeight="1">
      <c r="A31" s="74" t="s">
        <v>68</v>
      </c>
      <c r="B31" s="77"/>
      <c r="C31" s="77"/>
      <c r="D31" s="77"/>
      <c r="E31" s="77"/>
      <c r="F31" s="76">
        <f t="shared" si="32"/>
        <v>0</v>
      </c>
      <c r="G31" s="77"/>
      <c r="H31" s="77"/>
      <c r="I31" s="77"/>
      <c r="J31" s="77"/>
      <c r="K31" s="76">
        <f t="shared" si="33"/>
        <v>0</v>
      </c>
      <c r="L31" s="77"/>
      <c r="M31" s="77"/>
      <c r="N31" s="77"/>
      <c r="O31" s="77"/>
      <c r="P31" s="78">
        <f t="shared" si="34"/>
        <v>0</v>
      </c>
      <c r="Q31" s="77">
        <f t="shared" ref="Q31:T31" si="35">SUM(B31,G31,L31)</f>
        <v>0</v>
      </c>
      <c r="R31" s="77">
        <f t="shared" si="35"/>
        <v>0</v>
      </c>
      <c r="S31" s="77">
        <f t="shared" si="35"/>
        <v>0</v>
      </c>
      <c r="T31" s="77">
        <f t="shared" si="35"/>
        <v>0</v>
      </c>
      <c r="U31" s="78">
        <f t="shared" si="36"/>
        <v>0</v>
      </c>
      <c r="V31" s="2"/>
    </row>
    <row r="32" ht="15.0" customHeight="1">
      <c r="A32" s="74" t="s">
        <v>69</v>
      </c>
      <c r="B32" s="77"/>
      <c r="C32" s="77"/>
      <c r="D32" s="77"/>
      <c r="E32" s="77">
        <v>918.0</v>
      </c>
      <c r="F32" s="76">
        <f t="shared" si="32"/>
        <v>918</v>
      </c>
      <c r="G32" s="77"/>
      <c r="H32" s="77"/>
      <c r="I32" s="77"/>
      <c r="J32" s="77">
        <v>10.0</v>
      </c>
      <c r="K32" s="76">
        <f t="shared" si="33"/>
        <v>10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0</v>
      </c>
      <c r="S32" s="77">
        <f t="shared" si="37"/>
        <v>0</v>
      </c>
      <c r="T32" s="77">
        <f t="shared" si="37"/>
        <v>928</v>
      </c>
      <c r="U32" s="78">
        <f t="shared" si="36"/>
        <v>928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/>
      <c r="C34" s="77"/>
      <c r="D34" s="77"/>
      <c r="E34" s="77">
        <v>889.0</v>
      </c>
      <c r="F34" s="76">
        <f t="shared" si="32"/>
        <v>889</v>
      </c>
      <c r="G34" s="77"/>
      <c r="H34" s="77"/>
      <c r="I34" s="77"/>
      <c r="J34" s="77">
        <v>55.0</v>
      </c>
      <c r="K34" s="76">
        <f t="shared" si="33"/>
        <v>55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0</v>
      </c>
      <c r="R34" s="77">
        <f t="shared" si="39"/>
        <v>0</v>
      </c>
      <c r="S34" s="77">
        <f t="shared" si="39"/>
        <v>0</v>
      </c>
      <c r="T34" s="77">
        <f t="shared" si="39"/>
        <v>944</v>
      </c>
      <c r="U34" s="78">
        <f t="shared" si="36"/>
        <v>944</v>
      </c>
      <c r="V34" s="2"/>
    </row>
    <row r="35" ht="15.0" customHeight="1">
      <c r="A35" s="74" t="s">
        <v>72</v>
      </c>
      <c r="B35" s="77"/>
      <c r="C35" s="77"/>
      <c r="D35" s="77"/>
      <c r="E35" s="77"/>
      <c r="F35" s="76">
        <f t="shared" si="32"/>
        <v>0</v>
      </c>
      <c r="G35" s="77"/>
      <c r="H35" s="77"/>
      <c r="I35" s="77"/>
      <c r="J35" s="77"/>
      <c r="K35" s="76">
        <f t="shared" si="33"/>
        <v>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0</v>
      </c>
      <c r="V35" s="2"/>
    </row>
    <row r="36" ht="15.0" customHeight="1">
      <c r="A36" s="74" t="s">
        <v>73</v>
      </c>
      <c r="B36" s="77"/>
      <c r="C36" s="77"/>
      <c r="D36" s="77"/>
      <c r="E36" s="77">
        <v>74.0</v>
      </c>
      <c r="F36" s="76">
        <f t="shared" si="32"/>
        <v>74</v>
      </c>
      <c r="G36" s="77"/>
      <c r="H36" s="77"/>
      <c r="I36" s="77"/>
      <c r="J36" s="77">
        <v>735.0</v>
      </c>
      <c r="K36" s="76">
        <f t="shared" si="33"/>
        <v>735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0</v>
      </c>
      <c r="S36" s="77">
        <f t="shared" si="41"/>
        <v>0</v>
      </c>
      <c r="T36" s="77">
        <f t="shared" si="41"/>
        <v>809</v>
      </c>
      <c r="U36" s="78">
        <f t="shared" si="36"/>
        <v>809</v>
      </c>
      <c r="V36" s="2"/>
    </row>
    <row r="37" ht="15.0" customHeight="1">
      <c r="A37" s="74" t="s">
        <v>74</v>
      </c>
      <c r="B37" s="77"/>
      <c r="C37" s="77"/>
      <c r="D37" s="77"/>
      <c r="E37" s="77">
        <v>645.0</v>
      </c>
      <c r="F37" s="76">
        <f t="shared" si="32"/>
        <v>645</v>
      </c>
      <c r="G37" s="77"/>
      <c r="H37" s="77"/>
      <c r="I37" s="77"/>
      <c r="J37" s="77">
        <v>354.0</v>
      </c>
      <c r="K37" s="76">
        <f t="shared" si="33"/>
        <v>354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0</v>
      </c>
      <c r="R37" s="77">
        <f t="shared" si="42"/>
        <v>0</v>
      </c>
      <c r="S37" s="77">
        <f t="shared" ref="S37:S41" si="44">SUM(D37,I36,N37)</f>
        <v>0</v>
      </c>
      <c r="T37" s="77">
        <f t="shared" ref="T37:T41" si="45">SUM(E37,J37,O37)</f>
        <v>999</v>
      </c>
      <c r="U37" s="78">
        <f t="shared" si="36"/>
        <v>999</v>
      </c>
      <c r="V37" s="2"/>
    </row>
    <row r="38" ht="15.0" customHeight="1">
      <c r="A38" s="74" t="s">
        <v>75</v>
      </c>
      <c r="B38" s="77"/>
      <c r="C38" s="77"/>
      <c r="D38" s="77"/>
      <c r="E38" s="77">
        <v>667.0</v>
      </c>
      <c r="F38" s="76">
        <f t="shared" si="32"/>
        <v>667</v>
      </c>
      <c r="G38" s="77"/>
      <c r="H38" s="77"/>
      <c r="I38" s="77"/>
      <c r="J38" s="77">
        <v>86.0</v>
      </c>
      <c r="K38" s="76">
        <f t="shared" si="33"/>
        <v>86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0</v>
      </c>
      <c r="S38" s="77">
        <f t="shared" si="44"/>
        <v>0</v>
      </c>
      <c r="T38" s="77">
        <f t="shared" si="45"/>
        <v>753</v>
      </c>
      <c r="U38" s="78">
        <f t="shared" si="36"/>
        <v>753</v>
      </c>
      <c r="V38" s="2"/>
    </row>
    <row r="39" ht="15.0" customHeight="1">
      <c r="A39" s="74" t="s">
        <v>76</v>
      </c>
      <c r="B39" s="77"/>
      <c r="C39" s="77"/>
      <c r="D39" s="77"/>
      <c r="E39" s="77"/>
      <c r="F39" s="76">
        <f t="shared" si="32"/>
        <v>0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0</v>
      </c>
      <c r="T39" s="77">
        <f t="shared" si="45"/>
        <v>0</v>
      </c>
      <c r="U39" s="78">
        <f t="shared" si="36"/>
        <v>0</v>
      </c>
      <c r="V39" s="2"/>
    </row>
    <row r="40" ht="15.0" customHeight="1">
      <c r="A40" s="74" t="s">
        <v>77</v>
      </c>
      <c r="B40" s="77"/>
      <c r="C40" s="77"/>
      <c r="D40" s="77"/>
      <c r="E40" s="77"/>
      <c r="F40" s="76">
        <f t="shared" si="32"/>
        <v>0</v>
      </c>
      <c r="G40" s="77"/>
      <c r="H40" s="77"/>
      <c r="I40" s="77"/>
      <c r="J40" s="77"/>
      <c r="K40" s="76">
        <f t="shared" si="33"/>
        <v>0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0</v>
      </c>
      <c r="T40" s="77">
        <f t="shared" si="45"/>
        <v>0</v>
      </c>
      <c r="U40" s="78">
        <f t="shared" si="36"/>
        <v>0</v>
      </c>
      <c r="V40" s="2"/>
    </row>
    <row r="41" ht="15.0" customHeight="1">
      <c r="A41" s="74" t="s">
        <v>78</v>
      </c>
      <c r="B41" s="77"/>
      <c r="C41" s="77"/>
      <c r="D41" s="77">
        <v>85.0</v>
      </c>
      <c r="E41" s="77">
        <v>1494.0</v>
      </c>
      <c r="F41" s="76">
        <f t="shared" si="32"/>
        <v>1579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85</v>
      </c>
      <c r="T41" s="77">
        <f t="shared" si="45"/>
        <v>1494</v>
      </c>
      <c r="U41" s="78">
        <f t="shared" si="36"/>
        <v>1579</v>
      </c>
      <c r="V41" s="2"/>
    </row>
    <row r="42" ht="15.0" customHeight="1">
      <c r="A42" s="74" t="s">
        <v>79</v>
      </c>
      <c r="B42" s="77"/>
      <c r="C42" s="77"/>
      <c r="D42" s="77"/>
      <c r="E42" s="77">
        <v>121.0</v>
      </c>
      <c r="F42" s="76">
        <f t="shared" si="32"/>
        <v>121</v>
      </c>
      <c r="G42" s="77"/>
      <c r="H42" s="77"/>
      <c r="I42" s="77"/>
      <c r="J42" s="77">
        <v>247.0</v>
      </c>
      <c r="K42" s="76">
        <f t="shared" si="33"/>
        <v>247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0</v>
      </c>
      <c r="T42" s="77">
        <f t="shared" si="49"/>
        <v>368</v>
      </c>
      <c r="U42" s="78">
        <f t="shared" si="36"/>
        <v>368</v>
      </c>
      <c r="V42" s="2"/>
    </row>
    <row r="43" ht="15.0" customHeight="1">
      <c r="A43" s="74" t="s">
        <v>80</v>
      </c>
      <c r="B43" s="77"/>
      <c r="C43" s="77"/>
      <c r="D43" s="77"/>
      <c r="E43" s="77"/>
      <c r="F43" s="76">
        <f t="shared" si="32"/>
        <v>0</v>
      </c>
      <c r="G43" s="77"/>
      <c r="H43" s="77"/>
      <c r="I43" s="77">
        <v>145.0</v>
      </c>
      <c r="J43" s="77">
        <v>410.0</v>
      </c>
      <c r="K43" s="76">
        <f t="shared" si="33"/>
        <v>555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145</v>
      </c>
      <c r="T43" s="77">
        <f t="shared" si="50"/>
        <v>410</v>
      </c>
      <c r="U43" s="78">
        <f t="shared" si="36"/>
        <v>555</v>
      </c>
      <c r="V43" s="2"/>
    </row>
    <row r="44" ht="15.75" customHeight="1">
      <c r="A44" s="74" t="s">
        <v>81</v>
      </c>
      <c r="B44" s="77"/>
      <c r="C44" s="77"/>
      <c r="D44" s="77">
        <v>68.0</v>
      </c>
      <c r="E44" s="77">
        <v>147.0</v>
      </c>
      <c r="F44" s="76">
        <f t="shared" si="32"/>
        <v>215</v>
      </c>
      <c r="G44" s="77"/>
      <c r="H44" s="77"/>
      <c r="I44" s="77"/>
      <c r="J44" s="77">
        <v>116.0</v>
      </c>
      <c r="K44" s="76">
        <f t="shared" si="33"/>
        <v>116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0</v>
      </c>
      <c r="S44" s="77">
        <f t="shared" si="51"/>
        <v>68</v>
      </c>
      <c r="T44" s="77">
        <f t="shared" si="51"/>
        <v>263</v>
      </c>
      <c r="U44" s="78">
        <f t="shared" si="36"/>
        <v>331</v>
      </c>
      <c r="V44" s="2"/>
    </row>
    <row r="45" ht="15.75" customHeight="1">
      <c r="A45" s="72" t="s">
        <v>82</v>
      </c>
      <c r="B45" s="73">
        <f t="shared" ref="B45:U45" si="52">SUM(B46:B63)</f>
        <v>4</v>
      </c>
      <c r="C45" s="73">
        <f t="shared" si="52"/>
        <v>236</v>
      </c>
      <c r="D45" s="73">
        <f t="shared" si="52"/>
        <v>404</v>
      </c>
      <c r="E45" s="73">
        <f t="shared" si="52"/>
        <v>2270</v>
      </c>
      <c r="F45" s="81">
        <f t="shared" si="52"/>
        <v>2914</v>
      </c>
      <c r="G45" s="73">
        <f t="shared" si="52"/>
        <v>0</v>
      </c>
      <c r="H45" s="73">
        <f t="shared" si="52"/>
        <v>534</v>
      </c>
      <c r="I45" s="73">
        <f t="shared" si="52"/>
        <v>35</v>
      </c>
      <c r="J45" s="73">
        <f t="shared" si="52"/>
        <v>1008</v>
      </c>
      <c r="K45" s="81">
        <f t="shared" si="52"/>
        <v>1577</v>
      </c>
      <c r="L45" s="73">
        <f t="shared" si="52"/>
        <v>32</v>
      </c>
      <c r="M45" s="73">
        <f t="shared" si="52"/>
        <v>0</v>
      </c>
      <c r="N45" s="73">
        <f t="shared" si="52"/>
        <v>0</v>
      </c>
      <c r="O45" s="73">
        <f t="shared" si="52"/>
        <v>0</v>
      </c>
      <c r="P45" s="81">
        <f t="shared" si="52"/>
        <v>32</v>
      </c>
      <c r="Q45" s="73">
        <f t="shared" si="52"/>
        <v>36</v>
      </c>
      <c r="R45" s="73">
        <f t="shared" si="52"/>
        <v>770</v>
      </c>
      <c r="S45" s="73">
        <f t="shared" si="52"/>
        <v>439</v>
      </c>
      <c r="T45" s="73">
        <f t="shared" si="52"/>
        <v>3278</v>
      </c>
      <c r="U45" s="73">
        <f t="shared" si="52"/>
        <v>4523</v>
      </c>
      <c r="V45" s="2" t="s">
        <v>114</v>
      </c>
    </row>
    <row r="46" ht="15.0" customHeight="1">
      <c r="A46" s="74" t="s">
        <v>83</v>
      </c>
      <c r="B46" s="75"/>
      <c r="C46" s="75"/>
      <c r="D46" s="75"/>
      <c r="E46" s="75">
        <v>80.0</v>
      </c>
      <c r="F46" s="76">
        <f t="shared" ref="F46:F63" si="54">SUM(B46:E46)</f>
        <v>80</v>
      </c>
      <c r="G46" s="75"/>
      <c r="H46" s="75"/>
      <c r="I46" s="75"/>
      <c r="J46" s="75"/>
      <c r="K46" s="76">
        <f t="shared" ref="K46:K63" si="55">SUM(G46:J46)</f>
        <v>0</v>
      </c>
      <c r="L46" s="75"/>
      <c r="M46" s="75"/>
      <c r="N46" s="75"/>
      <c r="O46" s="75"/>
      <c r="P46" s="76">
        <f t="shared" ref="P46:P63" si="56">SUM(L46:O46)</f>
        <v>0</v>
      </c>
      <c r="Q46" s="75">
        <f t="shared" ref="Q46:T46" si="53">SUM(B46,G46,L46)</f>
        <v>0</v>
      </c>
      <c r="R46" s="75">
        <f t="shared" si="53"/>
        <v>0</v>
      </c>
      <c r="S46" s="75">
        <f t="shared" si="53"/>
        <v>0</v>
      </c>
      <c r="T46" s="75">
        <f t="shared" si="53"/>
        <v>80</v>
      </c>
      <c r="U46" s="76">
        <f t="shared" ref="U46:U63" si="58">SUM(Q46:T46)</f>
        <v>80</v>
      </c>
      <c r="V46" s="2"/>
    </row>
    <row r="47" ht="15.0" customHeight="1">
      <c r="A47" s="74" t="s">
        <v>84</v>
      </c>
      <c r="B47" s="77"/>
      <c r="C47" s="77"/>
      <c r="D47" s="77"/>
      <c r="E47" s="2"/>
      <c r="F47" s="76">
        <f t="shared" si="54"/>
        <v>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0</v>
      </c>
      <c r="U47" s="78">
        <f t="shared" si="58"/>
        <v>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2.0</v>
      </c>
      <c r="C49" s="77">
        <v>3.0</v>
      </c>
      <c r="D49" s="77"/>
      <c r="E49" s="77"/>
      <c r="F49" s="76">
        <f t="shared" si="54"/>
        <v>5</v>
      </c>
      <c r="G49" s="77"/>
      <c r="H49" s="77"/>
      <c r="I49" s="77"/>
      <c r="J49" s="77"/>
      <c r="K49" s="76">
        <f t="shared" si="55"/>
        <v>0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2</v>
      </c>
      <c r="R49" s="75">
        <f t="shared" si="60"/>
        <v>3</v>
      </c>
      <c r="S49" s="75">
        <f t="shared" si="60"/>
        <v>0</v>
      </c>
      <c r="T49" s="75">
        <f t="shared" si="60"/>
        <v>0</v>
      </c>
      <c r="U49" s="78">
        <f t="shared" si="58"/>
        <v>5</v>
      </c>
      <c r="V49" s="2"/>
    </row>
    <row r="50" ht="15.0" customHeight="1">
      <c r="A50" s="74" t="s">
        <v>87</v>
      </c>
      <c r="B50" s="77"/>
      <c r="C50" s="77">
        <v>38.0</v>
      </c>
      <c r="D50" s="77">
        <v>277.0</v>
      </c>
      <c r="E50" s="77">
        <v>1451.0</v>
      </c>
      <c r="F50" s="76">
        <f t="shared" si="54"/>
        <v>1766</v>
      </c>
      <c r="G50" s="77"/>
      <c r="H50" s="77"/>
      <c r="I50" s="77"/>
      <c r="J50" s="77">
        <v>574.0</v>
      </c>
      <c r="K50" s="76">
        <f t="shared" si="55"/>
        <v>574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0</v>
      </c>
      <c r="R50" s="75">
        <f t="shared" si="61"/>
        <v>38</v>
      </c>
      <c r="S50" s="75">
        <f t="shared" si="61"/>
        <v>277</v>
      </c>
      <c r="T50" s="75">
        <f t="shared" si="61"/>
        <v>2025</v>
      </c>
      <c r="U50" s="78">
        <f t="shared" si="58"/>
        <v>2340</v>
      </c>
      <c r="V50" s="2"/>
    </row>
    <row r="51" ht="15.0" customHeight="1">
      <c r="A51" s="74" t="s">
        <v>88</v>
      </c>
      <c r="B51" s="77"/>
      <c r="C51" s="77">
        <v>20.0</v>
      </c>
      <c r="D51" s="77">
        <v>84.0</v>
      </c>
      <c r="E51" s="77">
        <v>56.0</v>
      </c>
      <c r="F51" s="76">
        <f t="shared" si="54"/>
        <v>160</v>
      </c>
      <c r="G51" s="77"/>
      <c r="H51" s="77">
        <v>3.0</v>
      </c>
      <c r="I51" s="77">
        <v>3.0</v>
      </c>
      <c r="J51" s="77">
        <v>117.0</v>
      </c>
      <c r="K51" s="76">
        <f t="shared" si="55"/>
        <v>123</v>
      </c>
      <c r="L51" s="77"/>
      <c r="M51" s="77"/>
      <c r="N51" s="77"/>
      <c r="O51" s="77"/>
      <c r="P51" s="76">
        <f t="shared" si="56"/>
        <v>0</v>
      </c>
      <c r="Q51" s="75">
        <f t="shared" ref="Q51:T51" si="62">SUM(B51,G51,L51)</f>
        <v>0</v>
      </c>
      <c r="R51" s="75">
        <f t="shared" si="62"/>
        <v>23</v>
      </c>
      <c r="S51" s="75">
        <f t="shared" si="62"/>
        <v>87</v>
      </c>
      <c r="T51" s="75">
        <f t="shared" si="62"/>
        <v>173</v>
      </c>
      <c r="U51" s="78">
        <f t="shared" si="58"/>
        <v>283</v>
      </c>
      <c r="V51" s="2"/>
    </row>
    <row r="52" ht="15.0" customHeight="1">
      <c r="A52" s="83" t="s">
        <v>89</v>
      </c>
      <c r="B52" s="84"/>
      <c r="C52" s="84"/>
      <c r="D52" s="84">
        <v>43.0</v>
      </c>
      <c r="E52" s="84">
        <v>123.0</v>
      </c>
      <c r="F52" s="85">
        <f t="shared" si="54"/>
        <v>166</v>
      </c>
      <c r="G52" s="84"/>
      <c r="H52" s="84"/>
      <c r="I52" s="84">
        <v>32.0</v>
      </c>
      <c r="J52" s="84">
        <v>79.0</v>
      </c>
      <c r="K52" s="85">
        <f t="shared" si="55"/>
        <v>111</v>
      </c>
      <c r="L52" s="84"/>
      <c r="M52" s="84"/>
      <c r="N52" s="84"/>
      <c r="O52" s="84"/>
      <c r="P52" s="85">
        <f t="shared" si="56"/>
        <v>0</v>
      </c>
      <c r="Q52" s="86">
        <f t="shared" ref="Q52:T52" si="63">SUM(B52,G52,L52)</f>
        <v>0</v>
      </c>
      <c r="R52" s="86">
        <f t="shared" si="63"/>
        <v>0</v>
      </c>
      <c r="S52" s="86">
        <f t="shared" si="63"/>
        <v>75</v>
      </c>
      <c r="T52" s="86">
        <f t="shared" si="63"/>
        <v>202</v>
      </c>
      <c r="U52" s="87">
        <f t="shared" si="58"/>
        <v>277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/>
      <c r="C53" s="77"/>
      <c r="D53" s="77"/>
      <c r="E53" s="77"/>
      <c r="F53" s="76">
        <f t="shared" si="54"/>
        <v>0</v>
      </c>
      <c r="G53" s="77"/>
      <c r="H53" s="77"/>
      <c r="I53" s="77"/>
      <c r="J53" s="77"/>
      <c r="K53" s="76">
        <f t="shared" si="55"/>
        <v>0</v>
      </c>
      <c r="L53" s="77">
        <v>7.0</v>
      </c>
      <c r="M53" s="77"/>
      <c r="N53" s="77"/>
      <c r="O53" s="77"/>
      <c r="P53" s="76">
        <f t="shared" si="56"/>
        <v>7</v>
      </c>
      <c r="Q53" s="75">
        <f t="shared" ref="Q53:T53" si="64">SUM(B53,G53,L53)</f>
        <v>7</v>
      </c>
      <c r="R53" s="75">
        <f t="shared" si="64"/>
        <v>0</v>
      </c>
      <c r="S53" s="75">
        <f t="shared" si="64"/>
        <v>0</v>
      </c>
      <c r="T53" s="75">
        <f t="shared" si="64"/>
        <v>0</v>
      </c>
      <c r="U53" s="78">
        <f t="shared" si="58"/>
        <v>7</v>
      </c>
      <c r="V53" s="2"/>
    </row>
    <row r="54" ht="15.0" customHeight="1">
      <c r="A54" s="74" t="s">
        <v>91</v>
      </c>
      <c r="B54" s="77"/>
      <c r="C54" s="77"/>
      <c r="D54" s="77"/>
      <c r="E54" s="77"/>
      <c r="F54" s="76">
        <f t="shared" si="54"/>
        <v>0</v>
      </c>
      <c r="G54" s="77"/>
      <c r="H54" s="77"/>
      <c r="I54" s="77"/>
      <c r="J54" s="77"/>
      <c r="K54" s="76">
        <f t="shared" si="55"/>
        <v>0</v>
      </c>
      <c r="L54" s="77"/>
      <c r="M54" s="77"/>
      <c r="N54" s="77"/>
      <c r="O54" s="77"/>
      <c r="P54" s="76">
        <f t="shared" si="56"/>
        <v>0</v>
      </c>
      <c r="Q54" s="75">
        <f t="shared" ref="Q54:T54" si="65">SUM(B54,G54,L54)</f>
        <v>0</v>
      </c>
      <c r="R54" s="75">
        <f t="shared" si="65"/>
        <v>0</v>
      </c>
      <c r="S54" s="75">
        <f t="shared" si="65"/>
        <v>0</v>
      </c>
      <c r="T54" s="75">
        <f t="shared" si="65"/>
        <v>0</v>
      </c>
      <c r="U54" s="78">
        <f t="shared" si="58"/>
        <v>0</v>
      </c>
      <c r="V54" s="2"/>
    </row>
    <row r="55" ht="15.0" customHeight="1">
      <c r="A55" s="74" t="s">
        <v>92</v>
      </c>
      <c r="B55" s="77"/>
      <c r="C55" s="77"/>
      <c r="D55" s="77"/>
      <c r="E55" s="77">
        <v>7.0</v>
      </c>
      <c r="F55" s="76">
        <f t="shared" si="54"/>
        <v>7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6">SUM(B55,G55,L55)</f>
        <v>0</v>
      </c>
      <c r="R55" s="75">
        <f t="shared" si="66"/>
        <v>0</v>
      </c>
      <c r="S55" s="75">
        <f t="shared" si="66"/>
        <v>0</v>
      </c>
      <c r="T55" s="75">
        <f t="shared" si="66"/>
        <v>7</v>
      </c>
      <c r="U55" s="78">
        <f t="shared" si="58"/>
        <v>7</v>
      </c>
      <c r="V55" s="2"/>
    </row>
    <row r="56" ht="15.0" customHeight="1">
      <c r="A56" s="74" t="s">
        <v>93</v>
      </c>
      <c r="B56" s="77"/>
      <c r="C56" s="77"/>
      <c r="D56" s="77"/>
      <c r="E56" s="77"/>
      <c r="F56" s="76">
        <f t="shared" si="54"/>
        <v>0</v>
      </c>
      <c r="G56" s="77"/>
      <c r="H56" s="77"/>
      <c r="I56" s="77"/>
      <c r="J56" s="77"/>
      <c r="K56" s="76">
        <f t="shared" si="55"/>
        <v>0</v>
      </c>
      <c r="L56" s="90"/>
      <c r="M56" s="90"/>
      <c r="N56" s="90"/>
      <c r="O56" s="90"/>
      <c r="P56" s="76">
        <f t="shared" si="56"/>
        <v>0</v>
      </c>
      <c r="Q56" s="75">
        <f t="shared" ref="Q56:T56" si="67">SUM(B56,G56,L56)</f>
        <v>0</v>
      </c>
      <c r="R56" s="75">
        <f t="shared" si="67"/>
        <v>0</v>
      </c>
      <c r="S56" s="75">
        <f t="shared" si="67"/>
        <v>0</v>
      </c>
      <c r="T56" s="75">
        <f t="shared" si="67"/>
        <v>0</v>
      </c>
      <c r="U56" s="91">
        <f t="shared" si="58"/>
        <v>0</v>
      </c>
      <c r="V56" s="2"/>
    </row>
    <row r="57" ht="15.0" customHeight="1">
      <c r="A57" s="74" t="s">
        <v>94</v>
      </c>
      <c r="B57" s="77">
        <v>2.0</v>
      </c>
      <c r="C57" s="77">
        <v>175.0</v>
      </c>
      <c r="D57" s="77"/>
      <c r="E57" s="77"/>
      <c r="F57" s="76">
        <f t="shared" si="54"/>
        <v>177</v>
      </c>
      <c r="G57" s="77"/>
      <c r="H57" s="77"/>
      <c r="I57" s="77"/>
      <c r="J57" s="2"/>
      <c r="K57" s="76">
        <f t="shared" si="55"/>
        <v>0</v>
      </c>
      <c r="L57" s="77"/>
      <c r="M57" s="77"/>
      <c r="N57" s="77"/>
      <c r="O57" s="77"/>
      <c r="P57" s="76">
        <f t="shared" si="56"/>
        <v>0</v>
      </c>
      <c r="Q57" s="75">
        <f t="shared" ref="Q57:T57" si="68">SUM(B57,G57,L57)</f>
        <v>2</v>
      </c>
      <c r="R57" s="75">
        <f t="shared" si="68"/>
        <v>175</v>
      </c>
      <c r="S57" s="75">
        <f t="shared" si="68"/>
        <v>0</v>
      </c>
      <c r="T57" s="75">
        <f t="shared" si="68"/>
        <v>0</v>
      </c>
      <c r="U57" s="91">
        <f t="shared" si="58"/>
        <v>177</v>
      </c>
      <c r="V57" s="2"/>
    </row>
    <row r="58" ht="15.0" customHeight="1">
      <c r="A58" s="74" t="s">
        <v>95</v>
      </c>
      <c r="B58" s="77"/>
      <c r="C58" s="77"/>
      <c r="D58" s="77"/>
      <c r="E58" s="77"/>
      <c r="F58" s="76">
        <f t="shared" si="54"/>
        <v>0</v>
      </c>
      <c r="G58" s="77"/>
      <c r="H58" s="77"/>
      <c r="I58" s="77"/>
      <c r="J58" s="77"/>
      <c r="K58" s="76">
        <f t="shared" si="55"/>
        <v>0</v>
      </c>
      <c r="L58" s="77">
        <v>25.0</v>
      </c>
      <c r="M58" s="77"/>
      <c r="N58" s="77"/>
      <c r="O58" s="77"/>
      <c r="P58" s="76">
        <f t="shared" si="56"/>
        <v>25</v>
      </c>
      <c r="Q58" s="75">
        <f t="shared" ref="Q58:T58" si="69">SUM(B58,G58,L58)</f>
        <v>25</v>
      </c>
      <c r="R58" s="75">
        <f t="shared" si="69"/>
        <v>0</v>
      </c>
      <c r="S58" s="75">
        <f t="shared" si="69"/>
        <v>0</v>
      </c>
      <c r="T58" s="75">
        <f t="shared" si="69"/>
        <v>0</v>
      </c>
      <c r="U58" s="91">
        <f t="shared" si="58"/>
        <v>25</v>
      </c>
      <c r="V58" s="2"/>
    </row>
    <row r="59" ht="15.0" customHeight="1">
      <c r="A59" s="74" t="s">
        <v>96</v>
      </c>
      <c r="B59" s="77"/>
      <c r="C59" s="77"/>
      <c r="D59" s="77"/>
      <c r="E59" s="77"/>
      <c r="F59" s="76">
        <f t="shared" si="54"/>
        <v>0</v>
      </c>
      <c r="G59" s="82"/>
      <c r="H59" s="82"/>
      <c r="I59" s="82"/>
      <c r="J59" s="82"/>
      <c r="K59" s="76">
        <f t="shared" si="55"/>
        <v>0</v>
      </c>
      <c r="L59" s="77"/>
      <c r="M59" s="77"/>
      <c r="N59" s="77"/>
      <c r="O59" s="77"/>
      <c r="P59" s="76">
        <f t="shared" si="56"/>
        <v>0</v>
      </c>
      <c r="Q59" s="75">
        <f t="shared" ref="Q59:T59" si="70">SUM(B59,G59,L59)</f>
        <v>0</v>
      </c>
      <c r="R59" s="75">
        <f t="shared" si="70"/>
        <v>0</v>
      </c>
      <c r="S59" s="75">
        <f t="shared" si="70"/>
        <v>0</v>
      </c>
      <c r="T59" s="75">
        <f t="shared" si="70"/>
        <v>0</v>
      </c>
      <c r="U59" s="91">
        <f t="shared" si="58"/>
        <v>0</v>
      </c>
      <c r="V59" s="2"/>
    </row>
    <row r="60" ht="15.0" customHeight="1">
      <c r="A60" s="74" t="s">
        <v>17</v>
      </c>
      <c r="B60" s="77"/>
      <c r="C60" s="77"/>
      <c r="D60" s="77"/>
      <c r="E60" s="77"/>
      <c r="F60" s="76">
        <f t="shared" si="54"/>
        <v>0</v>
      </c>
      <c r="G60" s="77"/>
      <c r="H60" s="77"/>
      <c r="I60" s="77"/>
      <c r="J60" s="77"/>
      <c r="K60" s="76">
        <f t="shared" si="55"/>
        <v>0</v>
      </c>
      <c r="L60" s="77"/>
      <c r="M60" s="77"/>
      <c r="N60" s="77"/>
      <c r="O60" s="77"/>
      <c r="P60" s="76">
        <f t="shared" si="56"/>
        <v>0</v>
      </c>
      <c r="Q60" s="75">
        <f t="shared" ref="Q60:T60" si="71">SUM(B60,G60,L60)</f>
        <v>0</v>
      </c>
      <c r="R60" s="75">
        <f t="shared" si="71"/>
        <v>0</v>
      </c>
      <c r="S60" s="75">
        <f t="shared" si="71"/>
        <v>0</v>
      </c>
      <c r="T60" s="75">
        <f t="shared" si="71"/>
        <v>0</v>
      </c>
      <c r="U60" s="78">
        <f t="shared" si="58"/>
        <v>0</v>
      </c>
      <c r="V60" s="2"/>
    </row>
    <row r="61" ht="15.0" customHeight="1">
      <c r="A61" s="74" t="s">
        <v>78</v>
      </c>
      <c r="B61" s="80"/>
      <c r="C61" s="80"/>
      <c r="D61" s="80"/>
      <c r="E61" s="80">
        <v>247.0</v>
      </c>
      <c r="F61" s="76">
        <f t="shared" si="54"/>
        <v>247</v>
      </c>
      <c r="G61" s="77"/>
      <c r="H61" s="77">
        <v>531.0</v>
      </c>
      <c r="I61" s="77"/>
      <c r="J61" s="77"/>
      <c r="K61" s="76">
        <f t="shared" si="55"/>
        <v>531</v>
      </c>
      <c r="L61" s="77"/>
      <c r="M61" s="77"/>
      <c r="N61" s="77"/>
      <c r="O61" s="77"/>
      <c r="P61" s="76">
        <f t="shared" si="56"/>
        <v>0</v>
      </c>
      <c r="Q61" s="75">
        <f t="shared" ref="Q61:T61" si="72">SUM(B61,G61,L61)</f>
        <v>0</v>
      </c>
      <c r="R61" s="75">
        <f t="shared" si="72"/>
        <v>531</v>
      </c>
      <c r="S61" s="75">
        <f t="shared" si="72"/>
        <v>0</v>
      </c>
      <c r="T61" s="75">
        <f t="shared" si="72"/>
        <v>247</v>
      </c>
      <c r="U61" s="78">
        <f t="shared" si="58"/>
        <v>778</v>
      </c>
      <c r="V61" s="2"/>
    </row>
    <row r="62" ht="15.0" customHeight="1">
      <c r="A62" s="74" t="s">
        <v>97</v>
      </c>
      <c r="B62" s="77"/>
      <c r="C62" s="77"/>
      <c r="D62" s="77"/>
      <c r="E62" s="77"/>
      <c r="F62" s="76">
        <f t="shared" si="54"/>
        <v>0</v>
      </c>
      <c r="G62" s="77"/>
      <c r="H62" s="77"/>
      <c r="I62" s="77"/>
      <c r="J62" s="77"/>
      <c r="K62" s="76">
        <f t="shared" si="55"/>
        <v>0</v>
      </c>
      <c r="L62" s="77"/>
      <c r="M62" s="77"/>
      <c r="N62" s="77"/>
      <c r="O62" s="77"/>
      <c r="P62" s="76">
        <f t="shared" si="56"/>
        <v>0</v>
      </c>
      <c r="Q62" s="75">
        <f t="shared" ref="Q62:T62" si="73">SUM(B62,G62,L62)</f>
        <v>0</v>
      </c>
      <c r="R62" s="75">
        <f t="shared" si="73"/>
        <v>0</v>
      </c>
      <c r="S62" s="75">
        <f t="shared" si="73"/>
        <v>0</v>
      </c>
      <c r="T62" s="75">
        <f t="shared" si="73"/>
        <v>0</v>
      </c>
      <c r="U62" s="78">
        <f t="shared" si="58"/>
        <v>0</v>
      </c>
      <c r="V62" s="2"/>
    </row>
    <row r="63" ht="15.75" customHeight="1">
      <c r="A63" s="74" t="s">
        <v>98</v>
      </c>
      <c r="B63" s="77"/>
      <c r="C63" s="77"/>
      <c r="D63" s="77"/>
      <c r="E63" s="77">
        <v>306.0</v>
      </c>
      <c r="F63" s="76">
        <f t="shared" si="54"/>
        <v>306</v>
      </c>
      <c r="G63" s="77"/>
      <c r="H63" s="77"/>
      <c r="I63" s="77"/>
      <c r="J63" s="77">
        <v>238.0</v>
      </c>
      <c r="K63" s="76">
        <f t="shared" si="55"/>
        <v>238</v>
      </c>
      <c r="L63" s="77"/>
      <c r="M63" s="77"/>
      <c r="N63" s="77"/>
      <c r="O63" s="77"/>
      <c r="P63" s="76">
        <f t="shared" si="56"/>
        <v>0</v>
      </c>
      <c r="Q63" s="75">
        <f t="shared" ref="Q63:T63" si="74">SUM(B63,G63,L63)</f>
        <v>0</v>
      </c>
      <c r="R63" s="75">
        <f t="shared" si="74"/>
        <v>0</v>
      </c>
      <c r="S63" s="75">
        <f t="shared" si="74"/>
        <v>0</v>
      </c>
      <c r="T63" s="75">
        <f t="shared" si="74"/>
        <v>544</v>
      </c>
      <c r="U63" s="78">
        <f t="shared" si="58"/>
        <v>544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5">SUM(C65:C78)</f>
        <v>2705</v>
      </c>
      <c r="D64" s="73">
        <f t="shared" si="75"/>
        <v>0</v>
      </c>
      <c r="E64" s="73">
        <f t="shared" si="75"/>
        <v>0</v>
      </c>
      <c r="F64" s="73">
        <f t="shared" si="75"/>
        <v>2705</v>
      </c>
      <c r="G64" s="73">
        <f t="shared" si="75"/>
        <v>0</v>
      </c>
      <c r="H64" s="73">
        <f t="shared" si="75"/>
        <v>1875</v>
      </c>
      <c r="I64" s="73">
        <f t="shared" si="75"/>
        <v>0</v>
      </c>
      <c r="J64" s="73">
        <f t="shared" si="75"/>
        <v>0</v>
      </c>
      <c r="K64" s="73">
        <f t="shared" si="75"/>
        <v>1875</v>
      </c>
      <c r="L64" s="73">
        <f t="shared" ref="L64:U64" si="76">SUM(L65:L79)</f>
        <v>0</v>
      </c>
      <c r="M64" s="73">
        <f t="shared" si="76"/>
        <v>0</v>
      </c>
      <c r="N64" s="73">
        <f t="shared" si="76"/>
        <v>0</v>
      </c>
      <c r="O64" s="73">
        <f t="shared" si="76"/>
        <v>0</v>
      </c>
      <c r="P64" s="73">
        <f t="shared" si="76"/>
        <v>0</v>
      </c>
      <c r="Q64" s="73">
        <f t="shared" si="76"/>
        <v>0</v>
      </c>
      <c r="R64" s="73">
        <f t="shared" si="76"/>
        <v>4580</v>
      </c>
      <c r="S64" s="73">
        <f t="shared" si="76"/>
        <v>0</v>
      </c>
      <c r="T64" s="73">
        <f t="shared" si="76"/>
        <v>0</v>
      </c>
      <c r="U64" s="73">
        <f t="shared" si="76"/>
        <v>4580</v>
      </c>
      <c r="V64" s="2"/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8">SUM(B65:E65)</f>
        <v>108</v>
      </c>
      <c r="G65" s="75"/>
      <c r="H65" s="75">
        <v>195.0</v>
      </c>
      <c r="I65" s="75"/>
      <c r="J65" s="75"/>
      <c r="K65" s="76">
        <f t="shared" ref="K65:K79" si="79">SUM(G65:J65)</f>
        <v>195</v>
      </c>
      <c r="L65" s="75"/>
      <c r="M65" s="75"/>
      <c r="N65" s="75"/>
      <c r="O65" s="75"/>
      <c r="P65" s="76">
        <f t="shared" ref="P65:P79" si="80">SUM(L65:O65)</f>
        <v>0</v>
      </c>
      <c r="Q65" s="75">
        <f t="shared" ref="Q65:T65" si="77">B65+G65+L65</f>
        <v>0</v>
      </c>
      <c r="R65" s="75">
        <f t="shared" si="77"/>
        <v>303</v>
      </c>
      <c r="S65" s="75">
        <f t="shared" si="77"/>
        <v>0</v>
      </c>
      <c r="T65" s="75">
        <f t="shared" si="77"/>
        <v>0</v>
      </c>
      <c r="U65" s="76">
        <f t="shared" ref="U65:U79" si="82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8"/>
        <v>439</v>
      </c>
      <c r="G66" s="77"/>
      <c r="H66" s="77">
        <v>70.0</v>
      </c>
      <c r="I66" s="77"/>
      <c r="J66" s="77"/>
      <c r="K66" s="76">
        <f t="shared" si="79"/>
        <v>70</v>
      </c>
      <c r="L66" s="77"/>
      <c r="M66" s="77"/>
      <c r="N66" s="77"/>
      <c r="O66" s="77"/>
      <c r="P66" s="78">
        <f t="shared" si="80"/>
        <v>0</v>
      </c>
      <c r="Q66" s="75">
        <f t="shared" ref="Q66:T66" si="81">B66+G66+L66</f>
        <v>0</v>
      </c>
      <c r="R66" s="75">
        <f t="shared" si="81"/>
        <v>509</v>
      </c>
      <c r="S66" s="75">
        <f t="shared" si="81"/>
        <v>0</v>
      </c>
      <c r="T66" s="75">
        <f t="shared" si="81"/>
        <v>0</v>
      </c>
      <c r="U66" s="76">
        <f t="shared" si="82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8"/>
        <v>50</v>
      </c>
      <c r="G67" s="77"/>
      <c r="H67" s="77">
        <v>41.0</v>
      </c>
      <c r="I67" s="77"/>
      <c r="J67" s="77"/>
      <c r="K67" s="76">
        <f t="shared" si="79"/>
        <v>41</v>
      </c>
      <c r="L67" s="77"/>
      <c r="M67" s="77"/>
      <c r="N67" s="77"/>
      <c r="O67" s="77"/>
      <c r="P67" s="78">
        <f t="shared" si="80"/>
        <v>0</v>
      </c>
      <c r="Q67" s="75">
        <f t="shared" ref="Q67:T67" si="83">B67+G67+L67</f>
        <v>0</v>
      </c>
      <c r="R67" s="75">
        <f t="shared" si="83"/>
        <v>91</v>
      </c>
      <c r="S67" s="75">
        <f t="shared" si="83"/>
        <v>0</v>
      </c>
      <c r="T67" s="75">
        <f t="shared" si="83"/>
        <v>0</v>
      </c>
      <c r="U67" s="76">
        <f t="shared" si="82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8"/>
        <v>58</v>
      </c>
      <c r="G68" s="77"/>
      <c r="H68" s="77">
        <v>127.0</v>
      </c>
      <c r="I68" s="77"/>
      <c r="J68" s="77"/>
      <c r="K68" s="76">
        <f t="shared" si="79"/>
        <v>127</v>
      </c>
      <c r="L68" s="77"/>
      <c r="M68" s="77"/>
      <c r="N68" s="77"/>
      <c r="O68" s="77"/>
      <c r="P68" s="78">
        <f t="shared" si="80"/>
        <v>0</v>
      </c>
      <c r="Q68" s="75">
        <f t="shared" ref="Q68:T68" si="84">B68+G68+L68</f>
        <v>0</v>
      </c>
      <c r="R68" s="75">
        <f t="shared" si="84"/>
        <v>185</v>
      </c>
      <c r="S68" s="75">
        <f t="shared" si="84"/>
        <v>0</v>
      </c>
      <c r="T68" s="75">
        <f t="shared" si="84"/>
        <v>0</v>
      </c>
      <c r="U68" s="76">
        <f t="shared" si="82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8"/>
        <v>325</v>
      </c>
      <c r="G69" s="77"/>
      <c r="H69" s="77">
        <v>324.0</v>
      </c>
      <c r="I69" s="77"/>
      <c r="J69" s="77"/>
      <c r="K69" s="76">
        <f t="shared" si="79"/>
        <v>324</v>
      </c>
      <c r="L69" s="77"/>
      <c r="M69" s="77"/>
      <c r="N69" s="77"/>
      <c r="O69" s="77"/>
      <c r="P69" s="78">
        <f t="shared" si="80"/>
        <v>0</v>
      </c>
      <c r="Q69" s="75">
        <f t="shared" ref="Q69:T69" si="85">B69+G69+L69</f>
        <v>0</v>
      </c>
      <c r="R69" s="75">
        <f t="shared" si="85"/>
        <v>649</v>
      </c>
      <c r="S69" s="75">
        <f t="shared" si="85"/>
        <v>0</v>
      </c>
      <c r="T69" s="75">
        <f t="shared" si="85"/>
        <v>0</v>
      </c>
      <c r="U69" s="76">
        <f t="shared" si="82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8"/>
        <v>392</v>
      </c>
      <c r="G70" s="77"/>
      <c r="H70" s="77">
        <v>76.0</v>
      </c>
      <c r="I70" s="77"/>
      <c r="J70" s="77"/>
      <c r="K70" s="76">
        <f t="shared" si="79"/>
        <v>76</v>
      </c>
      <c r="L70" s="77"/>
      <c r="M70" s="77"/>
      <c r="N70" s="77"/>
      <c r="O70" s="77"/>
      <c r="P70" s="78">
        <f t="shared" si="80"/>
        <v>0</v>
      </c>
      <c r="Q70" s="75">
        <f t="shared" ref="Q70:T70" si="86">B70+G70+L70</f>
        <v>0</v>
      </c>
      <c r="R70" s="75">
        <f t="shared" si="86"/>
        <v>468</v>
      </c>
      <c r="S70" s="75">
        <f t="shared" si="86"/>
        <v>0</v>
      </c>
      <c r="T70" s="75">
        <f t="shared" si="86"/>
        <v>0</v>
      </c>
      <c r="U70" s="76">
        <f t="shared" si="82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8"/>
        <v>243</v>
      </c>
      <c r="G71" s="77"/>
      <c r="H71" s="77">
        <v>268.0</v>
      </c>
      <c r="I71" s="77"/>
      <c r="J71" s="77"/>
      <c r="K71" s="76">
        <f t="shared" si="79"/>
        <v>268</v>
      </c>
      <c r="L71" s="77"/>
      <c r="M71" s="77"/>
      <c r="N71" s="77"/>
      <c r="O71" s="77"/>
      <c r="P71" s="78">
        <f t="shared" si="80"/>
        <v>0</v>
      </c>
      <c r="Q71" s="75">
        <f t="shared" ref="Q71:T71" si="87">B71+G71+L71</f>
        <v>0</v>
      </c>
      <c r="R71" s="75">
        <f t="shared" si="87"/>
        <v>511</v>
      </c>
      <c r="S71" s="75">
        <f t="shared" si="87"/>
        <v>0</v>
      </c>
      <c r="T71" s="75">
        <f t="shared" si="87"/>
        <v>0</v>
      </c>
      <c r="U71" s="76">
        <f t="shared" si="82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8"/>
        <v>184</v>
      </c>
      <c r="G72" s="90"/>
      <c r="H72" s="90">
        <v>4.0</v>
      </c>
      <c r="I72" s="90"/>
      <c r="J72" s="90"/>
      <c r="K72" s="76">
        <f t="shared" si="79"/>
        <v>4</v>
      </c>
      <c r="L72" s="90"/>
      <c r="M72" s="90"/>
      <c r="N72" s="90"/>
      <c r="O72" s="90"/>
      <c r="P72" s="91">
        <f t="shared" si="80"/>
        <v>0</v>
      </c>
      <c r="Q72" s="75">
        <f t="shared" ref="Q72:T72" si="88">B72+G72+L72</f>
        <v>0</v>
      </c>
      <c r="R72" s="75">
        <f t="shared" si="88"/>
        <v>188</v>
      </c>
      <c r="S72" s="75">
        <f t="shared" si="88"/>
        <v>0</v>
      </c>
      <c r="T72" s="75">
        <f t="shared" si="88"/>
        <v>0</v>
      </c>
      <c r="U72" s="76">
        <f t="shared" si="82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8"/>
        <v>100</v>
      </c>
      <c r="G73" s="77"/>
      <c r="H73" s="77">
        <v>41.0</v>
      </c>
      <c r="I73" s="77"/>
      <c r="J73" s="77"/>
      <c r="K73" s="76">
        <f t="shared" si="79"/>
        <v>41</v>
      </c>
      <c r="L73" s="77"/>
      <c r="M73" s="77"/>
      <c r="N73" s="77"/>
      <c r="O73" s="77"/>
      <c r="P73" s="78">
        <f t="shared" si="80"/>
        <v>0</v>
      </c>
      <c r="Q73" s="75">
        <f t="shared" ref="Q73:T73" si="89">B73+G73+L73</f>
        <v>0</v>
      </c>
      <c r="R73" s="75">
        <f t="shared" si="89"/>
        <v>141</v>
      </c>
      <c r="S73" s="75">
        <f t="shared" si="89"/>
        <v>0</v>
      </c>
      <c r="T73" s="75">
        <f t="shared" si="89"/>
        <v>0</v>
      </c>
      <c r="U73" s="76">
        <f t="shared" si="82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8"/>
        <v>264</v>
      </c>
      <c r="G74" s="77"/>
      <c r="H74" s="77">
        <v>234.0</v>
      </c>
      <c r="I74" s="77"/>
      <c r="J74" s="77"/>
      <c r="K74" s="76">
        <f t="shared" si="79"/>
        <v>234</v>
      </c>
      <c r="L74" s="77"/>
      <c r="M74" s="77"/>
      <c r="N74" s="77"/>
      <c r="O74" s="77"/>
      <c r="P74" s="78">
        <f t="shared" si="80"/>
        <v>0</v>
      </c>
      <c r="Q74" s="75">
        <f t="shared" ref="Q74:T74" si="90">B74+G74+L74</f>
        <v>0</v>
      </c>
      <c r="R74" s="75">
        <f t="shared" si="90"/>
        <v>498</v>
      </c>
      <c r="S74" s="75">
        <f t="shared" si="90"/>
        <v>0</v>
      </c>
      <c r="T74" s="75">
        <f t="shared" si="90"/>
        <v>0</v>
      </c>
      <c r="U74" s="76">
        <f t="shared" si="82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8"/>
        <v>403</v>
      </c>
      <c r="G75" s="77"/>
      <c r="H75" s="77">
        <v>14.0</v>
      </c>
      <c r="I75" s="77"/>
      <c r="J75" s="77"/>
      <c r="K75" s="76">
        <f t="shared" si="79"/>
        <v>14</v>
      </c>
      <c r="L75" s="77"/>
      <c r="M75" s="77"/>
      <c r="N75" s="77"/>
      <c r="O75" s="77"/>
      <c r="P75" s="78">
        <f t="shared" si="80"/>
        <v>0</v>
      </c>
      <c r="Q75" s="75">
        <f t="shared" ref="Q75:T75" si="91">B75+G75+L75</f>
        <v>0</v>
      </c>
      <c r="R75" s="75">
        <f t="shared" si="91"/>
        <v>417</v>
      </c>
      <c r="S75" s="75">
        <f t="shared" si="91"/>
        <v>0</v>
      </c>
      <c r="T75" s="75">
        <f t="shared" si="91"/>
        <v>0</v>
      </c>
      <c r="U75" s="76">
        <f t="shared" si="82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8"/>
        <v>15</v>
      </c>
      <c r="G76" s="77"/>
      <c r="H76" s="77">
        <v>19.0</v>
      </c>
      <c r="I76" s="77"/>
      <c r="J76" s="77"/>
      <c r="K76" s="76">
        <f t="shared" si="79"/>
        <v>19</v>
      </c>
      <c r="L76" s="77"/>
      <c r="M76" s="77"/>
      <c r="N76" s="77"/>
      <c r="O76" s="77"/>
      <c r="P76" s="78">
        <f t="shared" si="80"/>
        <v>0</v>
      </c>
      <c r="Q76" s="75">
        <f t="shared" ref="Q76:T76" si="92">B76+G76+L76</f>
        <v>0</v>
      </c>
      <c r="R76" s="75">
        <f t="shared" si="92"/>
        <v>34</v>
      </c>
      <c r="S76" s="75">
        <f t="shared" si="92"/>
        <v>0</v>
      </c>
      <c r="T76" s="75">
        <f t="shared" si="92"/>
        <v>0</v>
      </c>
      <c r="U76" s="76">
        <f t="shared" si="82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8"/>
        <v>80</v>
      </c>
      <c r="G77" s="77"/>
      <c r="H77" s="77">
        <v>418.0</v>
      </c>
      <c r="I77" s="77"/>
      <c r="J77" s="77"/>
      <c r="K77" s="76">
        <f t="shared" si="79"/>
        <v>418</v>
      </c>
      <c r="L77" s="77"/>
      <c r="M77" s="77"/>
      <c r="N77" s="77"/>
      <c r="O77" s="77"/>
      <c r="P77" s="78">
        <f t="shared" si="80"/>
        <v>0</v>
      </c>
      <c r="Q77" s="75">
        <f t="shared" ref="Q77:T77" si="93">B77+G77+L77</f>
        <v>0</v>
      </c>
      <c r="R77" s="75">
        <f t="shared" si="93"/>
        <v>498</v>
      </c>
      <c r="S77" s="75">
        <f t="shared" si="93"/>
        <v>0</v>
      </c>
      <c r="T77" s="75">
        <f t="shared" si="93"/>
        <v>0</v>
      </c>
      <c r="U77" s="76">
        <f t="shared" si="82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8"/>
        <v>44</v>
      </c>
      <c r="G78" s="77"/>
      <c r="H78" s="77">
        <v>44.0</v>
      </c>
      <c r="I78" s="77"/>
      <c r="J78" s="77"/>
      <c r="K78" s="76">
        <f t="shared" si="79"/>
        <v>44</v>
      </c>
      <c r="L78" s="77"/>
      <c r="M78" s="77"/>
      <c r="N78" s="77"/>
      <c r="O78" s="77"/>
      <c r="P78" s="78">
        <f t="shared" si="80"/>
        <v>0</v>
      </c>
      <c r="Q78" s="75">
        <f t="shared" ref="Q78:T78" si="94">B78+G78+L78</f>
        <v>0</v>
      </c>
      <c r="R78" s="75">
        <f t="shared" si="94"/>
        <v>88</v>
      </c>
      <c r="S78" s="75">
        <f t="shared" si="94"/>
        <v>0</v>
      </c>
      <c r="T78" s="75">
        <f t="shared" si="94"/>
        <v>0</v>
      </c>
      <c r="U78" s="76">
        <f t="shared" si="82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8"/>
        <v>0</v>
      </c>
      <c r="G79" s="77"/>
      <c r="H79" s="77"/>
      <c r="I79" s="77"/>
      <c r="J79" s="77"/>
      <c r="K79" s="76">
        <f t="shared" si="79"/>
        <v>0</v>
      </c>
      <c r="L79" s="77"/>
      <c r="M79" s="77"/>
      <c r="N79" s="77"/>
      <c r="O79" s="77"/>
      <c r="P79" s="78">
        <f t="shared" si="80"/>
        <v>0</v>
      </c>
      <c r="Q79" s="75">
        <f t="shared" ref="Q79:T79" si="95">B79+G79+L79</f>
        <v>0</v>
      </c>
      <c r="R79" s="75">
        <f t="shared" si="95"/>
        <v>0</v>
      </c>
      <c r="S79" s="75">
        <f t="shared" si="95"/>
        <v>0</v>
      </c>
      <c r="T79" s="75">
        <f t="shared" si="95"/>
        <v>0</v>
      </c>
      <c r="U79" s="76">
        <f t="shared" si="82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178</v>
      </c>
      <c r="C9" s="70">
        <f t="shared" si="1"/>
        <v>3855</v>
      </c>
      <c r="D9" s="70">
        <f t="shared" si="1"/>
        <v>14518</v>
      </c>
      <c r="E9" s="70">
        <f t="shared" si="1"/>
        <v>20263</v>
      </c>
      <c r="F9" s="71">
        <f t="shared" si="1"/>
        <v>38814</v>
      </c>
      <c r="G9" s="70">
        <f t="shared" si="1"/>
        <v>0</v>
      </c>
      <c r="H9" s="70">
        <f t="shared" si="1"/>
        <v>2257</v>
      </c>
      <c r="I9" s="70">
        <f t="shared" si="1"/>
        <v>4783</v>
      </c>
      <c r="J9" s="70">
        <f t="shared" si="1"/>
        <v>3907</v>
      </c>
      <c r="K9" s="71">
        <f t="shared" si="1"/>
        <v>10947</v>
      </c>
      <c r="L9" s="70">
        <f t="shared" si="1"/>
        <v>0</v>
      </c>
      <c r="M9" s="70">
        <f t="shared" si="1"/>
        <v>46</v>
      </c>
      <c r="N9" s="70">
        <f t="shared" si="1"/>
        <v>0</v>
      </c>
      <c r="O9" s="70">
        <f t="shared" si="1"/>
        <v>2</v>
      </c>
      <c r="P9" s="71">
        <f t="shared" si="1"/>
        <v>48</v>
      </c>
      <c r="Q9" s="70">
        <f t="shared" si="1"/>
        <v>178</v>
      </c>
      <c r="R9" s="70">
        <f t="shared" si="1"/>
        <v>6158</v>
      </c>
      <c r="S9" s="70">
        <f t="shared" si="1"/>
        <v>19617</v>
      </c>
      <c r="T9" s="70">
        <f t="shared" si="1"/>
        <v>24172</v>
      </c>
      <c r="U9" s="71">
        <f t="shared" si="1"/>
        <v>50125</v>
      </c>
      <c r="V9" s="2"/>
    </row>
    <row r="10" ht="15.75" customHeight="1">
      <c r="A10" s="72" t="s">
        <v>49</v>
      </c>
      <c r="B10" s="73">
        <f t="shared" ref="B10:U10" si="2">SUM(B11:B16)</f>
        <v>0</v>
      </c>
      <c r="C10" s="73">
        <f t="shared" si="2"/>
        <v>74</v>
      </c>
      <c r="D10" s="73">
        <f t="shared" si="2"/>
        <v>244</v>
      </c>
      <c r="E10" s="73">
        <f t="shared" si="2"/>
        <v>350</v>
      </c>
      <c r="F10" s="73">
        <f t="shared" si="2"/>
        <v>668</v>
      </c>
      <c r="G10" s="73">
        <f t="shared" si="2"/>
        <v>0</v>
      </c>
      <c r="H10" s="73">
        <f t="shared" si="2"/>
        <v>2</v>
      </c>
      <c r="I10" s="73">
        <f t="shared" si="2"/>
        <v>29</v>
      </c>
      <c r="J10" s="73">
        <f t="shared" si="2"/>
        <v>164</v>
      </c>
      <c r="K10" s="73">
        <f t="shared" si="2"/>
        <v>195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2</v>
      </c>
      <c r="P10" s="73">
        <f t="shared" si="2"/>
        <v>2</v>
      </c>
      <c r="Q10" s="73">
        <f t="shared" si="2"/>
        <v>0</v>
      </c>
      <c r="R10" s="73">
        <f t="shared" si="2"/>
        <v>76</v>
      </c>
      <c r="S10" s="73">
        <f t="shared" si="2"/>
        <v>273</v>
      </c>
      <c r="T10" s="73">
        <f t="shared" si="2"/>
        <v>516</v>
      </c>
      <c r="U10" s="73">
        <f t="shared" si="2"/>
        <v>865</v>
      </c>
      <c r="V10" s="2" t="s">
        <v>114</v>
      </c>
    </row>
    <row r="11" ht="15.0" customHeight="1">
      <c r="A11" s="74" t="s">
        <v>50</v>
      </c>
      <c r="B11" s="75"/>
      <c r="C11" s="75">
        <v>74.0</v>
      </c>
      <c r="D11" s="75">
        <v>91.0</v>
      </c>
      <c r="E11" s="75">
        <v>37.0</v>
      </c>
      <c r="F11" s="76">
        <f t="shared" ref="F11:F16" si="4">SUM(B11:E11)</f>
        <v>202</v>
      </c>
      <c r="G11" s="75"/>
      <c r="H11" s="75">
        <v>2.0</v>
      </c>
      <c r="I11" s="75">
        <v>10.0</v>
      </c>
      <c r="J11" s="75">
        <v>11.0</v>
      </c>
      <c r="K11" s="76">
        <f t="shared" ref="K11:K16" si="5">SUM(G11:J11)</f>
        <v>23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76</v>
      </c>
      <c r="S11" s="75">
        <f t="shared" si="3"/>
        <v>101</v>
      </c>
      <c r="T11" s="75">
        <f t="shared" si="3"/>
        <v>48</v>
      </c>
      <c r="U11" s="76">
        <f t="shared" ref="U11:U16" si="8">SUM(Q11:T11)</f>
        <v>225</v>
      </c>
      <c r="V11" s="2"/>
    </row>
    <row r="12" ht="15.0" customHeight="1">
      <c r="A12" s="74" t="s">
        <v>51</v>
      </c>
      <c r="B12" s="77"/>
      <c r="C12" s="77"/>
      <c r="D12" s="77">
        <v>2.0</v>
      </c>
      <c r="E12" s="77">
        <v>4.0</v>
      </c>
      <c r="F12" s="78">
        <f t="shared" si="4"/>
        <v>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2</v>
      </c>
      <c r="T12" s="77">
        <f t="shared" si="7"/>
        <v>4</v>
      </c>
      <c r="U12" s="78">
        <f t="shared" si="8"/>
        <v>6</v>
      </c>
      <c r="V12" s="2"/>
    </row>
    <row r="13" ht="15.0" customHeight="1">
      <c r="A13" s="74" t="s">
        <v>52</v>
      </c>
      <c r="B13" s="77"/>
      <c r="C13" s="77"/>
      <c r="D13" s="77"/>
      <c r="E13" s="77">
        <v>15.0</v>
      </c>
      <c r="F13" s="78">
        <f t="shared" si="4"/>
        <v>15</v>
      </c>
      <c r="G13" s="77"/>
      <c r="H13" s="77"/>
      <c r="I13" s="77">
        <v>16.0</v>
      </c>
      <c r="J13" s="77">
        <v>2.0</v>
      </c>
      <c r="K13" s="78">
        <f t="shared" si="5"/>
        <v>18</v>
      </c>
      <c r="L13" s="77"/>
      <c r="M13" s="77"/>
      <c r="N13" s="77"/>
      <c r="O13" s="77">
        <v>2.0</v>
      </c>
      <c r="P13" s="78">
        <f t="shared" si="6"/>
        <v>2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16</v>
      </c>
      <c r="T13" s="77">
        <f t="shared" si="9"/>
        <v>19</v>
      </c>
      <c r="U13" s="78">
        <f t="shared" si="8"/>
        <v>35</v>
      </c>
      <c r="V13" s="2"/>
    </row>
    <row r="14" ht="15.0" customHeight="1">
      <c r="A14" s="74" t="s">
        <v>53</v>
      </c>
      <c r="B14" s="77"/>
      <c r="C14" s="77"/>
      <c r="D14" s="77"/>
      <c r="E14" s="77">
        <v>156.0</v>
      </c>
      <c r="F14" s="78">
        <f t="shared" si="4"/>
        <v>156</v>
      </c>
      <c r="G14" s="77"/>
      <c r="H14" s="77"/>
      <c r="I14" s="77"/>
      <c r="J14" s="77">
        <v>76.0</v>
      </c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232</v>
      </c>
      <c r="U14" s="78">
        <f t="shared" si="8"/>
        <v>232</v>
      </c>
      <c r="V14" s="2"/>
    </row>
    <row r="15" ht="15.0" customHeight="1">
      <c r="A15" s="74" t="s">
        <v>54</v>
      </c>
      <c r="B15" s="77"/>
      <c r="C15" s="77"/>
      <c r="D15" s="77">
        <v>142.0</v>
      </c>
      <c r="E15" s="77">
        <v>50.0</v>
      </c>
      <c r="F15" s="78">
        <f t="shared" si="4"/>
        <v>192</v>
      </c>
      <c r="G15" s="77"/>
      <c r="H15" s="77"/>
      <c r="I15" s="77"/>
      <c r="J15" s="77">
        <v>18.0</v>
      </c>
      <c r="K15" s="78">
        <f t="shared" si="5"/>
        <v>18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0</v>
      </c>
      <c r="S15" s="77">
        <f t="shared" si="11"/>
        <v>142</v>
      </c>
      <c r="T15" s="77">
        <f t="shared" si="11"/>
        <v>68</v>
      </c>
      <c r="U15" s="78">
        <f t="shared" si="8"/>
        <v>210</v>
      </c>
      <c r="V15" s="2"/>
    </row>
    <row r="16" ht="15.75" customHeight="1">
      <c r="A16" s="74" t="s">
        <v>55</v>
      </c>
      <c r="B16" s="77"/>
      <c r="C16" s="77"/>
      <c r="D16" s="77">
        <v>9.0</v>
      </c>
      <c r="E16" s="77">
        <v>88.0</v>
      </c>
      <c r="F16" s="78">
        <f t="shared" si="4"/>
        <v>97</v>
      </c>
      <c r="G16" s="77"/>
      <c r="H16" s="77"/>
      <c r="I16" s="77">
        <v>3.0</v>
      </c>
      <c r="J16" s="77">
        <v>57.0</v>
      </c>
      <c r="K16" s="78">
        <f t="shared" si="5"/>
        <v>60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12</v>
      </c>
      <c r="T16" s="77">
        <f t="shared" si="12"/>
        <v>145</v>
      </c>
      <c r="U16" s="78">
        <f t="shared" si="8"/>
        <v>157</v>
      </c>
      <c r="V16" s="2"/>
    </row>
    <row r="17" ht="15.75" customHeight="1">
      <c r="A17" s="72" t="s">
        <v>56</v>
      </c>
      <c r="B17" s="73">
        <f t="shared" ref="B17:Q17" si="13">SUM(B18:B28)</f>
        <v>0</v>
      </c>
      <c r="C17" s="73">
        <f t="shared" si="13"/>
        <v>0</v>
      </c>
      <c r="D17" s="73">
        <f t="shared" si="13"/>
        <v>2683</v>
      </c>
      <c r="E17" s="73">
        <f t="shared" si="13"/>
        <v>5347</v>
      </c>
      <c r="F17" s="73">
        <f t="shared" si="13"/>
        <v>8030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0</v>
      </c>
      <c r="R17" s="73">
        <f>R18+R19+R20+R21+R22+R23+R24+R25+R26+R27+R28</f>
        <v>0</v>
      </c>
      <c r="S17" s="73">
        <f t="shared" ref="S17:U17" si="14">SUM(S18:S28)</f>
        <v>2683</v>
      </c>
      <c r="T17" s="73">
        <f t="shared" si="14"/>
        <v>5347</v>
      </c>
      <c r="U17" s="73">
        <f t="shared" si="14"/>
        <v>8030</v>
      </c>
      <c r="V17" s="2" t="s">
        <v>114</v>
      </c>
    </row>
    <row r="18" ht="15.0" customHeight="1">
      <c r="A18" s="74" t="s">
        <v>57</v>
      </c>
      <c r="B18" s="75"/>
      <c r="C18" s="75"/>
      <c r="D18" s="75"/>
      <c r="E18" s="75">
        <v>203.0</v>
      </c>
      <c r="F18" s="76">
        <f t="shared" ref="F18:F28" si="16">SUM(B18:E18)</f>
        <v>203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0</v>
      </c>
      <c r="S18" s="75">
        <f t="shared" si="15"/>
        <v>0</v>
      </c>
      <c r="T18" s="75">
        <f t="shared" si="15"/>
        <v>203</v>
      </c>
      <c r="U18" s="76">
        <f t="shared" ref="U18:U28" si="20">SUM(Q18:T18)</f>
        <v>203</v>
      </c>
      <c r="V18" s="2"/>
    </row>
    <row r="19" ht="15.0" customHeight="1">
      <c r="A19" s="74" t="s">
        <v>58</v>
      </c>
      <c r="B19" s="77"/>
      <c r="C19" s="77"/>
      <c r="D19" s="75"/>
      <c r="E19" s="75">
        <v>723.0</v>
      </c>
      <c r="F19" s="76">
        <f t="shared" si="16"/>
        <v>723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0</v>
      </c>
      <c r="S19" s="75">
        <f t="shared" si="19"/>
        <v>0</v>
      </c>
      <c r="T19" s="75">
        <f t="shared" si="19"/>
        <v>723</v>
      </c>
      <c r="U19" s="78">
        <f t="shared" si="20"/>
        <v>723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/>
      <c r="E21" s="77"/>
      <c r="F21" s="76">
        <f t="shared" si="16"/>
        <v>0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0</v>
      </c>
      <c r="T21" s="75">
        <f t="shared" si="22"/>
        <v>0</v>
      </c>
      <c r="U21" s="78">
        <f t="shared" si="20"/>
        <v>0</v>
      </c>
      <c r="V21" s="2"/>
    </row>
    <row r="22" ht="15.0" customHeight="1">
      <c r="A22" s="74" t="s">
        <v>61</v>
      </c>
      <c r="B22" s="77"/>
      <c r="C22" s="77"/>
      <c r="D22" s="77">
        <v>9.0</v>
      </c>
      <c r="E22" s="77">
        <v>527.0</v>
      </c>
      <c r="F22" s="76">
        <f t="shared" si="16"/>
        <v>536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9</v>
      </c>
      <c r="T22" s="75">
        <f t="shared" si="23"/>
        <v>527</v>
      </c>
      <c r="U22" s="78">
        <f t="shared" si="20"/>
        <v>536</v>
      </c>
      <c r="V22" s="2"/>
    </row>
    <row r="23" ht="15.0" customHeight="1">
      <c r="A23" s="74" t="s">
        <v>62</v>
      </c>
      <c r="B23" s="77"/>
      <c r="C23" s="77"/>
      <c r="D23" s="77"/>
      <c r="E23" s="77"/>
      <c r="F23" s="76">
        <f t="shared" si="16"/>
        <v>0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0</v>
      </c>
      <c r="S23" s="75">
        <f t="shared" si="24"/>
        <v>0</v>
      </c>
      <c r="T23" s="75">
        <f t="shared" si="24"/>
        <v>0</v>
      </c>
      <c r="U23" s="78">
        <f t="shared" si="20"/>
        <v>0</v>
      </c>
      <c r="V23" s="2"/>
    </row>
    <row r="24" ht="15.0" customHeight="1">
      <c r="A24" s="74" t="s">
        <v>63</v>
      </c>
      <c r="B24" s="79"/>
      <c r="C24" s="77"/>
      <c r="D24" s="77">
        <v>325.0</v>
      </c>
      <c r="E24" s="77">
        <v>16.0</v>
      </c>
      <c r="F24" s="76">
        <f t="shared" si="16"/>
        <v>341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325</v>
      </c>
      <c r="T24" s="75">
        <f t="shared" si="25"/>
        <v>16</v>
      </c>
      <c r="U24" s="78">
        <f t="shared" si="20"/>
        <v>341</v>
      </c>
      <c r="V24" s="2"/>
    </row>
    <row r="25" ht="15.0" customHeight="1">
      <c r="A25" s="74" t="s">
        <v>17</v>
      </c>
      <c r="B25" s="75"/>
      <c r="C25" s="75"/>
      <c r="D25" s="77"/>
      <c r="E25" s="77">
        <v>1298.0</v>
      </c>
      <c r="F25" s="76">
        <f t="shared" si="16"/>
        <v>1298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1298</v>
      </c>
      <c r="U25" s="76">
        <f t="shared" si="20"/>
        <v>1298</v>
      </c>
      <c r="V25" s="2"/>
    </row>
    <row r="26" ht="15.0" customHeight="1">
      <c r="A26" s="74" t="s">
        <v>64</v>
      </c>
      <c r="B26" s="77"/>
      <c r="C26" s="80"/>
      <c r="D26" s="80">
        <v>436.0</v>
      </c>
      <c r="E26" s="75">
        <v>1948.0</v>
      </c>
      <c r="F26" s="76">
        <f t="shared" si="16"/>
        <v>2384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0</v>
      </c>
      <c r="S26" s="75">
        <f t="shared" si="27"/>
        <v>436</v>
      </c>
      <c r="T26" s="75">
        <f t="shared" si="27"/>
        <v>1948</v>
      </c>
      <c r="U26" s="78">
        <f t="shared" si="20"/>
        <v>2384</v>
      </c>
      <c r="V26" s="2"/>
    </row>
    <row r="27" ht="15.0" customHeight="1">
      <c r="A27" s="74" t="s">
        <v>65</v>
      </c>
      <c r="B27" s="77"/>
      <c r="C27" s="77"/>
      <c r="D27" s="77">
        <v>1862.0</v>
      </c>
      <c r="E27" s="77">
        <v>632.0</v>
      </c>
      <c r="F27" s="76">
        <f t="shared" si="16"/>
        <v>2494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0</v>
      </c>
      <c r="S27" s="75">
        <f t="shared" si="28"/>
        <v>1862</v>
      </c>
      <c r="T27" s="75">
        <f t="shared" si="28"/>
        <v>632</v>
      </c>
      <c r="U27" s="78">
        <f t="shared" si="20"/>
        <v>2494</v>
      </c>
      <c r="V27" s="2"/>
    </row>
    <row r="28" ht="15.75" customHeight="1">
      <c r="A28" s="74" t="s">
        <v>54</v>
      </c>
      <c r="B28" s="77"/>
      <c r="C28" s="77"/>
      <c r="D28" s="77">
        <v>51.0</v>
      </c>
      <c r="E28" s="77"/>
      <c r="F28" s="76">
        <f t="shared" si="16"/>
        <v>51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0</v>
      </c>
      <c r="S28" s="75">
        <f t="shared" si="29"/>
        <v>51</v>
      </c>
      <c r="T28" s="75">
        <f t="shared" si="29"/>
        <v>0</v>
      </c>
      <c r="U28" s="78">
        <f t="shared" si="20"/>
        <v>51</v>
      </c>
      <c r="V28" s="2"/>
    </row>
    <row r="29" ht="15.75" customHeight="1">
      <c r="A29" s="72" t="s">
        <v>66</v>
      </c>
      <c r="B29" s="73">
        <f t="shared" ref="B29:U29" si="30">SUM(B30:B44)</f>
        <v>0</v>
      </c>
      <c r="C29" s="73">
        <f t="shared" si="30"/>
        <v>582</v>
      </c>
      <c r="D29" s="73">
        <f t="shared" si="30"/>
        <v>8741</v>
      </c>
      <c r="E29" s="73">
        <f t="shared" si="30"/>
        <v>10483</v>
      </c>
      <c r="F29" s="81">
        <f t="shared" si="30"/>
        <v>19806</v>
      </c>
      <c r="G29" s="73">
        <f t="shared" si="30"/>
        <v>0</v>
      </c>
      <c r="H29" s="73">
        <f t="shared" si="30"/>
        <v>149</v>
      </c>
      <c r="I29" s="73">
        <f t="shared" si="30"/>
        <v>1846</v>
      </c>
      <c r="J29" s="73">
        <f t="shared" si="30"/>
        <v>1566</v>
      </c>
      <c r="K29" s="81">
        <f t="shared" si="30"/>
        <v>3561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0</v>
      </c>
      <c r="R29" s="73">
        <f t="shared" si="30"/>
        <v>777</v>
      </c>
      <c r="S29" s="73">
        <f t="shared" si="30"/>
        <v>10903</v>
      </c>
      <c r="T29" s="73">
        <f t="shared" si="30"/>
        <v>12049</v>
      </c>
      <c r="U29" s="81">
        <f t="shared" si="30"/>
        <v>23729</v>
      </c>
      <c r="V29" s="2"/>
    </row>
    <row r="30" ht="15.0" customHeight="1">
      <c r="A30" s="74" t="s">
        <v>67</v>
      </c>
      <c r="B30" s="75"/>
      <c r="C30" s="75"/>
      <c r="D30" s="75">
        <v>519.0</v>
      </c>
      <c r="E30" s="75">
        <v>517.0</v>
      </c>
      <c r="F30" s="76">
        <f t="shared" ref="F30:F44" si="32">SUM(B30:E30)</f>
        <v>1036</v>
      </c>
      <c r="G30" s="75"/>
      <c r="H30" s="75">
        <v>65.0</v>
      </c>
      <c r="I30" s="75">
        <v>533.0</v>
      </c>
      <c r="J30" s="75">
        <v>312.0</v>
      </c>
      <c r="K30" s="76">
        <f t="shared" ref="K30:K44" si="33">SUM(G30:J30)</f>
        <v>910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65</v>
      </c>
      <c r="S30" s="75">
        <f t="shared" si="31"/>
        <v>1052</v>
      </c>
      <c r="T30" s="75">
        <f t="shared" si="31"/>
        <v>829</v>
      </c>
      <c r="U30" s="76">
        <f t="shared" ref="U30:U44" si="36">SUM(Q30:T30)</f>
        <v>1946</v>
      </c>
      <c r="V30" s="2"/>
    </row>
    <row r="31" ht="15.0" customHeight="1">
      <c r="A31" s="74" t="s">
        <v>68</v>
      </c>
      <c r="B31" s="77"/>
      <c r="C31" s="77"/>
      <c r="D31" s="77">
        <v>458.0</v>
      </c>
      <c r="E31" s="77">
        <v>456.0</v>
      </c>
      <c r="F31" s="76">
        <f t="shared" si="32"/>
        <v>914</v>
      </c>
      <c r="G31" s="77"/>
      <c r="H31" s="77"/>
      <c r="I31" s="77">
        <v>61.0</v>
      </c>
      <c r="J31" s="77">
        <v>53.0</v>
      </c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0</v>
      </c>
      <c r="R31" s="77">
        <f t="shared" si="35"/>
        <v>46</v>
      </c>
      <c r="S31" s="77">
        <f t="shared" si="35"/>
        <v>519</v>
      </c>
      <c r="T31" s="77">
        <f t="shared" si="35"/>
        <v>509</v>
      </c>
      <c r="U31" s="78">
        <f t="shared" si="36"/>
        <v>1074</v>
      </c>
      <c r="V31" s="2"/>
    </row>
    <row r="32" ht="15.0" customHeight="1">
      <c r="A32" s="74" t="s">
        <v>69</v>
      </c>
      <c r="B32" s="77"/>
      <c r="C32" s="77"/>
      <c r="D32" s="77">
        <v>918.0</v>
      </c>
      <c r="E32" s="77">
        <v>1846.0</v>
      </c>
      <c r="F32" s="76">
        <f t="shared" si="32"/>
        <v>2764</v>
      </c>
      <c r="G32" s="77"/>
      <c r="H32" s="77"/>
      <c r="I32" s="77"/>
      <c r="J32" s="77">
        <v>236.0</v>
      </c>
      <c r="K32" s="76">
        <f t="shared" si="33"/>
        <v>236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0</v>
      </c>
      <c r="S32" s="77">
        <f t="shared" si="37"/>
        <v>918</v>
      </c>
      <c r="T32" s="77">
        <f t="shared" si="37"/>
        <v>2082</v>
      </c>
      <c r="U32" s="78">
        <f t="shared" si="36"/>
        <v>3000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/>
      <c r="C34" s="77">
        <v>51.0</v>
      </c>
      <c r="D34" s="77">
        <v>670.0</v>
      </c>
      <c r="E34" s="77">
        <v>2604.0</v>
      </c>
      <c r="F34" s="76">
        <f t="shared" si="32"/>
        <v>3325</v>
      </c>
      <c r="G34" s="77"/>
      <c r="H34" s="77"/>
      <c r="I34" s="77">
        <v>1.0</v>
      </c>
      <c r="J34" s="77">
        <v>131.0</v>
      </c>
      <c r="K34" s="76">
        <f t="shared" si="33"/>
        <v>132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0</v>
      </c>
      <c r="R34" s="77">
        <f t="shared" si="39"/>
        <v>51</v>
      </c>
      <c r="S34" s="77">
        <f t="shared" si="39"/>
        <v>671</v>
      </c>
      <c r="T34" s="77">
        <f t="shared" si="39"/>
        <v>2735</v>
      </c>
      <c r="U34" s="78">
        <f t="shared" si="36"/>
        <v>3457</v>
      </c>
      <c r="V34" s="2"/>
    </row>
    <row r="35" ht="15.0" customHeight="1">
      <c r="A35" s="74" t="s">
        <v>72</v>
      </c>
      <c r="B35" s="77"/>
      <c r="C35" s="77"/>
      <c r="D35" s="77"/>
      <c r="E35" s="77"/>
      <c r="F35" s="76">
        <f t="shared" si="32"/>
        <v>0</v>
      </c>
      <c r="G35" s="77"/>
      <c r="H35" s="77"/>
      <c r="I35" s="77"/>
      <c r="J35" s="77"/>
      <c r="K35" s="76">
        <f t="shared" si="33"/>
        <v>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0</v>
      </c>
      <c r="V35" s="2"/>
    </row>
    <row r="36" ht="15.0" customHeight="1">
      <c r="A36" s="74" t="s">
        <v>73</v>
      </c>
      <c r="B36" s="77"/>
      <c r="C36" s="77">
        <v>472.0</v>
      </c>
      <c r="D36" s="77">
        <v>584.0</v>
      </c>
      <c r="E36" s="77">
        <v>206.0</v>
      </c>
      <c r="F36" s="76">
        <f t="shared" si="32"/>
        <v>1262</v>
      </c>
      <c r="G36" s="77"/>
      <c r="H36" s="77">
        <v>79.0</v>
      </c>
      <c r="I36" s="77">
        <v>316.0</v>
      </c>
      <c r="J36" s="77">
        <v>92.0</v>
      </c>
      <c r="K36" s="76">
        <f t="shared" si="33"/>
        <v>487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551</v>
      </c>
      <c r="S36" s="77">
        <f t="shared" si="41"/>
        <v>900</v>
      </c>
      <c r="T36" s="77">
        <f t="shared" si="41"/>
        <v>298</v>
      </c>
      <c r="U36" s="78">
        <f t="shared" si="36"/>
        <v>1749</v>
      </c>
      <c r="V36" s="2"/>
    </row>
    <row r="37" ht="15.0" customHeight="1">
      <c r="A37" s="74" t="s">
        <v>74</v>
      </c>
      <c r="B37" s="77"/>
      <c r="C37" s="77"/>
      <c r="D37" s="77"/>
      <c r="E37" s="77"/>
      <c r="F37" s="76">
        <f t="shared" si="32"/>
        <v>0</v>
      </c>
      <c r="G37" s="77"/>
      <c r="H37" s="77"/>
      <c r="I37" s="77"/>
      <c r="J37" s="77"/>
      <c r="K37" s="76">
        <f t="shared" si="33"/>
        <v>0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0</v>
      </c>
      <c r="R37" s="77">
        <f t="shared" si="42"/>
        <v>0</v>
      </c>
      <c r="S37" s="77">
        <f t="shared" ref="S37:S41" si="44">SUM(D37,I36,N37)</f>
        <v>316</v>
      </c>
      <c r="T37" s="77">
        <f t="shared" ref="T37:T41" si="45">SUM(E37,J37,O37)</f>
        <v>0</v>
      </c>
      <c r="U37" s="78">
        <f t="shared" si="36"/>
        <v>316</v>
      </c>
      <c r="V37" s="2"/>
    </row>
    <row r="38" ht="15.0" customHeight="1">
      <c r="A38" s="74" t="s">
        <v>75</v>
      </c>
      <c r="B38" s="77"/>
      <c r="C38" s="77"/>
      <c r="D38" s="77">
        <v>2662.0</v>
      </c>
      <c r="E38" s="77">
        <v>872.0</v>
      </c>
      <c r="F38" s="76">
        <f t="shared" si="32"/>
        <v>3534</v>
      </c>
      <c r="G38" s="77"/>
      <c r="H38" s="77">
        <v>5.0</v>
      </c>
      <c r="I38" s="77">
        <v>221.0</v>
      </c>
      <c r="J38" s="77">
        <v>191.0</v>
      </c>
      <c r="K38" s="76">
        <f t="shared" si="33"/>
        <v>417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5</v>
      </c>
      <c r="S38" s="77">
        <f t="shared" si="44"/>
        <v>2662</v>
      </c>
      <c r="T38" s="77">
        <f t="shared" si="45"/>
        <v>1063</v>
      </c>
      <c r="U38" s="78">
        <f t="shared" si="36"/>
        <v>3730</v>
      </c>
      <c r="V38" s="2"/>
    </row>
    <row r="39" ht="15.0" customHeight="1">
      <c r="A39" s="74" t="s">
        <v>76</v>
      </c>
      <c r="B39" s="77"/>
      <c r="C39" s="77"/>
      <c r="D39" s="77">
        <v>731.0</v>
      </c>
      <c r="E39" s="77">
        <v>546.0</v>
      </c>
      <c r="F39" s="76">
        <f t="shared" si="32"/>
        <v>1277</v>
      </c>
      <c r="G39" s="77"/>
      <c r="H39" s="77"/>
      <c r="I39" s="77">
        <v>131.0</v>
      </c>
      <c r="J39" s="77">
        <v>93.0</v>
      </c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952</v>
      </c>
      <c r="T39" s="77">
        <f t="shared" si="45"/>
        <v>639</v>
      </c>
      <c r="U39" s="78">
        <f t="shared" si="36"/>
        <v>1591</v>
      </c>
      <c r="V39" s="2"/>
    </row>
    <row r="40" ht="15.0" customHeight="1">
      <c r="A40" s="74" t="s">
        <v>77</v>
      </c>
      <c r="B40" s="77"/>
      <c r="C40" s="77"/>
      <c r="D40" s="77"/>
      <c r="E40" s="77">
        <v>4.0</v>
      </c>
      <c r="F40" s="76">
        <f t="shared" si="32"/>
        <v>4</v>
      </c>
      <c r="G40" s="77"/>
      <c r="H40" s="77"/>
      <c r="I40" s="77"/>
      <c r="J40" s="77">
        <v>9.0</v>
      </c>
      <c r="K40" s="76">
        <f t="shared" si="33"/>
        <v>9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131</v>
      </c>
      <c r="T40" s="77">
        <f t="shared" si="45"/>
        <v>13</v>
      </c>
      <c r="U40" s="78">
        <f t="shared" si="36"/>
        <v>144</v>
      </c>
      <c r="V40" s="2"/>
    </row>
    <row r="41" ht="15.0" customHeight="1">
      <c r="A41" s="74" t="s">
        <v>78</v>
      </c>
      <c r="B41" s="77"/>
      <c r="C41" s="77"/>
      <c r="D41" s="77">
        <v>582.0</v>
      </c>
      <c r="E41" s="77">
        <v>504.0</v>
      </c>
      <c r="F41" s="76">
        <f t="shared" si="32"/>
        <v>1086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582</v>
      </c>
      <c r="T41" s="77">
        <f t="shared" si="45"/>
        <v>504</v>
      </c>
      <c r="U41" s="78">
        <f t="shared" si="36"/>
        <v>1086</v>
      </c>
      <c r="V41" s="2"/>
    </row>
    <row r="42" ht="15.0" customHeight="1">
      <c r="A42" s="74" t="s">
        <v>79</v>
      </c>
      <c r="B42" s="77"/>
      <c r="C42" s="77"/>
      <c r="D42" s="77">
        <v>82.0</v>
      </c>
      <c r="E42" s="77">
        <v>53.0</v>
      </c>
      <c r="F42" s="76">
        <f t="shared" si="32"/>
        <v>135</v>
      </c>
      <c r="G42" s="77"/>
      <c r="H42" s="77"/>
      <c r="I42" s="77">
        <v>215.0</v>
      </c>
      <c r="J42" s="77">
        <v>21.0</v>
      </c>
      <c r="K42" s="76">
        <f t="shared" si="33"/>
        <v>236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297</v>
      </c>
      <c r="T42" s="77">
        <f t="shared" si="49"/>
        <v>74</v>
      </c>
      <c r="U42" s="78">
        <f t="shared" si="36"/>
        <v>371</v>
      </c>
      <c r="V42" s="2"/>
    </row>
    <row r="43" ht="15.0" customHeight="1">
      <c r="A43" s="74" t="s">
        <v>80</v>
      </c>
      <c r="B43" s="77"/>
      <c r="C43" s="77"/>
      <c r="D43" s="77">
        <v>837.0</v>
      </c>
      <c r="E43" s="77">
        <v>636.0</v>
      </c>
      <c r="F43" s="76">
        <f t="shared" si="32"/>
        <v>1473</v>
      </c>
      <c r="G43" s="77"/>
      <c r="H43" s="77"/>
      <c r="I43" s="77">
        <v>240.0</v>
      </c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1077</v>
      </c>
      <c r="T43" s="77">
        <f t="shared" si="50"/>
        <v>636</v>
      </c>
      <c r="U43" s="78">
        <f t="shared" si="36"/>
        <v>1713</v>
      </c>
      <c r="V43" s="2"/>
    </row>
    <row r="44" ht="15.75" customHeight="1">
      <c r="A44" s="74" t="s">
        <v>81</v>
      </c>
      <c r="B44" s="77"/>
      <c r="C44" s="77">
        <v>59.0</v>
      </c>
      <c r="D44" s="77">
        <v>698.0</v>
      </c>
      <c r="E44" s="77">
        <v>2239.0</v>
      </c>
      <c r="F44" s="76">
        <f t="shared" si="32"/>
        <v>2996</v>
      </c>
      <c r="G44" s="77"/>
      <c r="H44" s="77"/>
      <c r="I44" s="77">
        <v>128.0</v>
      </c>
      <c r="J44" s="77">
        <v>428.0</v>
      </c>
      <c r="K44" s="76">
        <f t="shared" si="33"/>
        <v>556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59</v>
      </c>
      <c r="S44" s="77">
        <f t="shared" si="51"/>
        <v>826</v>
      </c>
      <c r="T44" s="77">
        <f t="shared" si="51"/>
        <v>2667</v>
      </c>
      <c r="U44" s="78">
        <f t="shared" si="36"/>
        <v>3552</v>
      </c>
      <c r="V44" s="2"/>
    </row>
    <row r="45" ht="15.75" customHeight="1">
      <c r="A45" s="72" t="s">
        <v>82</v>
      </c>
      <c r="B45" s="73">
        <f t="shared" ref="B45:U45" si="52">SUM(B46:B63)</f>
        <v>178</v>
      </c>
      <c r="C45" s="73">
        <f t="shared" si="52"/>
        <v>494</v>
      </c>
      <c r="D45" s="73">
        <f t="shared" si="52"/>
        <v>2850</v>
      </c>
      <c r="E45" s="73">
        <f t="shared" si="52"/>
        <v>4083</v>
      </c>
      <c r="F45" s="81">
        <f t="shared" si="52"/>
        <v>7605</v>
      </c>
      <c r="G45" s="73">
        <f t="shared" si="52"/>
        <v>0</v>
      </c>
      <c r="H45" s="73">
        <f t="shared" si="52"/>
        <v>231</v>
      </c>
      <c r="I45" s="73">
        <f t="shared" si="52"/>
        <v>2908</v>
      </c>
      <c r="J45" s="73">
        <f t="shared" si="52"/>
        <v>2177</v>
      </c>
      <c r="K45" s="81">
        <f t="shared" si="52"/>
        <v>5316</v>
      </c>
      <c r="L45" s="73">
        <f t="shared" si="52"/>
        <v>0</v>
      </c>
      <c r="M45" s="73">
        <f t="shared" si="52"/>
        <v>0</v>
      </c>
      <c r="N45" s="73">
        <f t="shared" si="52"/>
        <v>0</v>
      </c>
      <c r="O45" s="73">
        <f t="shared" si="52"/>
        <v>0</v>
      </c>
      <c r="P45" s="81">
        <f t="shared" si="52"/>
        <v>0</v>
      </c>
      <c r="Q45" s="73">
        <f t="shared" si="52"/>
        <v>178</v>
      </c>
      <c r="R45" s="73">
        <f t="shared" si="52"/>
        <v>725</v>
      </c>
      <c r="S45" s="73">
        <f t="shared" si="52"/>
        <v>5758</v>
      </c>
      <c r="T45" s="73">
        <f t="shared" si="52"/>
        <v>6260</v>
      </c>
      <c r="U45" s="73">
        <f t="shared" si="52"/>
        <v>12921</v>
      </c>
      <c r="V45" s="2"/>
    </row>
    <row r="46" ht="15.0" customHeight="1">
      <c r="A46" s="74" t="s">
        <v>83</v>
      </c>
      <c r="B46" s="75"/>
      <c r="C46" s="75">
        <v>80.0</v>
      </c>
      <c r="D46" s="75">
        <v>235.0</v>
      </c>
      <c r="E46" s="75"/>
      <c r="F46" s="76">
        <f t="shared" ref="F46:F63" si="54">SUM(B46:E46)</f>
        <v>315</v>
      </c>
      <c r="G46" s="75"/>
      <c r="H46" s="75"/>
      <c r="I46" s="75">
        <v>335.0</v>
      </c>
      <c r="J46" s="75">
        <v>30.0</v>
      </c>
      <c r="K46" s="76">
        <f t="shared" ref="K46:K63" si="55">SUM(G46:J46)</f>
        <v>365</v>
      </c>
      <c r="L46" s="75"/>
      <c r="M46" s="75"/>
      <c r="N46" s="75"/>
      <c r="O46" s="75"/>
      <c r="P46" s="76">
        <f t="shared" ref="P46:P63" si="56">SUM(L46:O46)</f>
        <v>0</v>
      </c>
      <c r="Q46" s="75">
        <f t="shared" ref="Q46:T46" si="53">SUM(B46,G46,L46)</f>
        <v>0</v>
      </c>
      <c r="R46" s="75">
        <f t="shared" si="53"/>
        <v>80</v>
      </c>
      <c r="S46" s="75">
        <f t="shared" si="53"/>
        <v>570</v>
      </c>
      <c r="T46" s="75">
        <f t="shared" si="53"/>
        <v>30</v>
      </c>
      <c r="U46" s="76">
        <f t="shared" ref="U46:U63" si="58">SUM(Q46:T46)</f>
        <v>680</v>
      </c>
      <c r="V46" s="2"/>
    </row>
    <row r="47" ht="15.0" customHeight="1">
      <c r="A47" s="74" t="s">
        <v>84</v>
      </c>
      <c r="B47" s="77"/>
      <c r="C47" s="77"/>
      <c r="D47" s="77"/>
      <c r="E47" s="2">
        <v>50.0</v>
      </c>
      <c r="F47" s="76">
        <f t="shared" si="54"/>
        <v>50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50</v>
      </c>
      <c r="U47" s="78">
        <f t="shared" si="58"/>
        <v>50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3.0</v>
      </c>
      <c r="C49" s="77"/>
      <c r="D49" s="77">
        <v>379.0</v>
      </c>
      <c r="E49" s="77"/>
      <c r="F49" s="76">
        <f t="shared" si="54"/>
        <v>382</v>
      </c>
      <c r="G49" s="77"/>
      <c r="H49" s="77"/>
      <c r="I49" s="77"/>
      <c r="J49" s="77">
        <v>3.0</v>
      </c>
      <c r="K49" s="76">
        <f t="shared" si="55"/>
        <v>3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3</v>
      </c>
      <c r="R49" s="75">
        <f t="shared" si="60"/>
        <v>0</v>
      </c>
      <c r="S49" s="75">
        <f t="shared" si="60"/>
        <v>379</v>
      </c>
      <c r="T49" s="75">
        <f t="shared" si="60"/>
        <v>3</v>
      </c>
      <c r="U49" s="78">
        <f t="shared" si="58"/>
        <v>385</v>
      </c>
      <c r="V49" s="2"/>
    </row>
    <row r="50" ht="15.0" customHeight="1">
      <c r="A50" s="74" t="s">
        <v>87</v>
      </c>
      <c r="B50" s="77"/>
      <c r="C50" s="77">
        <v>62.0</v>
      </c>
      <c r="D50" s="77">
        <v>214.0</v>
      </c>
      <c r="E50" s="77">
        <v>1450.0</v>
      </c>
      <c r="F50" s="76">
        <f t="shared" si="54"/>
        <v>1726</v>
      </c>
      <c r="G50" s="77"/>
      <c r="H50" s="77"/>
      <c r="I50" s="77">
        <v>9.0</v>
      </c>
      <c r="J50" s="77">
        <v>574.0</v>
      </c>
      <c r="K50" s="76">
        <f t="shared" si="55"/>
        <v>583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0</v>
      </c>
      <c r="R50" s="75">
        <f t="shared" si="61"/>
        <v>62</v>
      </c>
      <c r="S50" s="75">
        <f t="shared" si="61"/>
        <v>223</v>
      </c>
      <c r="T50" s="75">
        <f t="shared" si="61"/>
        <v>2024</v>
      </c>
      <c r="U50" s="78">
        <f t="shared" si="58"/>
        <v>2309</v>
      </c>
      <c r="V50" s="2"/>
    </row>
    <row r="51" ht="15.0" customHeight="1">
      <c r="A51" s="74" t="s">
        <v>88</v>
      </c>
      <c r="B51" s="77"/>
      <c r="C51" s="77">
        <v>10.0</v>
      </c>
      <c r="D51" s="77">
        <v>98.0</v>
      </c>
      <c r="E51" s="77">
        <v>2.0</v>
      </c>
      <c r="F51" s="76">
        <f t="shared" si="54"/>
        <v>110</v>
      </c>
      <c r="G51" s="77"/>
      <c r="H51" s="77">
        <v>7.0</v>
      </c>
      <c r="I51" s="77">
        <v>121.0</v>
      </c>
      <c r="J51" s="77">
        <v>54.0</v>
      </c>
      <c r="K51" s="76">
        <f t="shared" si="55"/>
        <v>182</v>
      </c>
      <c r="L51" s="77"/>
      <c r="M51" s="77"/>
      <c r="N51" s="77"/>
      <c r="O51" s="77"/>
      <c r="P51" s="76">
        <f t="shared" si="56"/>
        <v>0</v>
      </c>
      <c r="Q51" s="75">
        <f t="shared" ref="Q51:T51" si="62">SUM(B51,G51,L51)</f>
        <v>0</v>
      </c>
      <c r="R51" s="75">
        <f t="shared" si="62"/>
        <v>17</v>
      </c>
      <c r="S51" s="75">
        <f t="shared" si="62"/>
        <v>219</v>
      </c>
      <c r="T51" s="75">
        <f t="shared" si="62"/>
        <v>56</v>
      </c>
      <c r="U51" s="78">
        <f t="shared" si="58"/>
        <v>292</v>
      </c>
      <c r="V51" s="2"/>
    </row>
    <row r="52" ht="15.0" customHeight="1">
      <c r="A52" s="83" t="s">
        <v>89</v>
      </c>
      <c r="B52" s="84"/>
      <c r="C52" s="84"/>
      <c r="D52" s="84">
        <v>242.0</v>
      </c>
      <c r="E52" s="84"/>
      <c r="F52" s="85">
        <f t="shared" si="54"/>
        <v>242</v>
      </c>
      <c r="G52" s="84"/>
      <c r="H52" s="84"/>
      <c r="I52" s="84">
        <v>161.0</v>
      </c>
      <c r="J52" s="84"/>
      <c r="K52" s="85">
        <f t="shared" si="55"/>
        <v>161</v>
      </c>
      <c r="L52" s="84"/>
      <c r="M52" s="84"/>
      <c r="N52" s="84"/>
      <c r="O52" s="84"/>
      <c r="P52" s="85">
        <f t="shared" si="56"/>
        <v>0</v>
      </c>
      <c r="Q52" s="86">
        <f t="shared" ref="Q52:T52" si="63">SUM(B52,G52,L52)</f>
        <v>0</v>
      </c>
      <c r="R52" s="86">
        <f t="shared" si="63"/>
        <v>0</v>
      </c>
      <c r="S52" s="86">
        <f t="shared" si="63"/>
        <v>403</v>
      </c>
      <c r="T52" s="86">
        <f t="shared" si="63"/>
        <v>0</v>
      </c>
      <c r="U52" s="87">
        <f t="shared" si="58"/>
        <v>403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/>
      <c r="C53" s="77"/>
      <c r="D53" s="77">
        <v>5.0</v>
      </c>
      <c r="E53" s="77"/>
      <c r="F53" s="76">
        <f t="shared" si="54"/>
        <v>5</v>
      </c>
      <c r="G53" s="77"/>
      <c r="H53" s="77"/>
      <c r="I53" s="77"/>
      <c r="J53" s="77"/>
      <c r="K53" s="76">
        <f t="shared" si="55"/>
        <v>0</v>
      </c>
      <c r="L53" s="77"/>
      <c r="M53" s="77"/>
      <c r="N53" s="77"/>
      <c r="O53" s="77"/>
      <c r="P53" s="76">
        <f t="shared" si="56"/>
        <v>0</v>
      </c>
      <c r="Q53" s="75">
        <f t="shared" ref="Q53:T53" si="64">SUM(B53,G53,L53)</f>
        <v>0</v>
      </c>
      <c r="R53" s="75">
        <f t="shared" si="64"/>
        <v>0</v>
      </c>
      <c r="S53" s="75">
        <f t="shared" si="64"/>
        <v>5</v>
      </c>
      <c r="T53" s="75">
        <f t="shared" si="64"/>
        <v>0</v>
      </c>
      <c r="U53" s="78">
        <f t="shared" si="58"/>
        <v>5</v>
      </c>
      <c r="V53" s="2"/>
    </row>
    <row r="54" ht="15.0" customHeight="1">
      <c r="A54" s="74" t="s">
        <v>91</v>
      </c>
      <c r="B54" s="77"/>
      <c r="C54" s="77"/>
      <c r="D54" s="77"/>
      <c r="E54" s="77">
        <v>159.0</v>
      </c>
      <c r="F54" s="76">
        <f t="shared" si="54"/>
        <v>159</v>
      </c>
      <c r="G54" s="77"/>
      <c r="H54" s="77"/>
      <c r="I54" s="77"/>
      <c r="J54" s="77">
        <v>200.0</v>
      </c>
      <c r="K54" s="76">
        <f t="shared" si="55"/>
        <v>200</v>
      </c>
      <c r="L54" s="77"/>
      <c r="M54" s="77"/>
      <c r="N54" s="77"/>
      <c r="O54" s="77"/>
      <c r="P54" s="76">
        <f t="shared" si="56"/>
        <v>0</v>
      </c>
      <c r="Q54" s="75">
        <f t="shared" ref="Q54:T54" si="65">SUM(B54,G54,L54)</f>
        <v>0</v>
      </c>
      <c r="R54" s="75">
        <f t="shared" si="65"/>
        <v>0</v>
      </c>
      <c r="S54" s="75">
        <f t="shared" si="65"/>
        <v>0</v>
      </c>
      <c r="T54" s="75">
        <f t="shared" si="65"/>
        <v>359</v>
      </c>
      <c r="U54" s="78">
        <f t="shared" si="58"/>
        <v>359</v>
      </c>
      <c r="V54" s="2"/>
    </row>
    <row r="55" ht="15.0" customHeight="1">
      <c r="A55" s="74" t="s">
        <v>92</v>
      </c>
      <c r="B55" s="77"/>
      <c r="C55" s="77"/>
      <c r="D55" s="77"/>
      <c r="E55" s="77">
        <v>45.0</v>
      </c>
      <c r="F55" s="76">
        <f t="shared" si="54"/>
        <v>45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6">SUM(B55,G55,L55)</f>
        <v>0</v>
      </c>
      <c r="R55" s="75">
        <f t="shared" si="66"/>
        <v>0</v>
      </c>
      <c r="S55" s="75">
        <f t="shared" si="66"/>
        <v>0</v>
      </c>
      <c r="T55" s="75">
        <f t="shared" si="66"/>
        <v>45</v>
      </c>
      <c r="U55" s="78">
        <f t="shared" si="58"/>
        <v>45</v>
      </c>
      <c r="V55" s="2"/>
    </row>
    <row r="56" ht="15.0" customHeight="1">
      <c r="A56" s="74" t="s">
        <v>93</v>
      </c>
      <c r="B56" s="77"/>
      <c r="C56" s="77"/>
      <c r="D56" s="77"/>
      <c r="E56" s="77">
        <v>149.0</v>
      </c>
      <c r="F56" s="76">
        <f t="shared" si="54"/>
        <v>149</v>
      </c>
      <c r="G56" s="77"/>
      <c r="H56" s="77"/>
      <c r="I56" s="77"/>
      <c r="J56" s="77">
        <v>66.0</v>
      </c>
      <c r="K56" s="76">
        <f t="shared" si="55"/>
        <v>66</v>
      </c>
      <c r="L56" s="90"/>
      <c r="M56" s="90"/>
      <c r="N56" s="90"/>
      <c r="O56" s="90"/>
      <c r="P56" s="76">
        <f t="shared" si="56"/>
        <v>0</v>
      </c>
      <c r="Q56" s="75">
        <f t="shared" ref="Q56:T56" si="67">SUM(B56,G56,L56)</f>
        <v>0</v>
      </c>
      <c r="R56" s="75">
        <f t="shared" si="67"/>
        <v>0</v>
      </c>
      <c r="S56" s="75">
        <f t="shared" si="67"/>
        <v>0</v>
      </c>
      <c r="T56" s="75">
        <f t="shared" si="67"/>
        <v>215</v>
      </c>
      <c r="U56" s="91">
        <f t="shared" si="58"/>
        <v>215</v>
      </c>
      <c r="V56" s="2"/>
    </row>
    <row r="57" ht="15.0" customHeight="1">
      <c r="A57" s="74" t="s">
        <v>94</v>
      </c>
      <c r="B57" s="77">
        <v>175.0</v>
      </c>
      <c r="C57" s="77"/>
      <c r="D57" s="77">
        <v>219.0</v>
      </c>
      <c r="E57" s="77">
        <v>300.0</v>
      </c>
      <c r="F57" s="76">
        <f t="shared" si="54"/>
        <v>694</v>
      </c>
      <c r="G57" s="77"/>
      <c r="H57" s="77"/>
      <c r="I57" s="77"/>
      <c r="J57" s="2"/>
      <c r="K57" s="76">
        <f t="shared" si="55"/>
        <v>0</v>
      </c>
      <c r="L57" s="77"/>
      <c r="M57" s="77"/>
      <c r="N57" s="77"/>
      <c r="O57" s="77"/>
      <c r="P57" s="76">
        <f t="shared" si="56"/>
        <v>0</v>
      </c>
      <c r="Q57" s="75">
        <f t="shared" ref="Q57:T57" si="68">SUM(B57,G57,L57)</f>
        <v>175</v>
      </c>
      <c r="R57" s="75">
        <f t="shared" si="68"/>
        <v>0</v>
      </c>
      <c r="S57" s="75">
        <f t="shared" si="68"/>
        <v>219</v>
      </c>
      <c r="T57" s="75">
        <f t="shared" si="68"/>
        <v>300</v>
      </c>
      <c r="U57" s="91">
        <f t="shared" si="58"/>
        <v>694</v>
      </c>
      <c r="V57" s="2"/>
    </row>
    <row r="58" ht="15.0" customHeight="1">
      <c r="A58" s="74" t="s">
        <v>95</v>
      </c>
      <c r="B58" s="77"/>
      <c r="C58" s="77">
        <v>243.0</v>
      </c>
      <c r="D58" s="77">
        <v>76.0</v>
      </c>
      <c r="E58" s="77">
        <v>121.0</v>
      </c>
      <c r="F58" s="76">
        <f t="shared" si="54"/>
        <v>440</v>
      </c>
      <c r="G58" s="77"/>
      <c r="H58" s="77">
        <v>12.0</v>
      </c>
      <c r="I58" s="77">
        <v>16.0</v>
      </c>
      <c r="J58" s="77">
        <v>158.0</v>
      </c>
      <c r="K58" s="76">
        <f t="shared" si="55"/>
        <v>186</v>
      </c>
      <c r="L58" s="77"/>
      <c r="M58" s="77"/>
      <c r="N58" s="77"/>
      <c r="O58" s="77"/>
      <c r="P58" s="76">
        <f t="shared" si="56"/>
        <v>0</v>
      </c>
      <c r="Q58" s="75">
        <f t="shared" ref="Q58:T58" si="69">SUM(B58,G58,L58)</f>
        <v>0</v>
      </c>
      <c r="R58" s="75">
        <f t="shared" si="69"/>
        <v>255</v>
      </c>
      <c r="S58" s="75">
        <f t="shared" si="69"/>
        <v>92</v>
      </c>
      <c r="T58" s="75">
        <f t="shared" si="69"/>
        <v>279</v>
      </c>
      <c r="U58" s="91">
        <f t="shared" si="58"/>
        <v>626</v>
      </c>
      <c r="V58" s="2"/>
    </row>
    <row r="59" ht="15.0" customHeight="1">
      <c r="A59" s="74" t="s">
        <v>96</v>
      </c>
      <c r="B59" s="77"/>
      <c r="C59" s="77">
        <v>50.0</v>
      </c>
      <c r="D59" s="77">
        <v>500.0</v>
      </c>
      <c r="E59" s="77">
        <v>660.0</v>
      </c>
      <c r="F59" s="76">
        <f t="shared" si="54"/>
        <v>1210</v>
      </c>
      <c r="G59" s="82"/>
      <c r="H59" s="82">
        <v>212.0</v>
      </c>
      <c r="I59" s="82">
        <v>500.0</v>
      </c>
      <c r="J59" s="82">
        <v>981.0</v>
      </c>
      <c r="K59" s="76">
        <f t="shared" si="55"/>
        <v>1693</v>
      </c>
      <c r="L59" s="77"/>
      <c r="M59" s="77"/>
      <c r="N59" s="77"/>
      <c r="O59" s="77"/>
      <c r="P59" s="76">
        <f t="shared" si="56"/>
        <v>0</v>
      </c>
      <c r="Q59" s="75">
        <f t="shared" ref="Q59:T59" si="70">SUM(B59,G59,L59)</f>
        <v>0</v>
      </c>
      <c r="R59" s="75">
        <f t="shared" si="70"/>
        <v>262</v>
      </c>
      <c r="S59" s="75">
        <f t="shared" si="70"/>
        <v>1000</v>
      </c>
      <c r="T59" s="75">
        <f t="shared" si="70"/>
        <v>1641</v>
      </c>
      <c r="U59" s="91">
        <f t="shared" si="58"/>
        <v>2903</v>
      </c>
      <c r="V59" s="2"/>
    </row>
    <row r="60" ht="15.0" customHeight="1">
      <c r="A60" s="74" t="s">
        <v>17</v>
      </c>
      <c r="B60" s="77"/>
      <c r="C60" s="77">
        <v>49.0</v>
      </c>
      <c r="D60" s="77">
        <v>140.0</v>
      </c>
      <c r="E60" s="77">
        <v>654.0</v>
      </c>
      <c r="F60" s="76">
        <f t="shared" si="54"/>
        <v>843</v>
      </c>
      <c r="G60" s="77"/>
      <c r="H60" s="77"/>
      <c r="I60" s="77">
        <v>403.0</v>
      </c>
      <c r="J60" s="77"/>
      <c r="K60" s="76">
        <f t="shared" si="55"/>
        <v>403</v>
      </c>
      <c r="L60" s="77"/>
      <c r="M60" s="77"/>
      <c r="N60" s="77"/>
      <c r="O60" s="77"/>
      <c r="P60" s="76">
        <f t="shared" si="56"/>
        <v>0</v>
      </c>
      <c r="Q60" s="75">
        <f t="shared" ref="Q60:T60" si="71">SUM(B60,G60,L60)</f>
        <v>0</v>
      </c>
      <c r="R60" s="75">
        <f t="shared" si="71"/>
        <v>49</v>
      </c>
      <c r="S60" s="75">
        <f t="shared" si="71"/>
        <v>543</v>
      </c>
      <c r="T60" s="75">
        <f t="shared" si="71"/>
        <v>654</v>
      </c>
      <c r="U60" s="78">
        <f t="shared" si="58"/>
        <v>1246</v>
      </c>
      <c r="V60" s="2"/>
    </row>
    <row r="61" ht="15.0" customHeight="1">
      <c r="A61" s="74" t="s">
        <v>78</v>
      </c>
      <c r="B61" s="80"/>
      <c r="C61" s="80"/>
      <c r="D61" s="80"/>
      <c r="E61" s="80">
        <v>335.0</v>
      </c>
      <c r="F61" s="76">
        <f t="shared" si="54"/>
        <v>335</v>
      </c>
      <c r="G61" s="77"/>
      <c r="H61" s="77"/>
      <c r="I61" s="77">
        <v>531.0</v>
      </c>
      <c r="J61" s="77"/>
      <c r="K61" s="76">
        <f t="shared" si="55"/>
        <v>531</v>
      </c>
      <c r="L61" s="77"/>
      <c r="M61" s="77"/>
      <c r="N61" s="77"/>
      <c r="O61" s="77"/>
      <c r="P61" s="76">
        <f t="shared" si="56"/>
        <v>0</v>
      </c>
      <c r="Q61" s="75">
        <f t="shared" ref="Q61:T61" si="72">SUM(B61,G61,L61)</f>
        <v>0</v>
      </c>
      <c r="R61" s="75">
        <f t="shared" si="72"/>
        <v>0</v>
      </c>
      <c r="S61" s="75">
        <f t="shared" si="72"/>
        <v>531</v>
      </c>
      <c r="T61" s="75">
        <f t="shared" si="72"/>
        <v>335</v>
      </c>
      <c r="U61" s="78">
        <f t="shared" si="58"/>
        <v>866</v>
      </c>
      <c r="V61" s="2"/>
    </row>
    <row r="62" ht="15.0" customHeight="1">
      <c r="A62" s="74" t="s">
        <v>97</v>
      </c>
      <c r="B62" s="77"/>
      <c r="C62" s="77"/>
      <c r="D62" s="77"/>
      <c r="E62" s="77">
        <v>158.0</v>
      </c>
      <c r="F62" s="76">
        <f t="shared" si="54"/>
        <v>158</v>
      </c>
      <c r="G62" s="77"/>
      <c r="H62" s="77"/>
      <c r="I62" s="77">
        <v>60.0</v>
      </c>
      <c r="J62" s="77">
        <v>111.0</v>
      </c>
      <c r="K62" s="76">
        <f t="shared" si="55"/>
        <v>171</v>
      </c>
      <c r="L62" s="77"/>
      <c r="M62" s="77"/>
      <c r="N62" s="77"/>
      <c r="O62" s="77"/>
      <c r="P62" s="76">
        <f t="shared" si="56"/>
        <v>0</v>
      </c>
      <c r="Q62" s="75">
        <f t="shared" ref="Q62:T62" si="73">SUM(B62,G62,L62)</f>
        <v>0</v>
      </c>
      <c r="R62" s="75">
        <f t="shared" si="73"/>
        <v>0</v>
      </c>
      <c r="S62" s="75">
        <f t="shared" si="73"/>
        <v>60</v>
      </c>
      <c r="T62" s="75">
        <f t="shared" si="73"/>
        <v>269</v>
      </c>
      <c r="U62" s="78">
        <f t="shared" si="58"/>
        <v>329</v>
      </c>
      <c r="V62" s="2"/>
    </row>
    <row r="63" ht="15.75" customHeight="1">
      <c r="A63" s="74" t="s">
        <v>98</v>
      </c>
      <c r="B63" s="77"/>
      <c r="C63" s="77"/>
      <c r="D63" s="77">
        <v>742.0</v>
      </c>
      <c r="E63" s="77"/>
      <c r="F63" s="76">
        <f t="shared" si="54"/>
        <v>742</v>
      </c>
      <c r="G63" s="77"/>
      <c r="H63" s="77"/>
      <c r="I63" s="77">
        <v>772.0</v>
      </c>
      <c r="J63" s="77"/>
      <c r="K63" s="76">
        <f t="shared" si="55"/>
        <v>772</v>
      </c>
      <c r="L63" s="77"/>
      <c r="M63" s="77"/>
      <c r="N63" s="77"/>
      <c r="O63" s="77"/>
      <c r="P63" s="76">
        <f t="shared" si="56"/>
        <v>0</v>
      </c>
      <c r="Q63" s="75">
        <f t="shared" ref="Q63:T63" si="74">SUM(B63,G63,L63)</f>
        <v>0</v>
      </c>
      <c r="R63" s="75">
        <f t="shared" si="74"/>
        <v>0</v>
      </c>
      <c r="S63" s="75">
        <f t="shared" si="74"/>
        <v>1514</v>
      </c>
      <c r="T63" s="75">
        <f t="shared" si="74"/>
        <v>0</v>
      </c>
      <c r="U63" s="78">
        <f t="shared" si="58"/>
        <v>1514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5">SUM(C65:C78)</f>
        <v>2705</v>
      </c>
      <c r="D64" s="73">
        <f t="shared" si="75"/>
        <v>0</v>
      </c>
      <c r="E64" s="73">
        <f t="shared" si="75"/>
        <v>0</v>
      </c>
      <c r="F64" s="73">
        <f t="shared" si="75"/>
        <v>2705</v>
      </c>
      <c r="G64" s="73">
        <f t="shared" si="75"/>
        <v>0</v>
      </c>
      <c r="H64" s="73">
        <f t="shared" si="75"/>
        <v>1875</v>
      </c>
      <c r="I64" s="73">
        <f t="shared" si="75"/>
        <v>0</v>
      </c>
      <c r="J64" s="73">
        <f t="shared" si="75"/>
        <v>0</v>
      </c>
      <c r="K64" s="73">
        <f t="shared" si="75"/>
        <v>1875</v>
      </c>
      <c r="L64" s="73">
        <f t="shared" ref="L64:U64" si="76">SUM(L65:L79)</f>
        <v>0</v>
      </c>
      <c r="M64" s="73">
        <f t="shared" si="76"/>
        <v>0</v>
      </c>
      <c r="N64" s="73">
        <f t="shared" si="76"/>
        <v>0</v>
      </c>
      <c r="O64" s="73">
        <f t="shared" si="76"/>
        <v>0</v>
      </c>
      <c r="P64" s="73">
        <f t="shared" si="76"/>
        <v>0</v>
      </c>
      <c r="Q64" s="73">
        <f t="shared" si="76"/>
        <v>0</v>
      </c>
      <c r="R64" s="73">
        <f t="shared" si="76"/>
        <v>4580</v>
      </c>
      <c r="S64" s="73">
        <f t="shared" si="76"/>
        <v>0</v>
      </c>
      <c r="T64" s="73">
        <f t="shared" si="76"/>
        <v>0</v>
      </c>
      <c r="U64" s="73">
        <f t="shared" si="76"/>
        <v>4580</v>
      </c>
      <c r="V64" s="2"/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8">SUM(B65:E65)</f>
        <v>108</v>
      </c>
      <c r="G65" s="75"/>
      <c r="H65" s="75">
        <v>195.0</v>
      </c>
      <c r="I65" s="75"/>
      <c r="J65" s="75"/>
      <c r="K65" s="76">
        <f t="shared" ref="K65:K79" si="79">SUM(G65:J65)</f>
        <v>195</v>
      </c>
      <c r="L65" s="75"/>
      <c r="M65" s="75"/>
      <c r="N65" s="75"/>
      <c r="O65" s="75"/>
      <c r="P65" s="76">
        <f t="shared" ref="P65:P79" si="80">SUM(L65:O65)</f>
        <v>0</v>
      </c>
      <c r="Q65" s="75">
        <f t="shared" ref="Q65:T65" si="77">B65+G65+L65</f>
        <v>0</v>
      </c>
      <c r="R65" s="75">
        <f t="shared" si="77"/>
        <v>303</v>
      </c>
      <c r="S65" s="75">
        <f t="shared" si="77"/>
        <v>0</v>
      </c>
      <c r="T65" s="75">
        <f t="shared" si="77"/>
        <v>0</v>
      </c>
      <c r="U65" s="76">
        <f t="shared" ref="U65:U79" si="82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8"/>
        <v>439</v>
      </c>
      <c r="G66" s="77"/>
      <c r="H66" s="77">
        <v>70.0</v>
      </c>
      <c r="I66" s="77"/>
      <c r="J66" s="77"/>
      <c r="K66" s="76">
        <f t="shared" si="79"/>
        <v>70</v>
      </c>
      <c r="L66" s="77"/>
      <c r="M66" s="77"/>
      <c r="N66" s="77"/>
      <c r="O66" s="77"/>
      <c r="P66" s="78">
        <f t="shared" si="80"/>
        <v>0</v>
      </c>
      <c r="Q66" s="75">
        <f t="shared" ref="Q66:T66" si="81">B66+G66+L66</f>
        <v>0</v>
      </c>
      <c r="R66" s="75">
        <f t="shared" si="81"/>
        <v>509</v>
      </c>
      <c r="S66" s="75">
        <f t="shared" si="81"/>
        <v>0</v>
      </c>
      <c r="T66" s="75">
        <f t="shared" si="81"/>
        <v>0</v>
      </c>
      <c r="U66" s="76">
        <f t="shared" si="82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8"/>
        <v>50</v>
      </c>
      <c r="G67" s="77"/>
      <c r="H67" s="77">
        <v>41.0</v>
      </c>
      <c r="I67" s="77"/>
      <c r="J67" s="77"/>
      <c r="K67" s="76">
        <f t="shared" si="79"/>
        <v>41</v>
      </c>
      <c r="L67" s="77"/>
      <c r="M67" s="77"/>
      <c r="N67" s="77"/>
      <c r="O67" s="77"/>
      <c r="P67" s="78">
        <f t="shared" si="80"/>
        <v>0</v>
      </c>
      <c r="Q67" s="75">
        <f t="shared" ref="Q67:T67" si="83">B67+G67+L67</f>
        <v>0</v>
      </c>
      <c r="R67" s="75">
        <f t="shared" si="83"/>
        <v>91</v>
      </c>
      <c r="S67" s="75">
        <f t="shared" si="83"/>
        <v>0</v>
      </c>
      <c r="T67" s="75">
        <f t="shared" si="83"/>
        <v>0</v>
      </c>
      <c r="U67" s="76">
        <f t="shared" si="82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8"/>
        <v>58</v>
      </c>
      <c r="G68" s="77"/>
      <c r="H68" s="77">
        <v>127.0</v>
      </c>
      <c r="I68" s="77"/>
      <c r="J68" s="77"/>
      <c r="K68" s="76">
        <f t="shared" si="79"/>
        <v>127</v>
      </c>
      <c r="L68" s="77"/>
      <c r="M68" s="77"/>
      <c r="N68" s="77"/>
      <c r="O68" s="77"/>
      <c r="P68" s="78">
        <f t="shared" si="80"/>
        <v>0</v>
      </c>
      <c r="Q68" s="75">
        <f t="shared" ref="Q68:T68" si="84">B68+G68+L68</f>
        <v>0</v>
      </c>
      <c r="R68" s="75">
        <f t="shared" si="84"/>
        <v>185</v>
      </c>
      <c r="S68" s="75">
        <f t="shared" si="84"/>
        <v>0</v>
      </c>
      <c r="T68" s="75">
        <f t="shared" si="84"/>
        <v>0</v>
      </c>
      <c r="U68" s="76">
        <f t="shared" si="82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8"/>
        <v>325</v>
      </c>
      <c r="G69" s="77"/>
      <c r="H69" s="77">
        <v>324.0</v>
      </c>
      <c r="I69" s="77"/>
      <c r="J69" s="77"/>
      <c r="K69" s="76">
        <f t="shared" si="79"/>
        <v>324</v>
      </c>
      <c r="L69" s="77"/>
      <c r="M69" s="77"/>
      <c r="N69" s="77"/>
      <c r="O69" s="77"/>
      <c r="P69" s="78">
        <f t="shared" si="80"/>
        <v>0</v>
      </c>
      <c r="Q69" s="75">
        <f t="shared" ref="Q69:T69" si="85">B69+G69+L69</f>
        <v>0</v>
      </c>
      <c r="R69" s="75">
        <f t="shared" si="85"/>
        <v>649</v>
      </c>
      <c r="S69" s="75">
        <f t="shared" si="85"/>
        <v>0</v>
      </c>
      <c r="T69" s="75">
        <f t="shared" si="85"/>
        <v>0</v>
      </c>
      <c r="U69" s="76">
        <f t="shared" si="82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8"/>
        <v>392</v>
      </c>
      <c r="G70" s="77"/>
      <c r="H70" s="77">
        <v>76.0</v>
      </c>
      <c r="I70" s="77"/>
      <c r="J70" s="77"/>
      <c r="K70" s="76">
        <f t="shared" si="79"/>
        <v>76</v>
      </c>
      <c r="L70" s="77"/>
      <c r="M70" s="77"/>
      <c r="N70" s="77"/>
      <c r="O70" s="77"/>
      <c r="P70" s="78">
        <f t="shared" si="80"/>
        <v>0</v>
      </c>
      <c r="Q70" s="75">
        <f t="shared" ref="Q70:T70" si="86">B70+G70+L70</f>
        <v>0</v>
      </c>
      <c r="R70" s="75">
        <f t="shared" si="86"/>
        <v>468</v>
      </c>
      <c r="S70" s="75">
        <f t="shared" si="86"/>
        <v>0</v>
      </c>
      <c r="T70" s="75">
        <f t="shared" si="86"/>
        <v>0</v>
      </c>
      <c r="U70" s="76">
        <f t="shared" si="82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8"/>
        <v>243</v>
      </c>
      <c r="G71" s="77"/>
      <c r="H71" s="77">
        <v>268.0</v>
      </c>
      <c r="I71" s="77"/>
      <c r="J71" s="77"/>
      <c r="K71" s="76">
        <f t="shared" si="79"/>
        <v>268</v>
      </c>
      <c r="L71" s="77"/>
      <c r="M71" s="77"/>
      <c r="N71" s="77"/>
      <c r="O71" s="77"/>
      <c r="P71" s="78">
        <f t="shared" si="80"/>
        <v>0</v>
      </c>
      <c r="Q71" s="75">
        <f t="shared" ref="Q71:T71" si="87">B71+G71+L71</f>
        <v>0</v>
      </c>
      <c r="R71" s="75">
        <f t="shared" si="87"/>
        <v>511</v>
      </c>
      <c r="S71" s="75">
        <f t="shared" si="87"/>
        <v>0</v>
      </c>
      <c r="T71" s="75">
        <f t="shared" si="87"/>
        <v>0</v>
      </c>
      <c r="U71" s="76">
        <f t="shared" si="82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8"/>
        <v>184</v>
      </c>
      <c r="G72" s="90"/>
      <c r="H72" s="90">
        <v>4.0</v>
      </c>
      <c r="I72" s="90"/>
      <c r="J72" s="90"/>
      <c r="K72" s="76">
        <f t="shared" si="79"/>
        <v>4</v>
      </c>
      <c r="L72" s="90"/>
      <c r="M72" s="90"/>
      <c r="N72" s="90"/>
      <c r="O72" s="90"/>
      <c r="P72" s="91">
        <f t="shared" si="80"/>
        <v>0</v>
      </c>
      <c r="Q72" s="75">
        <f t="shared" ref="Q72:T72" si="88">B72+G72+L72</f>
        <v>0</v>
      </c>
      <c r="R72" s="75">
        <f t="shared" si="88"/>
        <v>188</v>
      </c>
      <c r="S72" s="75">
        <f t="shared" si="88"/>
        <v>0</v>
      </c>
      <c r="T72" s="75">
        <f t="shared" si="88"/>
        <v>0</v>
      </c>
      <c r="U72" s="76">
        <f t="shared" si="82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8"/>
        <v>100</v>
      </c>
      <c r="G73" s="77"/>
      <c r="H73" s="77">
        <v>41.0</v>
      </c>
      <c r="I73" s="77"/>
      <c r="J73" s="77"/>
      <c r="K73" s="76">
        <f t="shared" si="79"/>
        <v>41</v>
      </c>
      <c r="L73" s="77"/>
      <c r="M73" s="77"/>
      <c r="N73" s="77"/>
      <c r="O73" s="77"/>
      <c r="P73" s="78">
        <f t="shared" si="80"/>
        <v>0</v>
      </c>
      <c r="Q73" s="75">
        <f t="shared" ref="Q73:T73" si="89">B73+G73+L73</f>
        <v>0</v>
      </c>
      <c r="R73" s="75">
        <f t="shared" si="89"/>
        <v>141</v>
      </c>
      <c r="S73" s="75">
        <f t="shared" si="89"/>
        <v>0</v>
      </c>
      <c r="T73" s="75">
        <f t="shared" si="89"/>
        <v>0</v>
      </c>
      <c r="U73" s="76">
        <f t="shared" si="82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8"/>
        <v>264</v>
      </c>
      <c r="G74" s="77"/>
      <c r="H74" s="77">
        <v>234.0</v>
      </c>
      <c r="I74" s="77"/>
      <c r="J74" s="77"/>
      <c r="K74" s="76">
        <f t="shared" si="79"/>
        <v>234</v>
      </c>
      <c r="L74" s="77"/>
      <c r="M74" s="77"/>
      <c r="N74" s="77"/>
      <c r="O74" s="77"/>
      <c r="P74" s="78">
        <f t="shared" si="80"/>
        <v>0</v>
      </c>
      <c r="Q74" s="75">
        <f t="shared" ref="Q74:T74" si="90">B74+G74+L74</f>
        <v>0</v>
      </c>
      <c r="R74" s="75">
        <f t="shared" si="90"/>
        <v>498</v>
      </c>
      <c r="S74" s="75">
        <f t="shared" si="90"/>
        <v>0</v>
      </c>
      <c r="T74" s="75">
        <f t="shared" si="90"/>
        <v>0</v>
      </c>
      <c r="U74" s="76">
        <f t="shared" si="82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8"/>
        <v>403</v>
      </c>
      <c r="G75" s="77"/>
      <c r="H75" s="77">
        <v>14.0</v>
      </c>
      <c r="I75" s="77"/>
      <c r="J75" s="77"/>
      <c r="K75" s="76">
        <f t="shared" si="79"/>
        <v>14</v>
      </c>
      <c r="L75" s="77"/>
      <c r="M75" s="77"/>
      <c r="N75" s="77"/>
      <c r="O75" s="77"/>
      <c r="P75" s="78">
        <f t="shared" si="80"/>
        <v>0</v>
      </c>
      <c r="Q75" s="75">
        <f t="shared" ref="Q75:T75" si="91">B75+G75+L75</f>
        <v>0</v>
      </c>
      <c r="R75" s="75">
        <f t="shared" si="91"/>
        <v>417</v>
      </c>
      <c r="S75" s="75">
        <f t="shared" si="91"/>
        <v>0</v>
      </c>
      <c r="T75" s="75">
        <f t="shared" si="91"/>
        <v>0</v>
      </c>
      <c r="U75" s="76">
        <f t="shared" si="82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8"/>
        <v>15</v>
      </c>
      <c r="G76" s="77"/>
      <c r="H76" s="77">
        <v>19.0</v>
      </c>
      <c r="I76" s="77"/>
      <c r="J76" s="77"/>
      <c r="K76" s="76">
        <f t="shared" si="79"/>
        <v>19</v>
      </c>
      <c r="L76" s="77"/>
      <c r="M76" s="77"/>
      <c r="N76" s="77"/>
      <c r="O76" s="77"/>
      <c r="P76" s="78">
        <f t="shared" si="80"/>
        <v>0</v>
      </c>
      <c r="Q76" s="75">
        <f t="shared" ref="Q76:T76" si="92">B76+G76+L76</f>
        <v>0</v>
      </c>
      <c r="R76" s="75">
        <f t="shared" si="92"/>
        <v>34</v>
      </c>
      <c r="S76" s="75">
        <f t="shared" si="92"/>
        <v>0</v>
      </c>
      <c r="T76" s="75">
        <f t="shared" si="92"/>
        <v>0</v>
      </c>
      <c r="U76" s="76">
        <f t="shared" si="82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8"/>
        <v>80</v>
      </c>
      <c r="G77" s="77"/>
      <c r="H77" s="77">
        <v>418.0</v>
      </c>
      <c r="I77" s="77"/>
      <c r="J77" s="77"/>
      <c r="K77" s="76">
        <f t="shared" si="79"/>
        <v>418</v>
      </c>
      <c r="L77" s="77"/>
      <c r="M77" s="77"/>
      <c r="N77" s="77"/>
      <c r="O77" s="77"/>
      <c r="P77" s="78">
        <f t="shared" si="80"/>
        <v>0</v>
      </c>
      <c r="Q77" s="75">
        <f t="shared" ref="Q77:T77" si="93">B77+G77+L77</f>
        <v>0</v>
      </c>
      <c r="R77" s="75">
        <f t="shared" si="93"/>
        <v>498</v>
      </c>
      <c r="S77" s="75">
        <f t="shared" si="93"/>
        <v>0</v>
      </c>
      <c r="T77" s="75">
        <f t="shared" si="93"/>
        <v>0</v>
      </c>
      <c r="U77" s="76">
        <f t="shared" si="82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8"/>
        <v>44</v>
      </c>
      <c r="G78" s="77"/>
      <c r="H78" s="77">
        <v>44.0</v>
      </c>
      <c r="I78" s="77"/>
      <c r="J78" s="77"/>
      <c r="K78" s="76">
        <f t="shared" si="79"/>
        <v>44</v>
      </c>
      <c r="L78" s="77"/>
      <c r="M78" s="77"/>
      <c r="N78" s="77"/>
      <c r="O78" s="77"/>
      <c r="P78" s="78">
        <f t="shared" si="80"/>
        <v>0</v>
      </c>
      <c r="Q78" s="75">
        <f t="shared" ref="Q78:T78" si="94">B78+G78+L78</f>
        <v>0</v>
      </c>
      <c r="R78" s="75">
        <f t="shared" si="94"/>
        <v>88</v>
      </c>
      <c r="S78" s="75">
        <f t="shared" si="94"/>
        <v>0</v>
      </c>
      <c r="T78" s="75">
        <f t="shared" si="94"/>
        <v>0</v>
      </c>
      <c r="U78" s="76">
        <f t="shared" si="82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8"/>
        <v>0</v>
      </c>
      <c r="G79" s="77"/>
      <c r="H79" s="77"/>
      <c r="I79" s="77"/>
      <c r="J79" s="77"/>
      <c r="K79" s="76">
        <f t="shared" si="79"/>
        <v>0</v>
      </c>
      <c r="L79" s="77"/>
      <c r="M79" s="77"/>
      <c r="N79" s="77"/>
      <c r="O79" s="77"/>
      <c r="P79" s="78">
        <f t="shared" si="80"/>
        <v>0</v>
      </c>
      <c r="Q79" s="75">
        <f t="shared" ref="Q79:T79" si="95">B79+G79+L79</f>
        <v>0</v>
      </c>
      <c r="R79" s="75">
        <f t="shared" si="95"/>
        <v>0</v>
      </c>
      <c r="S79" s="75">
        <f t="shared" si="95"/>
        <v>0</v>
      </c>
      <c r="T79" s="75">
        <f t="shared" si="95"/>
        <v>0</v>
      </c>
      <c r="U79" s="76">
        <f t="shared" si="82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471</v>
      </c>
      <c r="C9" s="70">
        <f t="shared" si="1"/>
        <v>7179</v>
      </c>
      <c r="D9" s="70">
        <f t="shared" si="1"/>
        <v>16204</v>
      </c>
      <c r="E9" s="70">
        <f t="shared" si="1"/>
        <v>28349</v>
      </c>
      <c r="F9" s="71">
        <f t="shared" si="1"/>
        <v>52203</v>
      </c>
      <c r="G9" s="70">
        <f t="shared" si="1"/>
        <v>0</v>
      </c>
      <c r="H9" s="70">
        <f t="shared" si="1"/>
        <v>2268</v>
      </c>
      <c r="I9" s="70">
        <f t="shared" si="1"/>
        <v>4832</v>
      </c>
      <c r="J9" s="70">
        <f t="shared" si="1"/>
        <v>3868</v>
      </c>
      <c r="K9" s="71">
        <f t="shared" si="1"/>
        <v>10968</v>
      </c>
      <c r="L9" s="70">
        <f t="shared" si="1"/>
        <v>0</v>
      </c>
      <c r="M9" s="70">
        <f t="shared" si="1"/>
        <v>46</v>
      </c>
      <c r="N9" s="70">
        <f t="shared" si="1"/>
        <v>0</v>
      </c>
      <c r="O9" s="70">
        <f t="shared" si="1"/>
        <v>2</v>
      </c>
      <c r="P9" s="71">
        <f t="shared" si="1"/>
        <v>48</v>
      </c>
      <c r="Q9" s="70">
        <f t="shared" si="1"/>
        <v>471</v>
      </c>
      <c r="R9" s="70">
        <f t="shared" si="1"/>
        <v>9493</v>
      </c>
      <c r="S9" s="70">
        <f t="shared" si="1"/>
        <v>21352</v>
      </c>
      <c r="T9" s="70">
        <f t="shared" si="1"/>
        <v>32219</v>
      </c>
      <c r="U9" s="71">
        <f t="shared" si="1"/>
        <v>63535</v>
      </c>
      <c r="V9" s="2"/>
    </row>
    <row r="10" ht="15.75" customHeight="1">
      <c r="A10" s="72" t="s">
        <v>49</v>
      </c>
      <c r="B10" s="73">
        <f t="shared" ref="B10:U10" si="2">SUM(B11:B16)</f>
        <v>0</v>
      </c>
      <c r="C10" s="73">
        <f t="shared" si="2"/>
        <v>118</v>
      </c>
      <c r="D10" s="73">
        <f t="shared" si="2"/>
        <v>336</v>
      </c>
      <c r="E10" s="73">
        <f t="shared" si="2"/>
        <v>264</v>
      </c>
      <c r="F10" s="73">
        <f t="shared" si="2"/>
        <v>718</v>
      </c>
      <c r="G10" s="73">
        <f t="shared" si="2"/>
        <v>0</v>
      </c>
      <c r="H10" s="73">
        <f t="shared" si="2"/>
        <v>13</v>
      </c>
      <c r="I10" s="73">
        <f t="shared" si="2"/>
        <v>78</v>
      </c>
      <c r="J10" s="73">
        <f t="shared" si="2"/>
        <v>125</v>
      </c>
      <c r="K10" s="73">
        <f t="shared" si="2"/>
        <v>216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2</v>
      </c>
      <c r="P10" s="73">
        <f t="shared" si="2"/>
        <v>2</v>
      </c>
      <c r="Q10" s="73">
        <f t="shared" si="2"/>
        <v>0</v>
      </c>
      <c r="R10" s="73">
        <f t="shared" si="2"/>
        <v>131</v>
      </c>
      <c r="S10" s="73">
        <f t="shared" si="2"/>
        <v>414</v>
      </c>
      <c r="T10" s="73">
        <f t="shared" si="2"/>
        <v>391</v>
      </c>
      <c r="U10" s="73">
        <f t="shared" si="2"/>
        <v>936</v>
      </c>
      <c r="V10" s="2" t="s">
        <v>114</v>
      </c>
    </row>
    <row r="11" ht="15.0" customHeight="1">
      <c r="A11" s="74" t="s">
        <v>50</v>
      </c>
      <c r="B11" s="75"/>
      <c r="C11" s="75">
        <v>74.0</v>
      </c>
      <c r="D11" s="75">
        <v>91.0</v>
      </c>
      <c r="E11" s="75">
        <v>37.0</v>
      </c>
      <c r="F11" s="76">
        <f t="shared" ref="F11:F16" si="4">SUM(B11:E11)</f>
        <v>202</v>
      </c>
      <c r="G11" s="75"/>
      <c r="H11" s="75">
        <v>2.0</v>
      </c>
      <c r="I11" s="75">
        <v>10.0</v>
      </c>
      <c r="J11" s="75">
        <v>11.0</v>
      </c>
      <c r="K11" s="76">
        <f t="shared" ref="K11:K16" si="5">SUM(G11:J11)</f>
        <v>23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76</v>
      </c>
      <c r="S11" s="75">
        <f t="shared" si="3"/>
        <v>101</v>
      </c>
      <c r="T11" s="75">
        <f t="shared" si="3"/>
        <v>48</v>
      </c>
      <c r="U11" s="76">
        <f t="shared" ref="U11:U16" si="8">SUM(Q11:T11)</f>
        <v>225</v>
      </c>
      <c r="V11" s="2"/>
    </row>
    <row r="12" ht="15.0" customHeight="1">
      <c r="A12" s="74" t="s">
        <v>51</v>
      </c>
      <c r="B12" s="77"/>
      <c r="C12" s="77">
        <v>2.0</v>
      </c>
      <c r="D12" s="77">
        <v>2.0</v>
      </c>
      <c r="E12" s="77">
        <v>2.0</v>
      </c>
      <c r="F12" s="78">
        <f t="shared" si="4"/>
        <v>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2</v>
      </c>
      <c r="S12" s="77">
        <f t="shared" si="7"/>
        <v>2</v>
      </c>
      <c r="T12" s="77">
        <f t="shared" si="7"/>
        <v>2</v>
      </c>
      <c r="U12" s="78">
        <f t="shared" si="8"/>
        <v>6</v>
      </c>
      <c r="V12" s="2"/>
    </row>
    <row r="13" ht="15.0" customHeight="1">
      <c r="A13" s="74" t="s">
        <v>52</v>
      </c>
      <c r="B13" s="77"/>
      <c r="C13" s="77"/>
      <c r="D13" s="77"/>
      <c r="E13" s="77">
        <v>15.0</v>
      </c>
      <c r="F13" s="78">
        <f t="shared" si="4"/>
        <v>15</v>
      </c>
      <c r="G13" s="77"/>
      <c r="H13" s="77"/>
      <c r="I13" s="77">
        <v>16.0</v>
      </c>
      <c r="J13" s="77">
        <v>2.0</v>
      </c>
      <c r="K13" s="78">
        <f t="shared" si="5"/>
        <v>18</v>
      </c>
      <c r="L13" s="77"/>
      <c r="M13" s="77"/>
      <c r="N13" s="77"/>
      <c r="O13" s="77">
        <v>2.0</v>
      </c>
      <c r="P13" s="78">
        <f t="shared" si="6"/>
        <v>2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16</v>
      </c>
      <c r="T13" s="77">
        <f t="shared" si="9"/>
        <v>19</v>
      </c>
      <c r="U13" s="78">
        <f t="shared" si="8"/>
        <v>35</v>
      </c>
      <c r="V13" s="2"/>
    </row>
    <row r="14" ht="15.0" customHeight="1">
      <c r="A14" s="74" t="s">
        <v>53</v>
      </c>
      <c r="B14" s="77"/>
      <c r="C14" s="77"/>
      <c r="D14" s="77">
        <v>85.0</v>
      </c>
      <c r="E14" s="77">
        <v>71.0</v>
      </c>
      <c r="F14" s="78">
        <f t="shared" si="4"/>
        <v>156</v>
      </c>
      <c r="G14" s="77"/>
      <c r="H14" s="77"/>
      <c r="I14" s="77">
        <v>28.0</v>
      </c>
      <c r="J14" s="77">
        <v>48.0</v>
      </c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113</v>
      </c>
      <c r="T14" s="77">
        <f t="shared" si="10"/>
        <v>119</v>
      </c>
      <c r="U14" s="78">
        <f t="shared" si="8"/>
        <v>232</v>
      </c>
      <c r="V14" s="2"/>
    </row>
    <row r="15" ht="15.0" customHeight="1">
      <c r="A15" s="74" t="s">
        <v>54</v>
      </c>
      <c r="B15" s="77"/>
      <c r="C15" s="77">
        <v>42.0</v>
      </c>
      <c r="D15" s="77">
        <v>149.0</v>
      </c>
      <c r="E15" s="77">
        <v>51.0</v>
      </c>
      <c r="F15" s="78">
        <f t="shared" si="4"/>
        <v>242</v>
      </c>
      <c r="G15" s="77"/>
      <c r="H15" s="77">
        <v>11.0</v>
      </c>
      <c r="I15" s="77">
        <v>21.0</v>
      </c>
      <c r="J15" s="77">
        <v>7.0</v>
      </c>
      <c r="K15" s="78">
        <f t="shared" si="5"/>
        <v>39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53</v>
      </c>
      <c r="S15" s="77">
        <f t="shared" si="11"/>
        <v>170</v>
      </c>
      <c r="T15" s="77">
        <f t="shared" si="11"/>
        <v>58</v>
      </c>
      <c r="U15" s="78">
        <f t="shared" si="8"/>
        <v>281</v>
      </c>
      <c r="V15" s="2"/>
    </row>
    <row r="16" ht="15.75" customHeight="1">
      <c r="A16" s="74" t="s">
        <v>55</v>
      </c>
      <c r="B16" s="77"/>
      <c r="C16" s="77"/>
      <c r="D16" s="77">
        <v>9.0</v>
      </c>
      <c r="E16" s="77">
        <v>88.0</v>
      </c>
      <c r="F16" s="78">
        <f t="shared" si="4"/>
        <v>97</v>
      </c>
      <c r="G16" s="77"/>
      <c r="H16" s="77"/>
      <c r="I16" s="77">
        <v>3.0</v>
      </c>
      <c r="J16" s="77">
        <v>57.0</v>
      </c>
      <c r="K16" s="78">
        <f t="shared" si="5"/>
        <v>60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12</v>
      </c>
      <c r="T16" s="77">
        <f t="shared" si="12"/>
        <v>145</v>
      </c>
      <c r="U16" s="78">
        <f t="shared" si="8"/>
        <v>157</v>
      </c>
      <c r="V16" s="2"/>
    </row>
    <row r="17" ht="15.75" customHeight="1">
      <c r="A17" s="72" t="s">
        <v>56</v>
      </c>
      <c r="B17" s="73">
        <f t="shared" ref="B17:Q17" si="13">SUM(B18:B28)</f>
        <v>293</v>
      </c>
      <c r="C17" s="73">
        <f t="shared" si="13"/>
        <v>3280</v>
      </c>
      <c r="D17" s="73">
        <f t="shared" si="13"/>
        <v>4277</v>
      </c>
      <c r="E17" s="73">
        <f t="shared" si="13"/>
        <v>13519</v>
      </c>
      <c r="F17" s="73">
        <f t="shared" si="13"/>
        <v>21369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293</v>
      </c>
      <c r="R17" s="73">
        <f>R18+R19+R20+R21+R22+R23+R24+R25+R26+R27+R28</f>
        <v>3280</v>
      </c>
      <c r="S17" s="73">
        <f t="shared" ref="S17:U17" si="14">SUM(S18:S28)</f>
        <v>4277</v>
      </c>
      <c r="T17" s="73">
        <f t="shared" si="14"/>
        <v>13519</v>
      </c>
      <c r="U17" s="73">
        <f t="shared" si="14"/>
        <v>21369</v>
      </c>
      <c r="V17" s="2" t="s">
        <v>114</v>
      </c>
    </row>
    <row r="18" ht="15.0" customHeight="1">
      <c r="A18" s="74" t="s">
        <v>57</v>
      </c>
      <c r="B18" s="75"/>
      <c r="C18" s="75"/>
      <c r="D18" s="75">
        <v>53.0</v>
      </c>
      <c r="E18" s="75">
        <v>242.0</v>
      </c>
      <c r="F18" s="76">
        <f t="shared" ref="F18:F28" si="16">SUM(B18:E18)</f>
        <v>295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0</v>
      </c>
      <c r="S18" s="75">
        <f t="shared" si="15"/>
        <v>53</v>
      </c>
      <c r="T18" s="75">
        <f t="shared" si="15"/>
        <v>242</v>
      </c>
      <c r="U18" s="76">
        <f t="shared" ref="U18:U28" si="20">SUM(Q18:T18)</f>
        <v>295</v>
      </c>
      <c r="V18" s="2"/>
    </row>
    <row r="19" ht="15.0" customHeight="1">
      <c r="A19" s="74" t="s">
        <v>58</v>
      </c>
      <c r="B19" s="77"/>
      <c r="C19" s="77"/>
      <c r="D19" s="75">
        <v>148.0</v>
      </c>
      <c r="E19" s="75">
        <v>1873.0</v>
      </c>
      <c r="F19" s="76">
        <f t="shared" si="16"/>
        <v>2021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0</v>
      </c>
      <c r="S19" s="75">
        <f t="shared" si="19"/>
        <v>148</v>
      </c>
      <c r="T19" s="75">
        <f t="shared" si="19"/>
        <v>1873</v>
      </c>
      <c r="U19" s="78">
        <f t="shared" si="20"/>
        <v>2021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>
        <v>33.0</v>
      </c>
      <c r="E21" s="77">
        <v>108.0</v>
      </c>
      <c r="F21" s="76">
        <f t="shared" si="16"/>
        <v>141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33</v>
      </c>
      <c r="T21" s="75">
        <f t="shared" si="22"/>
        <v>108</v>
      </c>
      <c r="U21" s="78">
        <f t="shared" si="20"/>
        <v>141</v>
      </c>
      <c r="V21" s="2"/>
    </row>
    <row r="22" ht="15.0" customHeight="1">
      <c r="A22" s="74" t="s">
        <v>61</v>
      </c>
      <c r="B22" s="77"/>
      <c r="C22" s="77"/>
      <c r="D22" s="77">
        <v>202.0</v>
      </c>
      <c r="E22" s="77">
        <v>561.0</v>
      </c>
      <c r="F22" s="76">
        <f t="shared" si="16"/>
        <v>763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202</v>
      </c>
      <c r="T22" s="75">
        <f t="shared" si="23"/>
        <v>561</v>
      </c>
      <c r="U22" s="78">
        <f t="shared" si="20"/>
        <v>763</v>
      </c>
      <c r="V22" s="2"/>
    </row>
    <row r="23" ht="15.0" customHeight="1">
      <c r="A23" s="74" t="s">
        <v>62</v>
      </c>
      <c r="B23" s="77"/>
      <c r="C23" s="77"/>
      <c r="D23" s="77">
        <v>59.0</v>
      </c>
      <c r="E23" s="77">
        <v>92.0</v>
      </c>
      <c r="F23" s="76">
        <f t="shared" si="16"/>
        <v>151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0</v>
      </c>
      <c r="S23" s="75">
        <f t="shared" si="24"/>
        <v>59</v>
      </c>
      <c r="T23" s="75">
        <f t="shared" si="24"/>
        <v>92</v>
      </c>
      <c r="U23" s="78">
        <f t="shared" si="20"/>
        <v>151</v>
      </c>
      <c r="V23" s="2"/>
    </row>
    <row r="24" ht="15.0" customHeight="1">
      <c r="A24" s="74" t="s">
        <v>63</v>
      </c>
      <c r="B24" s="79"/>
      <c r="C24" s="77">
        <v>325.0</v>
      </c>
      <c r="D24" s="77">
        <v>186.0</v>
      </c>
      <c r="E24" s="77"/>
      <c r="F24" s="76">
        <f t="shared" si="16"/>
        <v>511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325</v>
      </c>
      <c r="S24" s="75">
        <f t="shared" si="25"/>
        <v>186</v>
      </c>
      <c r="T24" s="75">
        <f t="shared" si="25"/>
        <v>0</v>
      </c>
      <c r="U24" s="78">
        <f t="shared" si="20"/>
        <v>511</v>
      </c>
      <c r="V24" s="2"/>
    </row>
    <row r="25" ht="15.0" customHeight="1">
      <c r="A25" s="74" t="s">
        <v>17</v>
      </c>
      <c r="B25" s="75"/>
      <c r="C25" s="75"/>
      <c r="D25" s="77"/>
      <c r="E25" s="77">
        <v>4874.0</v>
      </c>
      <c r="F25" s="76">
        <f t="shared" si="16"/>
        <v>4874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4874</v>
      </c>
      <c r="U25" s="76">
        <f t="shared" si="20"/>
        <v>4874</v>
      </c>
      <c r="V25" s="2"/>
    </row>
    <row r="26" ht="15.0" customHeight="1">
      <c r="A26" s="74" t="s">
        <v>64</v>
      </c>
      <c r="B26" s="77"/>
      <c r="C26" s="80">
        <v>839.0</v>
      </c>
      <c r="D26" s="80">
        <v>1598.0</v>
      </c>
      <c r="E26" s="75">
        <v>2518.0</v>
      </c>
      <c r="F26" s="76">
        <f t="shared" si="16"/>
        <v>4955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0</v>
      </c>
      <c r="R26" s="75">
        <f t="shared" si="27"/>
        <v>839</v>
      </c>
      <c r="S26" s="75">
        <f t="shared" si="27"/>
        <v>1598</v>
      </c>
      <c r="T26" s="75">
        <f t="shared" si="27"/>
        <v>2518</v>
      </c>
      <c r="U26" s="78">
        <f t="shared" si="20"/>
        <v>4955</v>
      </c>
      <c r="V26" s="2"/>
    </row>
    <row r="27" ht="15.0" customHeight="1">
      <c r="A27" s="74" t="s">
        <v>65</v>
      </c>
      <c r="B27" s="77"/>
      <c r="C27" s="77">
        <v>1862.0</v>
      </c>
      <c r="D27" s="77">
        <v>1947.0</v>
      </c>
      <c r="E27" s="77">
        <v>1453.0</v>
      </c>
      <c r="F27" s="76">
        <f t="shared" si="16"/>
        <v>5262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1862</v>
      </c>
      <c r="S27" s="75">
        <f t="shared" si="28"/>
        <v>1947</v>
      </c>
      <c r="T27" s="75">
        <f t="shared" si="28"/>
        <v>1453</v>
      </c>
      <c r="U27" s="78">
        <f t="shared" si="20"/>
        <v>5262</v>
      </c>
      <c r="V27" s="2"/>
    </row>
    <row r="28" ht="15.75" customHeight="1">
      <c r="A28" s="74" t="s">
        <v>54</v>
      </c>
      <c r="B28" s="77">
        <v>293.0</v>
      </c>
      <c r="C28" s="77">
        <v>254.0</v>
      </c>
      <c r="D28" s="77">
        <v>51.0</v>
      </c>
      <c r="E28" s="77">
        <v>1798.0</v>
      </c>
      <c r="F28" s="76">
        <f t="shared" si="16"/>
        <v>2396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293</v>
      </c>
      <c r="R28" s="75">
        <f t="shared" si="29"/>
        <v>254</v>
      </c>
      <c r="S28" s="75">
        <f t="shared" si="29"/>
        <v>51</v>
      </c>
      <c r="T28" s="75">
        <f t="shared" si="29"/>
        <v>1798</v>
      </c>
      <c r="U28" s="78">
        <f t="shared" si="20"/>
        <v>2396</v>
      </c>
      <c r="V28" s="2"/>
    </row>
    <row r="29" ht="15.75" customHeight="1">
      <c r="A29" s="72" t="s">
        <v>66</v>
      </c>
      <c r="B29" s="73">
        <f t="shared" ref="B29:U29" si="30">SUM(B30:B44)</f>
        <v>0</v>
      </c>
      <c r="C29" s="73">
        <f t="shared" si="30"/>
        <v>582</v>
      </c>
      <c r="D29" s="73">
        <f t="shared" si="30"/>
        <v>8741</v>
      </c>
      <c r="E29" s="73">
        <f t="shared" si="30"/>
        <v>10483</v>
      </c>
      <c r="F29" s="81">
        <f t="shared" si="30"/>
        <v>19806</v>
      </c>
      <c r="G29" s="73">
        <f t="shared" si="30"/>
        <v>0</v>
      </c>
      <c r="H29" s="73">
        <f t="shared" si="30"/>
        <v>149</v>
      </c>
      <c r="I29" s="73">
        <f t="shared" si="30"/>
        <v>1846</v>
      </c>
      <c r="J29" s="73">
        <f t="shared" si="30"/>
        <v>1566</v>
      </c>
      <c r="K29" s="81">
        <f t="shared" si="30"/>
        <v>3561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0</v>
      </c>
      <c r="R29" s="73">
        <f t="shared" si="30"/>
        <v>777</v>
      </c>
      <c r="S29" s="73">
        <f t="shared" si="30"/>
        <v>10903</v>
      </c>
      <c r="T29" s="73">
        <f t="shared" si="30"/>
        <v>12049</v>
      </c>
      <c r="U29" s="81">
        <f t="shared" si="30"/>
        <v>23729</v>
      </c>
      <c r="V29" s="2" t="s">
        <v>114</v>
      </c>
    </row>
    <row r="30" ht="15.0" customHeight="1">
      <c r="A30" s="74" t="s">
        <v>67</v>
      </c>
      <c r="B30" s="75"/>
      <c r="C30" s="75"/>
      <c r="D30" s="75">
        <v>519.0</v>
      </c>
      <c r="E30" s="75">
        <v>517.0</v>
      </c>
      <c r="F30" s="76">
        <f t="shared" ref="F30:F44" si="32">SUM(B30:E30)</f>
        <v>1036</v>
      </c>
      <c r="G30" s="75"/>
      <c r="H30" s="75">
        <v>65.0</v>
      </c>
      <c r="I30" s="75">
        <v>533.0</v>
      </c>
      <c r="J30" s="75">
        <v>312.0</v>
      </c>
      <c r="K30" s="76">
        <f t="shared" ref="K30:K44" si="33">SUM(G30:J30)</f>
        <v>910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65</v>
      </c>
      <c r="S30" s="75">
        <f t="shared" si="31"/>
        <v>1052</v>
      </c>
      <c r="T30" s="75">
        <f t="shared" si="31"/>
        <v>829</v>
      </c>
      <c r="U30" s="76">
        <f t="shared" ref="U30:U44" si="36">SUM(Q30:T30)</f>
        <v>1946</v>
      </c>
      <c r="V30" s="2"/>
    </row>
    <row r="31" ht="15.0" customHeight="1">
      <c r="A31" s="74" t="s">
        <v>68</v>
      </c>
      <c r="B31" s="77"/>
      <c r="C31" s="77"/>
      <c r="D31" s="77">
        <v>458.0</v>
      </c>
      <c r="E31" s="77">
        <v>456.0</v>
      </c>
      <c r="F31" s="76">
        <f t="shared" si="32"/>
        <v>914</v>
      </c>
      <c r="G31" s="77"/>
      <c r="H31" s="77"/>
      <c r="I31" s="77">
        <v>61.0</v>
      </c>
      <c r="J31" s="77">
        <v>53.0</v>
      </c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0</v>
      </c>
      <c r="R31" s="77">
        <f t="shared" si="35"/>
        <v>46</v>
      </c>
      <c r="S31" s="77">
        <f t="shared" si="35"/>
        <v>519</v>
      </c>
      <c r="T31" s="77">
        <f t="shared" si="35"/>
        <v>509</v>
      </c>
      <c r="U31" s="78">
        <f t="shared" si="36"/>
        <v>1074</v>
      </c>
      <c r="V31" s="2"/>
    </row>
    <row r="32" ht="15.0" customHeight="1">
      <c r="A32" s="74" t="s">
        <v>69</v>
      </c>
      <c r="B32" s="77"/>
      <c r="C32" s="77"/>
      <c r="D32" s="77">
        <v>918.0</v>
      </c>
      <c r="E32" s="77">
        <v>1846.0</v>
      </c>
      <c r="F32" s="76">
        <f t="shared" si="32"/>
        <v>2764</v>
      </c>
      <c r="G32" s="77"/>
      <c r="H32" s="77"/>
      <c r="I32" s="77"/>
      <c r="J32" s="77">
        <v>236.0</v>
      </c>
      <c r="K32" s="76">
        <f t="shared" si="33"/>
        <v>236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0</v>
      </c>
      <c r="S32" s="77">
        <f t="shared" si="37"/>
        <v>918</v>
      </c>
      <c r="T32" s="77">
        <f t="shared" si="37"/>
        <v>2082</v>
      </c>
      <c r="U32" s="78">
        <f t="shared" si="36"/>
        <v>3000</v>
      </c>
      <c r="V32" s="2"/>
    </row>
    <row r="33" ht="15.0" customHeight="1">
      <c r="A33" s="74" t="s">
        <v>70</v>
      </c>
      <c r="B33" s="77"/>
      <c r="C33" s="77"/>
      <c r="D33" s="77"/>
      <c r="E33" s="77"/>
      <c r="F33" s="76">
        <f t="shared" si="32"/>
        <v>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0</v>
      </c>
      <c r="T33" s="77">
        <f t="shared" si="38"/>
        <v>0</v>
      </c>
      <c r="U33" s="78">
        <f t="shared" si="36"/>
        <v>0</v>
      </c>
      <c r="V33" s="2"/>
    </row>
    <row r="34" ht="15.0" customHeight="1">
      <c r="A34" s="74" t="s">
        <v>71</v>
      </c>
      <c r="B34" s="77"/>
      <c r="C34" s="77">
        <v>51.0</v>
      </c>
      <c r="D34" s="77">
        <v>670.0</v>
      </c>
      <c r="E34" s="77">
        <v>2604.0</v>
      </c>
      <c r="F34" s="76">
        <f t="shared" si="32"/>
        <v>3325</v>
      </c>
      <c r="G34" s="77"/>
      <c r="H34" s="77"/>
      <c r="I34" s="77">
        <v>1.0</v>
      </c>
      <c r="J34" s="77">
        <v>131.0</v>
      </c>
      <c r="K34" s="76">
        <f t="shared" si="33"/>
        <v>132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0</v>
      </c>
      <c r="R34" s="77">
        <f t="shared" si="39"/>
        <v>51</v>
      </c>
      <c r="S34" s="77">
        <f t="shared" si="39"/>
        <v>671</v>
      </c>
      <c r="T34" s="77">
        <f t="shared" si="39"/>
        <v>2735</v>
      </c>
      <c r="U34" s="78">
        <f t="shared" si="36"/>
        <v>3457</v>
      </c>
      <c r="V34" s="2"/>
    </row>
    <row r="35" ht="15.0" customHeight="1">
      <c r="A35" s="74" t="s">
        <v>72</v>
      </c>
      <c r="B35" s="77"/>
      <c r="C35" s="77"/>
      <c r="D35" s="77"/>
      <c r="E35" s="77"/>
      <c r="F35" s="76">
        <f t="shared" si="32"/>
        <v>0</v>
      </c>
      <c r="G35" s="77"/>
      <c r="H35" s="77"/>
      <c r="I35" s="77"/>
      <c r="J35" s="77"/>
      <c r="K35" s="76">
        <f t="shared" si="33"/>
        <v>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0</v>
      </c>
      <c r="S35" s="77">
        <f t="shared" si="40"/>
        <v>0</v>
      </c>
      <c r="T35" s="77">
        <f t="shared" si="40"/>
        <v>0</v>
      </c>
      <c r="U35" s="78">
        <f t="shared" si="36"/>
        <v>0</v>
      </c>
      <c r="V35" s="2"/>
    </row>
    <row r="36" ht="15.0" customHeight="1">
      <c r="A36" s="74" t="s">
        <v>73</v>
      </c>
      <c r="B36" s="77"/>
      <c r="C36" s="77">
        <v>472.0</v>
      </c>
      <c r="D36" s="77">
        <v>584.0</v>
      </c>
      <c r="E36" s="77">
        <v>206.0</v>
      </c>
      <c r="F36" s="76">
        <f t="shared" si="32"/>
        <v>1262</v>
      </c>
      <c r="G36" s="77"/>
      <c r="H36" s="77">
        <v>79.0</v>
      </c>
      <c r="I36" s="77">
        <v>316.0</v>
      </c>
      <c r="J36" s="77">
        <v>92.0</v>
      </c>
      <c r="K36" s="76">
        <f t="shared" si="33"/>
        <v>487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551</v>
      </c>
      <c r="S36" s="77">
        <f t="shared" si="41"/>
        <v>900</v>
      </c>
      <c r="T36" s="77">
        <f t="shared" si="41"/>
        <v>298</v>
      </c>
      <c r="U36" s="78">
        <f t="shared" si="36"/>
        <v>1749</v>
      </c>
      <c r="V36" s="2"/>
    </row>
    <row r="37" ht="15.0" customHeight="1">
      <c r="A37" s="74" t="s">
        <v>74</v>
      </c>
      <c r="B37" s="77"/>
      <c r="C37" s="77"/>
      <c r="D37" s="77"/>
      <c r="E37" s="77"/>
      <c r="F37" s="76">
        <f t="shared" si="32"/>
        <v>0</v>
      </c>
      <c r="G37" s="77"/>
      <c r="H37" s="77"/>
      <c r="I37" s="77"/>
      <c r="J37" s="77"/>
      <c r="K37" s="76">
        <f t="shared" si="33"/>
        <v>0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0</v>
      </c>
      <c r="R37" s="77">
        <f t="shared" si="42"/>
        <v>0</v>
      </c>
      <c r="S37" s="77">
        <f t="shared" ref="S37:S41" si="44">SUM(D37,I36,N37)</f>
        <v>316</v>
      </c>
      <c r="T37" s="77">
        <f t="shared" ref="T37:T41" si="45">SUM(E37,J37,O37)</f>
        <v>0</v>
      </c>
      <c r="U37" s="78">
        <f t="shared" si="36"/>
        <v>316</v>
      </c>
      <c r="V37" s="2"/>
    </row>
    <row r="38" ht="15.0" customHeight="1">
      <c r="A38" s="74" t="s">
        <v>75</v>
      </c>
      <c r="B38" s="77"/>
      <c r="C38" s="77"/>
      <c r="D38" s="77">
        <v>2662.0</v>
      </c>
      <c r="E38" s="77">
        <v>872.0</v>
      </c>
      <c r="F38" s="76">
        <f t="shared" si="32"/>
        <v>3534</v>
      </c>
      <c r="G38" s="77"/>
      <c r="H38" s="77">
        <v>5.0</v>
      </c>
      <c r="I38" s="77">
        <v>221.0</v>
      </c>
      <c r="J38" s="77">
        <v>191.0</v>
      </c>
      <c r="K38" s="76">
        <f t="shared" si="33"/>
        <v>417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0</v>
      </c>
      <c r="R38" s="77">
        <f t="shared" si="43"/>
        <v>5</v>
      </c>
      <c r="S38" s="77">
        <f t="shared" si="44"/>
        <v>2662</v>
      </c>
      <c r="T38" s="77">
        <f t="shared" si="45"/>
        <v>1063</v>
      </c>
      <c r="U38" s="78">
        <f t="shared" si="36"/>
        <v>3730</v>
      </c>
      <c r="V38" s="2"/>
    </row>
    <row r="39" ht="15.0" customHeight="1">
      <c r="A39" s="74" t="s">
        <v>76</v>
      </c>
      <c r="B39" s="77"/>
      <c r="C39" s="77"/>
      <c r="D39" s="77">
        <v>731.0</v>
      </c>
      <c r="E39" s="77">
        <v>546.0</v>
      </c>
      <c r="F39" s="76">
        <f t="shared" si="32"/>
        <v>1277</v>
      </c>
      <c r="G39" s="77"/>
      <c r="H39" s="77"/>
      <c r="I39" s="77">
        <v>131.0</v>
      </c>
      <c r="J39" s="77">
        <v>93.0</v>
      </c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0</v>
      </c>
      <c r="S39" s="77">
        <f t="shared" si="44"/>
        <v>952</v>
      </c>
      <c r="T39" s="77">
        <f t="shared" si="45"/>
        <v>639</v>
      </c>
      <c r="U39" s="78">
        <f t="shared" si="36"/>
        <v>1591</v>
      </c>
      <c r="V39" s="2"/>
    </row>
    <row r="40" ht="15.0" customHeight="1">
      <c r="A40" s="74" t="s">
        <v>77</v>
      </c>
      <c r="B40" s="77"/>
      <c r="C40" s="77"/>
      <c r="D40" s="77"/>
      <c r="E40" s="77">
        <v>4.0</v>
      </c>
      <c r="F40" s="76">
        <f t="shared" si="32"/>
        <v>4</v>
      </c>
      <c r="G40" s="77"/>
      <c r="H40" s="77"/>
      <c r="I40" s="77"/>
      <c r="J40" s="77">
        <v>9.0</v>
      </c>
      <c r="K40" s="76">
        <f t="shared" si="33"/>
        <v>9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131</v>
      </c>
      <c r="T40" s="77">
        <f t="shared" si="45"/>
        <v>13</v>
      </c>
      <c r="U40" s="78">
        <f t="shared" si="36"/>
        <v>144</v>
      </c>
      <c r="V40" s="2"/>
    </row>
    <row r="41" ht="15.0" customHeight="1">
      <c r="A41" s="74" t="s">
        <v>78</v>
      </c>
      <c r="B41" s="77"/>
      <c r="C41" s="77"/>
      <c r="D41" s="77">
        <v>582.0</v>
      </c>
      <c r="E41" s="77">
        <v>504.0</v>
      </c>
      <c r="F41" s="76">
        <f t="shared" si="32"/>
        <v>1086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0</v>
      </c>
      <c r="S41" s="77">
        <f t="shared" si="44"/>
        <v>582</v>
      </c>
      <c r="T41" s="77">
        <f t="shared" si="45"/>
        <v>504</v>
      </c>
      <c r="U41" s="78">
        <f t="shared" si="36"/>
        <v>1086</v>
      </c>
      <c r="V41" s="2"/>
    </row>
    <row r="42" ht="15.0" customHeight="1">
      <c r="A42" s="74" t="s">
        <v>79</v>
      </c>
      <c r="B42" s="77"/>
      <c r="C42" s="77"/>
      <c r="D42" s="77">
        <v>82.0</v>
      </c>
      <c r="E42" s="77">
        <v>53.0</v>
      </c>
      <c r="F42" s="76">
        <f t="shared" si="32"/>
        <v>135</v>
      </c>
      <c r="G42" s="77"/>
      <c r="H42" s="77"/>
      <c r="I42" s="77">
        <v>215.0</v>
      </c>
      <c r="J42" s="77">
        <v>21.0</v>
      </c>
      <c r="K42" s="76">
        <f t="shared" si="33"/>
        <v>236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0</v>
      </c>
      <c r="S42" s="77">
        <f t="shared" si="49"/>
        <v>297</v>
      </c>
      <c r="T42" s="77">
        <f t="shared" si="49"/>
        <v>74</v>
      </c>
      <c r="U42" s="78">
        <f t="shared" si="36"/>
        <v>371</v>
      </c>
      <c r="V42" s="2"/>
    </row>
    <row r="43" ht="15.0" customHeight="1">
      <c r="A43" s="74" t="s">
        <v>80</v>
      </c>
      <c r="B43" s="77"/>
      <c r="C43" s="77"/>
      <c r="D43" s="77">
        <v>837.0</v>
      </c>
      <c r="E43" s="77">
        <v>636.0</v>
      </c>
      <c r="F43" s="76">
        <f t="shared" si="32"/>
        <v>1473</v>
      </c>
      <c r="G43" s="77"/>
      <c r="H43" s="77"/>
      <c r="I43" s="77">
        <v>240.0</v>
      </c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1077</v>
      </c>
      <c r="T43" s="77">
        <f t="shared" si="50"/>
        <v>636</v>
      </c>
      <c r="U43" s="78">
        <f t="shared" si="36"/>
        <v>1713</v>
      </c>
      <c r="V43" s="2"/>
    </row>
    <row r="44" ht="15.75" customHeight="1">
      <c r="A44" s="74" t="s">
        <v>81</v>
      </c>
      <c r="B44" s="77"/>
      <c r="C44" s="77">
        <v>59.0</v>
      </c>
      <c r="D44" s="77">
        <v>698.0</v>
      </c>
      <c r="E44" s="77">
        <v>2239.0</v>
      </c>
      <c r="F44" s="76">
        <f t="shared" si="32"/>
        <v>2996</v>
      </c>
      <c r="G44" s="77"/>
      <c r="H44" s="77"/>
      <c r="I44" s="77">
        <v>128.0</v>
      </c>
      <c r="J44" s="77">
        <v>428.0</v>
      </c>
      <c r="K44" s="76">
        <f t="shared" si="33"/>
        <v>556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0</v>
      </c>
      <c r="R44" s="77">
        <f t="shared" si="51"/>
        <v>59</v>
      </c>
      <c r="S44" s="77">
        <f t="shared" si="51"/>
        <v>826</v>
      </c>
      <c r="T44" s="77">
        <f t="shared" si="51"/>
        <v>2667</v>
      </c>
      <c r="U44" s="78">
        <f t="shared" si="36"/>
        <v>3552</v>
      </c>
      <c r="V44" s="2"/>
    </row>
    <row r="45" ht="15.75" customHeight="1">
      <c r="A45" s="72" t="s">
        <v>82</v>
      </c>
      <c r="B45" s="73">
        <f t="shared" ref="B45:U45" si="52">SUM(B46:B63)</f>
        <v>178</v>
      </c>
      <c r="C45" s="73">
        <f t="shared" si="52"/>
        <v>494</v>
      </c>
      <c r="D45" s="73">
        <f t="shared" si="52"/>
        <v>2850</v>
      </c>
      <c r="E45" s="73">
        <f t="shared" si="52"/>
        <v>4083</v>
      </c>
      <c r="F45" s="81">
        <f t="shared" si="52"/>
        <v>7605</v>
      </c>
      <c r="G45" s="73">
        <f t="shared" si="52"/>
        <v>0</v>
      </c>
      <c r="H45" s="73">
        <f t="shared" si="52"/>
        <v>231</v>
      </c>
      <c r="I45" s="73">
        <f t="shared" si="52"/>
        <v>2908</v>
      </c>
      <c r="J45" s="73">
        <f t="shared" si="52"/>
        <v>2177</v>
      </c>
      <c r="K45" s="81">
        <f t="shared" si="52"/>
        <v>5316</v>
      </c>
      <c r="L45" s="73">
        <f t="shared" si="52"/>
        <v>0</v>
      </c>
      <c r="M45" s="73">
        <f t="shared" si="52"/>
        <v>0</v>
      </c>
      <c r="N45" s="73">
        <f t="shared" si="52"/>
        <v>0</v>
      </c>
      <c r="O45" s="73">
        <f t="shared" si="52"/>
        <v>0</v>
      </c>
      <c r="P45" s="81">
        <f t="shared" si="52"/>
        <v>0</v>
      </c>
      <c r="Q45" s="73">
        <f t="shared" si="52"/>
        <v>178</v>
      </c>
      <c r="R45" s="73">
        <f t="shared" si="52"/>
        <v>725</v>
      </c>
      <c r="S45" s="73">
        <f t="shared" si="52"/>
        <v>5758</v>
      </c>
      <c r="T45" s="73">
        <f t="shared" si="52"/>
        <v>6260</v>
      </c>
      <c r="U45" s="73">
        <f t="shared" si="52"/>
        <v>12921</v>
      </c>
      <c r="V45" s="2" t="s">
        <v>114</v>
      </c>
    </row>
    <row r="46" ht="15.0" customHeight="1">
      <c r="A46" s="74" t="s">
        <v>83</v>
      </c>
      <c r="B46" s="75"/>
      <c r="C46" s="75">
        <v>80.0</v>
      </c>
      <c r="D46" s="75">
        <v>235.0</v>
      </c>
      <c r="E46" s="75"/>
      <c r="F46" s="76">
        <f t="shared" ref="F46:F63" si="54">SUM(B46:E46)</f>
        <v>315</v>
      </c>
      <c r="G46" s="75"/>
      <c r="H46" s="75"/>
      <c r="I46" s="75">
        <v>335.0</v>
      </c>
      <c r="J46" s="75">
        <v>30.0</v>
      </c>
      <c r="K46" s="76">
        <f t="shared" ref="K46:K63" si="55">SUM(G46:J46)</f>
        <v>365</v>
      </c>
      <c r="L46" s="75"/>
      <c r="M46" s="75"/>
      <c r="N46" s="75"/>
      <c r="O46" s="75"/>
      <c r="P46" s="76">
        <f t="shared" ref="P46:P63" si="56">SUM(L46:O46)</f>
        <v>0</v>
      </c>
      <c r="Q46" s="75">
        <f t="shared" ref="Q46:T46" si="53">SUM(B46,G46,L46)</f>
        <v>0</v>
      </c>
      <c r="R46" s="75">
        <f t="shared" si="53"/>
        <v>80</v>
      </c>
      <c r="S46" s="75">
        <f t="shared" si="53"/>
        <v>570</v>
      </c>
      <c r="T46" s="75">
        <f t="shared" si="53"/>
        <v>30</v>
      </c>
      <c r="U46" s="76">
        <f t="shared" ref="U46:U63" si="58">SUM(Q46:T46)</f>
        <v>680</v>
      </c>
      <c r="V46" s="2"/>
    </row>
    <row r="47" ht="15.0" customHeight="1">
      <c r="A47" s="74" t="s">
        <v>84</v>
      </c>
      <c r="B47" s="77"/>
      <c r="C47" s="77"/>
      <c r="D47" s="77"/>
      <c r="E47" s="2">
        <v>50.0</v>
      </c>
      <c r="F47" s="76">
        <f t="shared" si="54"/>
        <v>50</v>
      </c>
      <c r="G47" s="77"/>
      <c r="H47" s="77"/>
      <c r="I47" s="2"/>
      <c r="J47" s="2"/>
      <c r="K47" s="76">
        <f t="shared" si="55"/>
        <v>0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0</v>
      </c>
      <c r="R47" s="75">
        <f t="shared" si="57"/>
        <v>0</v>
      </c>
      <c r="S47" s="75">
        <f t="shared" si="57"/>
        <v>0</v>
      </c>
      <c r="T47" s="75">
        <f t="shared" si="57"/>
        <v>50</v>
      </c>
      <c r="U47" s="78">
        <f t="shared" si="58"/>
        <v>50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3.0</v>
      </c>
      <c r="C49" s="77"/>
      <c r="D49" s="77">
        <v>379.0</v>
      </c>
      <c r="E49" s="77"/>
      <c r="F49" s="76">
        <f t="shared" si="54"/>
        <v>382</v>
      </c>
      <c r="G49" s="77"/>
      <c r="H49" s="77"/>
      <c r="I49" s="77"/>
      <c r="J49" s="77">
        <v>3.0</v>
      </c>
      <c r="K49" s="76">
        <f t="shared" si="55"/>
        <v>3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3</v>
      </c>
      <c r="R49" s="75">
        <f t="shared" si="60"/>
        <v>0</v>
      </c>
      <c r="S49" s="75">
        <f t="shared" si="60"/>
        <v>379</v>
      </c>
      <c r="T49" s="75">
        <f t="shared" si="60"/>
        <v>3</v>
      </c>
      <c r="U49" s="78">
        <f t="shared" si="58"/>
        <v>385</v>
      </c>
      <c r="V49" s="2"/>
    </row>
    <row r="50" ht="15.0" customHeight="1">
      <c r="A50" s="74" t="s">
        <v>87</v>
      </c>
      <c r="B50" s="77"/>
      <c r="C50" s="77">
        <v>62.0</v>
      </c>
      <c r="D50" s="77">
        <v>214.0</v>
      </c>
      <c r="E50" s="77">
        <v>1450.0</v>
      </c>
      <c r="F50" s="76">
        <f t="shared" si="54"/>
        <v>1726</v>
      </c>
      <c r="G50" s="77"/>
      <c r="H50" s="77"/>
      <c r="I50" s="77">
        <v>9.0</v>
      </c>
      <c r="J50" s="77">
        <v>574.0</v>
      </c>
      <c r="K50" s="76">
        <f t="shared" si="55"/>
        <v>583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0</v>
      </c>
      <c r="R50" s="75">
        <f t="shared" si="61"/>
        <v>62</v>
      </c>
      <c r="S50" s="75">
        <f t="shared" si="61"/>
        <v>223</v>
      </c>
      <c r="T50" s="75">
        <f t="shared" si="61"/>
        <v>2024</v>
      </c>
      <c r="U50" s="78">
        <f t="shared" si="58"/>
        <v>2309</v>
      </c>
      <c r="V50" s="2"/>
    </row>
    <row r="51" ht="15.0" customHeight="1">
      <c r="A51" s="74" t="s">
        <v>88</v>
      </c>
      <c r="B51" s="77"/>
      <c r="C51" s="77">
        <v>10.0</v>
      </c>
      <c r="D51" s="77">
        <v>98.0</v>
      </c>
      <c r="E51" s="77">
        <v>2.0</v>
      </c>
      <c r="F51" s="76">
        <f t="shared" si="54"/>
        <v>110</v>
      </c>
      <c r="G51" s="77"/>
      <c r="H51" s="77">
        <v>7.0</v>
      </c>
      <c r="I51" s="77">
        <v>121.0</v>
      </c>
      <c r="J51" s="77">
        <v>54.0</v>
      </c>
      <c r="K51" s="76">
        <f t="shared" si="55"/>
        <v>182</v>
      </c>
      <c r="L51" s="77"/>
      <c r="M51" s="77"/>
      <c r="N51" s="77"/>
      <c r="O51" s="77"/>
      <c r="P51" s="76">
        <f t="shared" si="56"/>
        <v>0</v>
      </c>
      <c r="Q51" s="75">
        <f t="shared" ref="Q51:T51" si="62">SUM(B51,G51,L51)</f>
        <v>0</v>
      </c>
      <c r="R51" s="75">
        <f t="shared" si="62"/>
        <v>17</v>
      </c>
      <c r="S51" s="75">
        <f t="shared" si="62"/>
        <v>219</v>
      </c>
      <c r="T51" s="75">
        <f t="shared" si="62"/>
        <v>56</v>
      </c>
      <c r="U51" s="78">
        <f t="shared" si="58"/>
        <v>292</v>
      </c>
      <c r="V51" s="2"/>
    </row>
    <row r="52" ht="15.0" customHeight="1">
      <c r="A52" s="83" t="s">
        <v>89</v>
      </c>
      <c r="B52" s="84"/>
      <c r="C52" s="84"/>
      <c r="D52" s="84">
        <v>242.0</v>
      </c>
      <c r="E52" s="84"/>
      <c r="F52" s="85">
        <f t="shared" si="54"/>
        <v>242</v>
      </c>
      <c r="G52" s="84"/>
      <c r="H52" s="84"/>
      <c r="I52" s="84">
        <v>161.0</v>
      </c>
      <c r="J52" s="84"/>
      <c r="K52" s="85">
        <f t="shared" si="55"/>
        <v>161</v>
      </c>
      <c r="L52" s="84"/>
      <c r="M52" s="84"/>
      <c r="N52" s="84"/>
      <c r="O52" s="84"/>
      <c r="P52" s="85">
        <f t="shared" si="56"/>
        <v>0</v>
      </c>
      <c r="Q52" s="86">
        <f t="shared" ref="Q52:T52" si="63">SUM(B52,G52,L52)</f>
        <v>0</v>
      </c>
      <c r="R52" s="86">
        <f t="shared" si="63"/>
        <v>0</v>
      </c>
      <c r="S52" s="86">
        <f t="shared" si="63"/>
        <v>403</v>
      </c>
      <c r="T52" s="86">
        <f t="shared" si="63"/>
        <v>0</v>
      </c>
      <c r="U52" s="87">
        <f t="shared" si="58"/>
        <v>403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/>
      <c r="C53" s="77"/>
      <c r="D53" s="77">
        <v>5.0</v>
      </c>
      <c r="E53" s="77"/>
      <c r="F53" s="76">
        <f t="shared" si="54"/>
        <v>5</v>
      </c>
      <c r="G53" s="77"/>
      <c r="H53" s="77"/>
      <c r="I53" s="77"/>
      <c r="J53" s="77"/>
      <c r="K53" s="76">
        <f t="shared" si="55"/>
        <v>0</v>
      </c>
      <c r="L53" s="77"/>
      <c r="M53" s="77"/>
      <c r="N53" s="77"/>
      <c r="O53" s="77"/>
      <c r="P53" s="76">
        <f t="shared" si="56"/>
        <v>0</v>
      </c>
      <c r="Q53" s="75">
        <f t="shared" ref="Q53:T53" si="64">SUM(B53,G53,L53)</f>
        <v>0</v>
      </c>
      <c r="R53" s="75">
        <f t="shared" si="64"/>
        <v>0</v>
      </c>
      <c r="S53" s="75">
        <f t="shared" si="64"/>
        <v>5</v>
      </c>
      <c r="T53" s="75">
        <f t="shared" si="64"/>
        <v>0</v>
      </c>
      <c r="U53" s="78">
        <f t="shared" si="58"/>
        <v>5</v>
      </c>
      <c r="V53" s="2"/>
    </row>
    <row r="54" ht="15.0" customHeight="1">
      <c r="A54" s="74" t="s">
        <v>91</v>
      </c>
      <c r="B54" s="77"/>
      <c r="C54" s="77"/>
      <c r="D54" s="77"/>
      <c r="E54" s="77">
        <v>159.0</v>
      </c>
      <c r="F54" s="76">
        <f t="shared" si="54"/>
        <v>159</v>
      </c>
      <c r="G54" s="77"/>
      <c r="H54" s="77"/>
      <c r="I54" s="77"/>
      <c r="J54" s="77">
        <v>200.0</v>
      </c>
      <c r="K54" s="76">
        <f t="shared" si="55"/>
        <v>200</v>
      </c>
      <c r="L54" s="77"/>
      <c r="M54" s="77"/>
      <c r="N54" s="77"/>
      <c r="O54" s="77"/>
      <c r="P54" s="76">
        <f t="shared" si="56"/>
        <v>0</v>
      </c>
      <c r="Q54" s="75">
        <f t="shared" ref="Q54:T54" si="65">SUM(B54,G54,L54)</f>
        <v>0</v>
      </c>
      <c r="R54" s="75">
        <f t="shared" si="65"/>
        <v>0</v>
      </c>
      <c r="S54" s="75">
        <f t="shared" si="65"/>
        <v>0</v>
      </c>
      <c r="T54" s="75">
        <f t="shared" si="65"/>
        <v>359</v>
      </c>
      <c r="U54" s="78">
        <f t="shared" si="58"/>
        <v>359</v>
      </c>
      <c r="V54" s="2"/>
    </row>
    <row r="55" ht="15.0" customHeight="1">
      <c r="A55" s="74" t="s">
        <v>92</v>
      </c>
      <c r="B55" s="77"/>
      <c r="C55" s="77"/>
      <c r="D55" s="77"/>
      <c r="E55" s="77">
        <v>45.0</v>
      </c>
      <c r="F55" s="76">
        <f t="shared" si="54"/>
        <v>45</v>
      </c>
      <c r="G55" s="77"/>
      <c r="H55" s="77"/>
      <c r="I55" s="77"/>
      <c r="J55" s="77"/>
      <c r="K55" s="76">
        <f t="shared" si="55"/>
        <v>0</v>
      </c>
      <c r="L55" s="77"/>
      <c r="M55" s="77"/>
      <c r="N55" s="77"/>
      <c r="O55" s="77"/>
      <c r="P55" s="76">
        <f t="shared" si="56"/>
        <v>0</v>
      </c>
      <c r="Q55" s="75">
        <f t="shared" ref="Q55:T55" si="66">SUM(B55,G55,L55)</f>
        <v>0</v>
      </c>
      <c r="R55" s="75">
        <f t="shared" si="66"/>
        <v>0</v>
      </c>
      <c r="S55" s="75">
        <f t="shared" si="66"/>
        <v>0</v>
      </c>
      <c r="T55" s="75">
        <f t="shared" si="66"/>
        <v>45</v>
      </c>
      <c r="U55" s="78">
        <f t="shared" si="58"/>
        <v>45</v>
      </c>
      <c r="V55" s="2"/>
    </row>
    <row r="56" ht="15.0" customHeight="1">
      <c r="A56" s="74" t="s">
        <v>93</v>
      </c>
      <c r="B56" s="77"/>
      <c r="C56" s="77"/>
      <c r="D56" s="77"/>
      <c r="E56" s="77">
        <v>149.0</v>
      </c>
      <c r="F56" s="76">
        <f t="shared" si="54"/>
        <v>149</v>
      </c>
      <c r="G56" s="77"/>
      <c r="H56" s="77"/>
      <c r="I56" s="77"/>
      <c r="J56" s="77">
        <v>66.0</v>
      </c>
      <c r="K56" s="76">
        <f t="shared" si="55"/>
        <v>66</v>
      </c>
      <c r="L56" s="90"/>
      <c r="M56" s="90"/>
      <c r="N56" s="90"/>
      <c r="O56" s="90"/>
      <c r="P56" s="76">
        <f t="shared" si="56"/>
        <v>0</v>
      </c>
      <c r="Q56" s="75">
        <f t="shared" ref="Q56:T56" si="67">SUM(B56,G56,L56)</f>
        <v>0</v>
      </c>
      <c r="R56" s="75">
        <f t="shared" si="67"/>
        <v>0</v>
      </c>
      <c r="S56" s="75">
        <f t="shared" si="67"/>
        <v>0</v>
      </c>
      <c r="T56" s="75">
        <f t="shared" si="67"/>
        <v>215</v>
      </c>
      <c r="U56" s="91">
        <f t="shared" si="58"/>
        <v>215</v>
      </c>
      <c r="V56" s="2"/>
    </row>
    <row r="57" ht="15.0" customHeight="1">
      <c r="A57" s="74" t="s">
        <v>94</v>
      </c>
      <c r="B57" s="77">
        <v>175.0</v>
      </c>
      <c r="C57" s="77"/>
      <c r="D57" s="77">
        <v>219.0</v>
      </c>
      <c r="E57" s="77">
        <v>300.0</v>
      </c>
      <c r="F57" s="76">
        <f t="shared" si="54"/>
        <v>694</v>
      </c>
      <c r="G57" s="77"/>
      <c r="H57" s="77"/>
      <c r="I57" s="77"/>
      <c r="J57" s="2"/>
      <c r="K57" s="76">
        <f t="shared" si="55"/>
        <v>0</v>
      </c>
      <c r="L57" s="77"/>
      <c r="M57" s="77"/>
      <c r="N57" s="77"/>
      <c r="O57" s="77"/>
      <c r="P57" s="76">
        <f t="shared" si="56"/>
        <v>0</v>
      </c>
      <c r="Q57" s="75">
        <f t="shared" ref="Q57:T57" si="68">SUM(B57,G57,L57)</f>
        <v>175</v>
      </c>
      <c r="R57" s="75">
        <f t="shared" si="68"/>
        <v>0</v>
      </c>
      <c r="S57" s="75">
        <f t="shared" si="68"/>
        <v>219</v>
      </c>
      <c r="T57" s="75">
        <f t="shared" si="68"/>
        <v>300</v>
      </c>
      <c r="U57" s="91">
        <f t="shared" si="58"/>
        <v>694</v>
      </c>
      <c r="V57" s="2"/>
    </row>
    <row r="58" ht="15.0" customHeight="1">
      <c r="A58" s="74" t="s">
        <v>95</v>
      </c>
      <c r="B58" s="77"/>
      <c r="C58" s="77">
        <v>243.0</v>
      </c>
      <c r="D58" s="77">
        <v>76.0</v>
      </c>
      <c r="E58" s="77">
        <v>121.0</v>
      </c>
      <c r="F58" s="76">
        <f t="shared" si="54"/>
        <v>440</v>
      </c>
      <c r="G58" s="77"/>
      <c r="H58" s="77">
        <v>12.0</v>
      </c>
      <c r="I58" s="77">
        <v>16.0</v>
      </c>
      <c r="J58" s="77">
        <v>158.0</v>
      </c>
      <c r="K58" s="76">
        <f t="shared" si="55"/>
        <v>186</v>
      </c>
      <c r="L58" s="77"/>
      <c r="M58" s="77"/>
      <c r="N58" s="77"/>
      <c r="O58" s="77"/>
      <c r="P58" s="76">
        <f t="shared" si="56"/>
        <v>0</v>
      </c>
      <c r="Q58" s="75">
        <f t="shared" ref="Q58:T58" si="69">SUM(B58,G58,L58)</f>
        <v>0</v>
      </c>
      <c r="R58" s="75">
        <f t="shared" si="69"/>
        <v>255</v>
      </c>
      <c r="S58" s="75">
        <f t="shared" si="69"/>
        <v>92</v>
      </c>
      <c r="T58" s="75">
        <f t="shared" si="69"/>
        <v>279</v>
      </c>
      <c r="U58" s="91">
        <f t="shared" si="58"/>
        <v>626</v>
      </c>
      <c r="V58" s="2"/>
    </row>
    <row r="59" ht="15.0" customHeight="1">
      <c r="A59" s="74" t="s">
        <v>96</v>
      </c>
      <c r="B59" s="77"/>
      <c r="C59" s="77">
        <v>50.0</v>
      </c>
      <c r="D59" s="77">
        <v>500.0</v>
      </c>
      <c r="E59" s="77">
        <v>660.0</v>
      </c>
      <c r="F59" s="76">
        <f t="shared" si="54"/>
        <v>1210</v>
      </c>
      <c r="G59" s="82"/>
      <c r="H59" s="82">
        <v>212.0</v>
      </c>
      <c r="I59" s="82">
        <v>500.0</v>
      </c>
      <c r="J59" s="82">
        <v>981.0</v>
      </c>
      <c r="K59" s="76">
        <f t="shared" si="55"/>
        <v>1693</v>
      </c>
      <c r="L59" s="77"/>
      <c r="M59" s="77"/>
      <c r="N59" s="77"/>
      <c r="O59" s="77"/>
      <c r="P59" s="76">
        <f t="shared" si="56"/>
        <v>0</v>
      </c>
      <c r="Q59" s="75">
        <f t="shared" ref="Q59:T59" si="70">SUM(B59,G59,L59)</f>
        <v>0</v>
      </c>
      <c r="R59" s="75">
        <f t="shared" si="70"/>
        <v>262</v>
      </c>
      <c r="S59" s="75">
        <f t="shared" si="70"/>
        <v>1000</v>
      </c>
      <c r="T59" s="75">
        <f t="shared" si="70"/>
        <v>1641</v>
      </c>
      <c r="U59" s="91">
        <f t="shared" si="58"/>
        <v>2903</v>
      </c>
      <c r="V59" s="2"/>
    </row>
    <row r="60" ht="15.0" customHeight="1">
      <c r="A60" s="74" t="s">
        <v>17</v>
      </c>
      <c r="B60" s="77"/>
      <c r="C60" s="77">
        <v>49.0</v>
      </c>
      <c r="D60" s="77">
        <v>140.0</v>
      </c>
      <c r="E60" s="77">
        <v>654.0</v>
      </c>
      <c r="F60" s="76">
        <f t="shared" si="54"/>
        <v>843</v>
      </c>
      <c r="G60" s="77"/>
      <c r="H60" s="77"/>
      <c r="I60" s="77">
        <v>403.0</v>
      </c>
      <c r="J60" s="77"/>
      <c r="K60" s="76">
        <f t="shared" si="55"/>
        <v>403</v>
      </c>
      <c r="L60" s="77"/>
      <c r="M60" s="77"/>
      <c r="N60" s="77"/>
      <c r="O60" s="77"/>
      <c r="P60" s="76">
        <f t="shared" si="56"/>
        <v>0</v>
      </c>
      <c r="Q60" s="75">
        <f t="shared" ref="Q60:T60" si="71">SUM(B60,G60,L60)</f>
        <v>0</v>
      </c>
      <c r="R60" s="75">
        <f t="shared" si="71"/>
        <v>49</v>
      </c>
      <c r="S60" s="75">
        <f t="shared" si="71"/>
        <v>543</v>
      </c>
      <c r="T60" s="75">
        <f t="shared" si="71"/>
        <v>654</v>
      </c>
      <c r="U60" s="78">
        <f t="shared" si="58"/>
        <v>1246</v>
      </c>
      <c r="V60" s="2"/>
    </row>
    <row r="61" ht="15.0" customHeight="1">
      <c r="A61" s="74" t="s">
        <v>78</v>
      </c>
      <c r="B61" s="80"/>
      <c r="C61" s="80"/>
      <c r="D61" s="80"/>
      <c r="E61" s="80">
        <v>335.0</v>
      </c>
      <c r="F61" s="76">
        <f t="shared" si="54"/>
        <v>335</v>
      </c>
      <c r="G61" s="77"/>
      <c r="H61" s="77"/>
      <c r="I61" s="77">
        <v>531.0</v>
      </c>
      <c r="J61" s="77"/>
      <c r="K61" s="76">
        <f t="shared" si="55"/>
        <v>531</v>
      </c>
      <c r="L61" s="77"/>
      <c r="M61" s="77"/>
      <c r="N61" s="77"/>
      <c r="O61" s="77"/>
      <c r="P61" s="76">
        <f t="shared" si="56"/>
        <v>0</v>
      </c>
      <c r="Q61" s="75">
        <f t="shared" ref="Q61:T61" si="72">SUM(B61,G61,L61)</f>
        <v>0</v>
      </c>
      <c r="R61" s="75">
        <f t="shared" si="72"/>
        <v>0</v>
      </c>
      <c r="S61" s="75">
        <f t="shared" si="72"/>
        <v>531</v>
      </c>
      <c r="T61" s="75">
        <f t="shared" si="72"/>
        <v>335</v>
      </c>
      <c r="U61" s="78">
        <f t="shared" si="58"/>
        <v>866</v>
      </c>
      <c r="V61" s="2"/>
    </row>
    <row r="62" ht="15.0" customHeight="1">
      <c r="A62" s="74" t="s">
        <v>97</v>
      </c>
      <c r="B62" s="77"/>
      <c r="C62" s="77"/>
      <c r="D62" s="77"/>
      <c r="E62" s="77">
        <v>158.0</v>
      </c>
      <c r="F62" s="76">
        <f t="shared" si="54"/>
        <v>158</v>
      </c>
      <c r="G62" s="77"/>
      <c r="H62" s="77"/>
      <c r="I62" s="77">
        <v>60.0</v>
      </c>
      <c r="J62" s="77">
        <v>111.0</v>
      </c>
      <c r="K62" s="76">
        <f t="shared" si="55"/>
        <v>171</v>
      </c>
      <c r="L62" s="77"/>
      <c r="M62" s="77"/>
      <c r="N62" s="77"/>
      <c r="O62" s="77"/>
      <c r="P62" s="76">
        <f t="shared" si="56"/>
        <v>0</v>
      </c>
      <c r="Q62" s="75">
        <f t="shared" ref="Q62:T62" si="73">SUM(B62,G62,L62)</f>
        <v>0</v>
      </c>
      <c r="R62" s="75">
        <f t="shared" si="73"/>
        <v>0</v>
      </c>
      <c r="S62" s="75">
        <f t="shared" si="73"/>
        <v>60</v>
      </c>
      <c r="T62" s="75">
        <f t="shared" si="73"/>
        <v>269</v>
      </c>
      <c r="U62" s="78">
        <f t="shared" si="58"/>
        <v>329</v>
      </c>
      <c r="V62" s="2"/>
    </row>
    <row r="63" ht="15.75" customHeight="1">
      <c r="A63" s="74" t="s">
        <v>98</v>
      </c>
      <c r="B63" s="77"/>
      <c r="C63" s="77"/>
      <c r="D63" s="77">
        <v>742.0</v>
      </c>
      <c r="E63" s="77"/>
      <c r="F63" s="76">
        <f t="shared" si="54"/>
        <v>742</v>
      </c>
      <c r="G63" s="77"/>
      <c r="H63" s="77"/>
      <c r="I63" s="77">
        <v>772.0</v>
      </c>
      <c r="J63" s="77"/>
      <c r="K63" s="76">
        <f t="shared" si="55"/>
        <v>772</v>
      </c>
      <c r="L63" s="77"/>
      <c r="M63" s="77"/>
      <c r="N63" s="77"/>
      <c r="O63" s="77"/>
      <c r="P63" s="76">
        <f t="shared" si="56"/>
        <v>0</v>
      </c>
      <c r="Q63" s="75">
        <f t="shared" ref="Q63:T63" si="74">SUM(B63,G63,L63)</f>
        <v>0</v>
      </c>
      <c r="R63" s="75">
        <f t="shared" si="74"/>
        <v>0</v>
      </c>
      <c r="S63" s="75">
        <f t="shared" si="74"/>
        <v>1514</v>
      </c>
      <c r="T63" s="75">
        <f t="shared" si="74"/>
        <v>0</v>
      </c>
      <c r="U63" s="78">
        <f t="shared" si="58"/>
        <v>1514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5">SUM(C65:C78)</f>
        <v>2705</v>
      </c>
      <c r="D64" s="73">
        <f t="shared" si="75"/>
        <v>0</v>
      </c>
      <c r="E64" s="73">
        <f t="shared" si="75"/>
        <v>0</v>
      </c>
      <c r="F64" s="73">
        <f t="shared" si="75"/>
        <v>2705</v>
      </c>
      <c r="G64" s="73">
        <f t="shared" si="75"/>
        <v>0</v>
      </c>
      <c r="H64" s="73">
        <f t="shared" si="75"/>
        <v>1875</v>
      </c>
      <c r="I64" s="73">
        <f t="shared" si="75"/>
        <v>0</v>
      </c>
      <c r="J64" s="73">
        <f t="shared" si="75"/>
        <v>0</v>
      </c>
      <c r="K64" s="73">
        <f t="shared" si="75"/>
        <v>1875</v>
      </c>
      <c r="L64" s="73">
        <f t="shared" ref="L64:U64" si="76">SUM(L65:L79)</f>
        <v>0</v>
      </c>
      <c r="M64" s="73">
        <f t="shared" si="76"/>
        <v>0</v>
      </c>
      <c r="N64" s="73">
        <f t="shared" si="76"/>
        <v>0</v>
      </c>
      <c r="O64" s="73">
        <f t="shared" si="76"/>
        <v>0</v>
      </c>
      <c r="P64" s="73">
        <f t="shared" si="76"/>
        <v>0</v>
      </c>
      <c r="Q64" s="73">
        <f t="shared" si="76"/>
        <v>0</v>
      </c>
      <c r="R64" s="73">
        <f t="shared" si="76"/>
        <v>4580</v>
      </c>
      <c r="S64" s="73">
        <f t="shared" si="76"/>
        <v>0</v>
      </c>
      <c r="T64" s="73">
        <f t="shared" si="76"/>
        <v>0</v>
      </c>
      <c r="U64" s="73">
        <f t="shared" si="76"/>
        <v>4580</v>
      </c>
      <c r="V64" s="2"/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8">SUM(B65:E65)</f>
        <v>108</v>
      </c>
      <c r="G65" s="75"/>
      <c r="H65" s="75">
        <v>195.0</v>
      </c>
      <c r="I65" s="75"/>
      <c r="J65" s="75"/>
      <c r="K65" s="76">
        <f t="shared" ref="K65:K79" si="79">SUM(G65:J65)</f>
        <v>195</v>
      </c>
      <c r="L65" s="75"/>
      <c r="M65" s="75"/>
      <c r="N65" s="75"/>
      <c r="O65" s="75"/>
      <c r="P65" s="76">
        <f t="shared" ref="P65:P79" si="80">SUM(L65:O65)</f>
        <v>0</v>
      </c>
      <c r="Q65" s="75">
        <f t="shared" ref="Q65:T65" si="77">B65+G65+L65</f>
        <v>0</v>
      </c>
      <c r="R65" s="75">
        <f t="shared" si="77"/>
        <v>303</v>
      </c>
      <c r="S65" s="75">
        <f t="shared" si="77"/>
        <v>0</v>
      </c>
      <c r="T65" s="75">
        <f t="shared" si="77"/>
        <v>0</v>
      </c>
      <c r="U65" s="76">
        <f t="shared" ref="U65:U79" si="82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8"/>
        <v>439</v>
      </c>
      <c r="G66" s="77"/>
      <c r="H66" s="77">
        <v>70.0</v>
      </c>
      <c r="I66" s="77"/>
      <c r="J66" s="77"/>
      <c r="K66" s="76">
        <f t="shared" si="79"/>
        <v>70</v>
      </c>
      <c r="L66" s="77"/>
      <c r="M66" s="77"/>
      <c r="N66" s="77"/>
      <c r="O66" s="77"/>
      <c r="P66" s="78">
        <f t="shared" si="80"/>
        <v>0</v>
      </c>
      <c r="Q66" s="75">
        <f t="shared" ref="Q66:T66" si="81">B66+G66+L66</f>
        <v>0</v>
      </c>
      <c r="R66" s="75">
        <f t="shared" si="81"/>
        <v>509</v>
      </c>
      <c r="S66" s="75">
        <f t="shared" si="81"/>
        <v>0</v>
      </c>
      <c r="T66" s="75">
        <f t="shared" si="81"/>
        <v>0</v>
      </c>
      <c r="U66" s="76">
        <f t="shared" si="82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8"/>
        <v>50</v>
      </c>
      <c r="G67" s="77"/>
      <c r="H67" s="77">
        <v>41.0</v>
      </c>
      <c r="I67" s="77"/>
      <c r="J67" s="77"/>
      <c r="K67" s="76">
        <f t="shared" si="79"/>
        <v>41</v>
      </c>
      <c r="L67" s="77"/>
      <c r="M67" s="77"/>
      <c r="N67" s="77"/>
      <c r="O67" s="77"/>
      <c r="P67" s="78">
        <f t="shared" si="80"/>
        <v>0</v>
      </c>
      <c r="Q67" s="75">
        <f t="shared" ref="Q67:T67" si="83">B67+G67+L67</f>
        <v>0</v>
      </c>
      <c r="R67" s="75">
        <f t="shared" si="83"/>
        <v>91</v>
      </c>
      <c r="S67" s="75">
        <f t="shared" si="83"/>
        <v>0</v>
      </c>
      <c r="T67" s="75">
        <f t="shared" si="83"/>
        <v>0</v>
      </c>
      <c r="U67" s="76">
        <f t="shared" si="82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8"/>
        <v>58</v>
      </c>
      <c r="G68" s="77"/>
      <c r="H68" s="77">
        <v>127.0</v>
      </c>
      <c r="I68" s="77"/>
      <c r="J68" s="77"/>
      <c r="K68" s="76">
        <f t="shared" si="79"/>
        <v>127</v>
      </c>
      <c r="L68" s="77"/>
      <c r="M68" s="77"/>
      <c r="N68" s="77"/>
      <c r="O68" s="77"/>
      <c r="P68" s="78">
        <f t="shared" si="80"/>
        <v>0</v>
      </c>
      <c r="Q68" s="75">
        <f t="shared" ref="Q68:T68" si="84">B68+G68+L68</f>
        <v>0</v>
      </c>
      <c r="R68" s="75">
        <f t="shared" si="84"/>
        <v>185</v>
      </c>
      <c r="S68" s="75">
        <f t="shared" si="84"/>
        <v>0</v>
      </c>
      <c r="T68" s="75">
        <f t="shared" si="84"/>
        <v>0</v>
      </c>
      <c r="U68" s="76">
        <f t="shared" si="82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8"/>
        <v>325</v>
      </c>
      <c r="G69" s="77"/>
      <c r="H69" s="77">
        <v>324.0</v>
      </c>
      <c r="I69" s="77"/>
      <c r="J69" s="77"/>
      <c r="K69" s="76">
        <f t="shared" si="79"/>
        <v>324</v>
      </c>
      <c r="L69" s="77"/>
      <c r="M69" s="77"/>
      <c r="N69" s="77"/>
      <c r="O69" s="77"/>
      <c r="P69" s="78">
        <f t="shared" si="80"/>
        <v>0</v>
      </c>
      <c r="Q69" s="75">
        <f t="shared" ref="Q69:T69" si="85">B69+G69+L69</f>
        <v>0</v>
      </c>
      <c r="R69" s="75">
        <f t="shared" si="85"/>
        <v>649</v>
      </c>
      <c r="S69" s="75">
        <f t="shared" si="85"/>
        <v>0</v>
      </c>
      <c r="T69" s="75">
        <f t="shared" si="85"/>
        <v>0</v>
      </c>
      <c r="U69" s="76">
        <f t="shared" si="82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8"/>
        <v>392</v>
      </c>
      <c r="G70" s="77"/>
      <c r="H70" s="77">
        <v>76.0</v>
      </c>
      <c r="I70" s="77"/>
      <c r="J70" s="77"/>
      <c r="K70" s="76">
        <f t="shared" si="79"/>
        <v>76</v>
      </c>
      <c r="L70" s="77"/>
      <c r="M70" s="77"/>
      <c r="N70" s="77"/>
      <c r="O70" s="77"/>
      <c r="P70" s="78">
        <f t="shared" si="80"/>
        <v>0</v>
      </c>
      <c r="Q70" s="75">
        <f t="shared" ref="Q70:T70" si="86">B70+G70+L70</f>
        <v>0</v>
      </c>
      <c r="R70" s="75">
        <f t="shared" si="86"/>
        <v>468</v>
      </c>
      <c r="S70" s="75">
        <f t="shared" si="86"/>
        <v>0</v>
      </c>
      <c r="T70" s="75">
        <f t="shared" si="86"/>
        <v>0</v>
      </c>
      <c r="U70" s="76">
        <f t="shared" si="82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8"/>
        <v>243</v>
      </c>
      <c r="G71" s="77"/>
      <c r="H71" s="77">
        <v>268.0</v>
      </c>
      <c r="I71" s="77"/>
      <c r="J71" s="77"/>
      <c r="K71" s="76">
        <f t="shared" si="79"/>
        <v>268</v>
      </c>
      <c r="L71" s="77"/>
      <c r="M71" s="77"/>
      <c r="N71" s="77"/>
      <c r="O71" s="77"/>
      <c r="P71" s="78">
        <f t="shared" si="80"/>
        <v>0</v>
      </c>
      <c r="Q71" s="75">
        <f t="shared" ref="Q71:T71" si="87">B71+G71+L71</f>
        <v>0</v>
      </c>
      <c r="R71" s="75">
        <f t="shared" si="87"/>
        <v>511</v>
      </c>
      <c r="S71" s="75">
        <f t="shared" si="87"/>
        <v>0</v>
      </c>
      <c r="T71" s="75">
        <f t="shared" si="87"/>
        <v>0</v>
      </c>
      <c r="U71" s="76">
        <f t="shared" si="82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8"/>
        <v>184</v>
      </c>
      <c r="G72" s="90"/>
      <c r="H72" s="90">
        <v>4.0</v>
      </c>
      <c r="I72" s="90"/>
      <c r="J72" s="90"/>
      <c r="K72" s="76">
        <f t="shared" si="79"/>
        <v>4</v>
      </c>
      <c r="L72" s="90"/>
      <c r="M72" s="90"/>
      <c r="N72" s="90"/>
      <c r="O72" s="90"/>
      <c r="P72" s="91">
        <f t="shared" si="80"/>
        <v>0</v>
      </c>
      <c r="Q72" s="75">
        <f t="shared" ref="Q72:T72" si="88">B72+G72+L72</f>
        <v>0</v>
      </c>
      <c r="R72" s="75">
        <f t="shared" si="88"/>
        <v>188</v>
      </c>
      <c r="S72" s="75">
        <f t="shared" si="88"/>
        <v>0</v>
      </c>
      <c r="T72" s="75">
        <f t="shared" si="88"/>
        <v>0</v>
      </c>
      <c r="U72" s="76">
        <f t="shared" si="82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8"/>
        <v>100</v>
      </c>
      <c r="G73" s="77"/>
      <c r="H73" s="77">
        <v>41.0</v>
      </c>
      <c r="I73" s="77"/>
      <c r="J73" s="77"/>
      <c r="K73" s="76">
        <f t="shared" si="79"/>
        <v>41</v>
      </c>
      <c r="L73" s="77"/>
      <c r="M73" s="77"/>
      <c r="N73" s="77"/>
      <c r="O73" s="77"/>
      <c r="P73" s="78">
        <f t="shared" si="80"/>
        <v>0</v>
      </c>
      <c r="Q73" s="75">
        <f t="shared" ref="Q73:T73" si="89">B73+G73+L73</f>
        <v>0</v>
      </c>
      <c r="R73" s="75">
        <f t="shared" si="89"/>
        <v>141</v>
      </c>
      <c r="S73" s="75">
        <f t="shared" si="89"/>
        <v>0</v>
      </c>
      <c r="T73" s="75">
        <f t="shared" si="89"/>
        <v>0</v>
      </c>
      <c r="U73" s="76">
        <f t="shared" si="82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8"/>
        <v>264</v>
      </c>
      <c r="G74" s="77"/>
      <c r="H74" s="77">
        <v>234.0</v>
      </c>
      <c r="I74" s="77"/>
      <c r="J74" s="77"/>
      <c r="K74" s="76">
        <f t="shared" si="79"/>
        <v>234</v>
      </c>
      <c r="L74" s="77"/>
      <c r="M74" s="77"/>
      <c r="N74" s="77"/>
      <c r="O74" s="77"/>
      <c r="P74" s="78">
        <f t="shared" si="80"/>
        <v>0</v>
      </c>
      <c r="Q74" s="75">
        <f t="shared" ref="Q74:T74" si="90">B74+G74+L74</f>
        <v>0</v>
      </c>
      <c r="R74" s="75">
        <f t="shared" si="90"/>
        <v>498</v>
      </c>
      <c r="S74" s="75">
        <f t="shared" si="90"/>
        <v>0</v>
      </c>
      <c r="T74" s="75">
        <f t="shared" si="90"/>
        <v>0</v>
      </c>
      <c r="U74" s="76">
        <f t="shared" si="82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8"/>
        <v>403</v>
      </c>
      <c r="G75" s="77"/>
      <c r="H75" s="77">
        <v>14.0</v>
      </c>
      <c r="I75" s="77"/>
      <c r="J75" s="77"/>
      <c r="K75" s="76">
        <f t="shared" si="79"/>
        <v>14</v>
      </c>
      <c r="L75" s="77"/>
      <c r="M75" s="77"/>
      <c r="N75" s="77"/>
      <c r="O75" s="77"/>
      <c r="P75" s="78">
        <f t="shared" si="80"/>
        <v>0</v>
      </c>
      <c r="Q75" s="75">
        <f t="shared" ref="Q75:T75" si="91">B75+G75+L75</f>
        <v>0</v>
      </c>
      <c r="R75" s="75">
        <f t="shared" si="91"/>
        <v>417</v>
      </c>
      <c r="S75" s="75">
        <f t="shared" si="91"/>
        <v>0</v>
      </c>
      <c r="T75" s="75">
        <f t="shared" si="91"/>
        <v>0</v>
      </c>
      <c r="U75" s="76">
        <f t="shared" si="82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8"/>
        <v>15</v>
      </c>
      <c r="G76" s="77"/>
      <c r="H76" s="77">
        <v>19.0</v>
      </c>
      <c r="I76" s="77"/>
      <c r="J76" s="77"/>
      <c r="K76" s="76">
        <f t="shared" si="79"/>
        <v>19</v>
      </c>
      <c r="L76" s="77"/>
      <c r="M76" s="77"/>
      <c r="N76" s="77"/>
      <c r="O76" s="77"/>
      <c r="P76" s="78">
        <f t="shared" si="80"/>
        <v>0</v>
      </c>
      <c r="Q76" s="75">
        <f t="shared" ref="Q76:T76" si="92">B76+G76+L76</f>
        <v>0</v>
      </c>
      <c r="R76" s="75">
        <f t="shared" si="92"/>
        <v>34</v>
      </c>
      <c r="S76" s="75">
        <f t="shared" si="92"/>
        <v>0</v>
      </c>
      <c r="T76" s="75">
        <f t="shared" si="92"/>
        <v>0</v>
      </c>
      <c r="U76" s="76">
        <f t="shared" si="82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8"/>
        <v>80</v>
      </c>
      <c r="G77" s="77"/>
      <c r="H77" s="77">
        <v>418.0</v>
      </c>
      <c r="I77" s="77"/>
      <c r="J77" s="77"/>
      <c r="K77" s="76">
        <f t="shared" si="79"/>
        <v>418</v>
      </c>
      <c r="L77" s="77"/>
      <c r="M77" s="77"/>
      <c r="N77" s="77"/>
      <c r="O77" s="77"/>
      <c r="P77" s="78">
        <f t="shared" si="80"/>
        <v>0</v>
      </c>
      <c r="Q77" s="75">
        <f t="shared" ref="Q77:T77" si="93">B77+G77+L77</f>
        <v>0</v>
      </c>
      <c r="R77" s="75">
        <f t="shared" si="93"/>
        <v>498</v>
      </c>
      <c r="S77" s="75">
        <f t="shared" si="93"/>
        <v>0</v>
      </c>
      <c r="T77" s="75">
        <f t="shared" si="93"/>
        <v>0</v>
      </c>
      <c r="U77" s="76">
        <f t="shared" si="82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8"/>
        <v>44</v>
      </c>
      <c r="G78" s="77"/>
      <c r="H78" s="77">
        <v>44.0</v>
      </c>
      <c r="I78" s="77"/>
      <c r="J78" s="77"/>
      <c r="K78" s="76">
        <f t="shared" si="79"/>
        <v>44</v>
      </c>
      <c r="L78" s="77"/>
      <c r="M78" s="77"/>
      <c r="N78" s="77"/>
      <c r="O78" s="77"/>
      <c r="P78" s="78">
        <f t="shared" si="80"/>
        <v>0</v>
      </c>
      <c r="Q78" s="75">
        <f t="shared" ref="Q78:T78" si="94">B78+G78+L78</f>
        <v>0</v>
      </c>
      <c r="R78" s="75">
        <f t="shared" si="94"/>
        <v>88</v>
      </c>
      <c r="S78" s="75">
        <f t="shared" si="94"/>
        <v>0</v>
      </c>
      <c r="T78" s="75">
        <f t="shared" si="94"/>
        <v>0</v>
      </c>
      <c r="U78" s="76">
        <f t="shared" si="82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8"/>
        <v>0</v>
      </c>
      <c r="G79" s="77"/>
      <c r="H79" s="77"/>
      <c r="I79" s="77"/>
      <c r="J79" s="77"/>
      <c r="K79" s="76">
        <f t="shared" si="79"/>
        <v>0</v>
      </c>
      <c r="L79" s="77"/>
      <c r="M79" s="77"/>
      <c r="N79" s="77"/>
      <c r="O79" s="77"/>
      <c r="P79" s="78">
        <f t="shared" si="80"/>
        <v>0</v>
      </c>
      <c r="Q79" s="75">
        <f t="shared" ref="Q79:T79" si="95">B79+G79+L79</f>
        <v>0</v>
      </c>
      <c r="R79" s="75">
        <f t="shared" si="95"/>
        <v>0</v>
      </c>
      <c r="S79" s="75">
        <f t="shared" si="95"/>
        <v>0</v>
      </c>
      <c r="T79" s="75">
        <f t="shared" si="95"/>
        <v>0</v>
      </c>
      <c r="U79" s="76">
        <f t="shared" si="82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6494</v>
      </c>
      <c r="C9" s="70">
        <f t="shared" si="1"/>
        <v>29648</v>
      </c>
      <c r="D9" s="70">
        <f t="shared" si="1"/>
        <v>38644</v>
      </c>
      <c r="E9" s="70">
        <f t="shared" si="1"/>
        <v>23577</v>
      </c>
      <c r="F9" s="71">
        <f t="shared" si="1"/>
        <v>98363</v>
      </c>
      <c r="G9" s="70">
        <f t="shared" si="1"/>
        <v>4176</v>
      </c>
      <c r="H9" s="70">
        <f t="shared" si="1"/>
        <v>8628</v>
      </c>
      <c r="I9" s="70">
        <f t="shared" si="1"/>
        <v>5286</v>
      </c>
      <c r="J9" s="70">
        <f t="shared" si="1"/>
        <v>7220</v>
      </c>
      <c r="K9" s="71">
        <f t="shared" si="1"/>
        <v>25310</v>
      </c>
      <c r="L9" s="70">
        <f t="shared" si="1"/>
        <v>0</v>
      </c>
      <c r="M9" s="70">
        <f t="shared" si="1"/>
        <v>46</v>
      </c>
      <c r="N9" s="70">
        <f t="shared" si="1"/>
        <v>0</v>
      </c>
      <c r="O9" s="70">
        <f t="shared" si="1"/>
        <v>0</v>
      </c>
      <c r="P9" s="71">
        <f t="shared" si="1"/>
        <v>46</v>
      </c>
      <c r="Q9" s="70">
        <f t="shared" si="1"/>
        <v>10670</v>
      </c>
      <c r="R9" s="70">
        <f t="shared" si="1"/>
        <v>38322</v>
      </c>
      <c r="S9" s="70">
        <f t="shared" si="1"/>
        <v>44246</v>
      </c>
      <c r="T9" s="70">
        <f t="shared" si="1"/>
        <v>30797</v>
      </c>
      <c r="U9" s="71">
        <f t="shared" si="1"/>
        <v>124035</v>
      </c>
      <c r="V9" s="2"/>
    </row>
    <row r="10" ht="15.75" customHeight="1">
      <c r="A10" s="72" t="s">
        <v>49</v>
      </c>
      <c r="B10" s="73">
        <f t="shared" ref="B10:U10" si="2">SUM(B11:B16)</f>
        <v>21</v>
      </c>
      <c r="C10" s="73">
        <f t="shared" si="2"/>
        <v>357</v>
      </c>
      <c r="D10" s="73">
        <f t="shared" si="2"/>
        <v>286</v>
      </c>
      <c r="E10" s="73">
        <f t="shared" si="2"/>
        <v>94</v>
      </c>
      <c r="F10" s="73">
        <f t="shared" si="2"/>
        <v>758</v>
      </c>
      <c r="G10" s="73">
        <f t="shared" si="2"/>
        <v>0</v>
      </c>
      <c r="H10" s="73">
        <f t="shared" si="2"/>
        <v>111</v>
      </c>
      <c r="I10" s="73">
        <f t="shared" si="2"/>
        <v>157</v>
      </c>
      <c r="J10" s="73">
        <f t="shared" si="2"/>
        <v>36</v>
      </c>
      <c r="K10" s="73">
        <f t="shared" si="2"/>
        <v>304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21</v>
      </c>
      <c r="R10" s="73">
        <f t="shared" si="2"/>
        <v>468</v>
      </c>
      <c r="S10" s="73">
        <f t="shared" si="2"/>
        <v>443</v>
      </c>
      <c r="T10" s="73">
        <f t="shared" si="2"/>
        <v>130</v>
      </c>
      <c r="U10" s="73">
        <f t="shared" si="2"/>
        <v>1062</v>
      </c>
      <c r="V10" s="2"/>
    </row>
    <row r="11" ht="15.0" customHeight="1">
      <c r="A11" s="74" t="s">
        <v>50</v>
      </c>
      <c r="B11" s="75">
        <v>21.0</v>
      </c>
      <c r="C11" s="75">
        <v>143.0</v>
      </c>
      <c r="D11" s="75">
        <v>37.0</v>
      </c>
      <c r="E11" s="75">
        <v>8.0</v>
      </c>
      <c r="F11" s="76">
        <f t="shared" ref="F11:F16" si="4">SUM(B11:E11)</f>
        <v>209</v>
      </c>
      <c r="G11" s="75"/>
      <c r="H11" s="75">
        <v>12.0</v>
      </c>
      <c r="I11" s="75">
        <v>11.0</v>
      </c>
      <c r="J11" s="75">
        <v>23.0</v>
      </c>
      <c r="K11" s="76">
        <f t="shared" ref="K11:K16" si="5">SUM(G11:J11)</f>
        <v>46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21</v>
      </c>
      <c r="R11" s="75">
        <f t="shared" si="3"/>
        <v>155</v>
      </c>
      <c r="S11" s="75">
        <f t="shared" si="3"/>
        <v>48</v>
      </c>
      <c r="T11" s="75">
        <f t="shared" si="3"/>
        <v>31</v>
      </c>
      <c r="U11" s="76">
        <f t="shared" ref="U11:U16" si="8">SUM(Q11:T11)</f>
        <v>255</v>
      </c>
      <c r="V11" s="2"/>
    </row>
    <row r="12" ht="15.0" customHeight="1">
      <c r="A12" s="74" t="s">
        <v>51</v>
      </c>
      <c r="B12" s="77"/>
      <c r="C12" s="77"/>
      <c r="D12" s="77">
        <v>4.0</v>
      </c>
      <c r="E12" s="77">
        <v>12.0</v>
      </c>
      <c r="F12" s="78">
        <f t="shared" si="4"/>
        <v>16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4</v>
      </c>
      <c r="T12" s="77">
        <f t="shared" si="7"/>
        <v>12</v>
      </c>
      <c r="U12" s="78">
        <f t="shared" si="8"/>
        <v>16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>
        <v>156.0</v>
      </c>
      <c r="D14" s="77"/>
      <c r="E14" s="77"/>
      <c r="F14" s="78">
        <f t="shared" si="4"/>
        <v>156</v>
      </c>
      <c r="G14" s="77"/>
      <c r="H14" s="77">
        <v>76.0</v>
      </c>
      <c r="I14" s="77"/>
      <c r="J14" s="77"/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232</v>
      </c>
      <c r="S14" s="77">
        <f t="shared" si="10"/>
        <v>0</v>
      </c>
      <c r="T14" s="77">
        <f t="shared" si="10"/>
        <v>0</v>
      </c>
      <c r="U14" s="78">
        <f t="shared" si="8"/>
        <v>232</v>
      </c>
      <c r="V14" s="2"/>
    </row>
    <row r="15" ht="15.0" customHeight="1">
      <c r="A15" s="74" t="s">
        <v>54</v>
      </c>
      <c r="B15" s="77"/>
      <c r="C15" s="77">
        <v>42.0</v>
      </c>
      <c r="D15" s="77">
        <v>149.0</v>
      </c>
      <c r="E15" s="77">
        <v>51.0</v>
      </c>
      <c r="F15" s="78">
        <f t="shared" si="4"/>
        <v>242</v>
      </c>
      <c r="G15" s="77"/>
      <c r="H15" s="77">
        <v>11.0</v>
      </c>
      <c r="I15" s="77">
        <v>21.0</v>
      </c>
      <c r="J15" s="77">
        <v>7.0</v>
      </c>
      <c r="K15" s="78">
        <f t="shared" si="5"/>
        <v>39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53</v>
      </c>
      <c r="S15" s="77">
        <f t="shared" si="11"/>
        <v>170</v>
      </c>
      <c r="T15" s="77">
        <f t="shared" si="11"/>
        <v>58</v>
      </c>
      <c r="U15" s="78">
        <f t="shared" si="8"/>
        <v>281</v>
      </c>
      <c r="V15" s="2"/>
    </row>
    <row r="16" ht="15.75" customHeight="1">
      <c r="A16" s="74" t="s">
        <v>55</v>
      </c>
      <c r="B16" s="77"/>
      <c r="C16" s="77">
        <v>16.0</v>
      </c>
      <c r="D16" s="77">
        <v>96.0</v>
      </c>
      <c r="E16" s="77">
        <v>23.0</v>
      </c>
      <c r="F16" s="78">
        <f t="shared" si="4"/>
        <v>135</v>
      </c>
      <c r="G16" s="77"/>
      <c r="H16" s="77">
        <v>12.0</v>
      </c>
      <c r="I16" s="77">
        <v>125.0</v>
      </c>
      <c r="J16" s="77">
        <v>6.0</v>
      </c>
      <c r="K16" s="78">
        <f t="shared" si="5"/>
        <v>143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28</v>
      </c>
      <c r="S16" s="77">
        <f t="shared" si="12"/>
        <v>221</v>
      </c>
      <c r="T16" s="77">
        <f t="shared" si="12"/>
        <v>29</v>
      </c>
      <c r="U16" s="78">
        <f t="shared" si="8"/>
        <v>278</v>
      </c>
      <c r="V16" s="2"/>
    </row>
    <row r="17" ht="15.75" customHeight="1">
      <c r="A17" s="72" t="s">
        <v>56</v>
      </c>
      <c r="B17" s="73">
        <f t="shared" ref="B17:Q17" si="13">SUM(B18:B28)</f>
        <v>73</v>
      </c>
      <c r="C17" s="73">
        <f t="shared" si="13"/>
        <v>5181</v>
      </c>
      <c r="D17" s="73">
        <f t="shared" si="13"/>
        <v>16327</v>
      </c>
      <c r="E17" s="73">
        <f t="shared" si="13"/>
        <v>8022</v>
      </c>
      <c r="F17" s="73">
        <f t="shared" si="13"/>
        <v>29603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73</v>
      </c>
      <c r="R17" s="73">
        <f>R18+R19+R20+R21+R22+R23+R24+R25+R26+R27+R28</f>
        <v>5181</v>
      </c>
      <c r="S17" s="73">
        <f t="shared" ref="S17:U17" si="14">SUM(S18:S28)</f>
        <v>16327</v>
      </c>
      <c r="T17" s="73">
        <f t="shared" si="14"/>
        <v>8022</v>
      </c>
      <c r="U17" s="73">
        <f t="shared" si="14"/>
        <v>29603</v>
      </c>
      <c r="V17" s="2" t="s">
        <v>114</v>
      </c>
    </row>
    <row r="18" ht="15.0" customHeight="1">
      <c r="A18" s="74" t="s">
        <v>57</v>
      </c>
      <c r="B18" s="75"/>
      <c r="C18" s="75">
        <v>53.0</v>
      </c>
      <c r="D18" s="75">
        <v>242.0</v>
      </c>
      <c r="E18" s="75">
        <v>163.0</v>
      </c>
      <c r="F18" s="76">
        <f t="shared" ref="F18:F28" si="16">SUM(B18:E18)</f>
        <v>458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53</v>
      </c>
      <c r="S18" s="75">
        <f t="shared" si="15"/>
        <v>242</v>
      </c>
      <c r="T18" s="75">
        <f t="shared" si="15"/>
        <v>163</v>
      </c>
      <c r="U18" s="76">
        <f t="shared" ref="U18:U28" si="20">SUM(Q18:T18)</f>
        <v>458</v>
      </c>
      <c r="V18" s="2"/>
    </row>
    <row r="19" ht="15.0" customHeight="1">
      <c r="A19" s="74" t="s">
        <v>58</v>
      </c>
      <c r="B19" s="77"/>
      <c r="C19" s="77">
        <v>289.0</v>
      </c>
      <c r="D19" s="75">
        <v>2127.0</v>
      </c>
      <c r="E19" s="75">
        <v>1872.0</v>
      </c>
      <c r="F19" s="76">
        <f t="shared" si="16"/>
        <v>4288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289</v>
      </c>
      <c r="S19" s="75">
        <f t="shared" si="19"/>
        <v>2127</v>
      </c>
      <c r="T19" s="75">
        <f t="shared" si="19"/>
        <v>1872</v>
      </c>
      <c r="U19" s="78">
        <f t="shared" si="20"/>
        <v>4288</v>
      </c>
      <c r="V19" s="2"/>
    </row>
    <row r="20" ht="15.0" customHeight="1">
      <c r="A20" s="74" t="s">
        <v>59</v>
      </c>
      <c r="B20" s="77"/>
      <c r="C20" s="77"/>
      <c r="D20" s="77"/>
      <c r="E20" s="77">
        <v>35.0</v>
      </c>
      <c r="F20" s="76">
        <f t="shared" si="16"/>
        <v>35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35</v>
      </c>
      <c r="U20" s="78">
        <f t="shared" si="20"/>
        <v>35</v>
      </c>
      <c r="V20" s="2"/>
    </row>
    <row r="21" ht="15.0" customHeight="1">
      <c r="A21" s="74" t="s">
        <v>60</v>
      </c>
      <c r="B21" s="77"/>
      <c r="C21" s="77">
        <v>64.0</v>
      </c>
      <c r="D21" s="77">
        <v>128.0</v>
      </c>
      <c r="E21" s="77">
        <v>142.0</v>
      </c>
      <c r="F21" s="76">
        <f t="shared" si="16"/>
        <v>334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64</v>
      </c>
      <c r="S21" s="75">
        <f t="shared" si="22"/>
        <v>128</v>
      </c>
      <c r="T21" s="75">
        <f t="shared" si="22"/>
        <v>142</v>
      </c>
      <c r="U21" s="78">
        <f t="shared" si="20"/>
        <v>334</v>
      </c>
      <c r="V21" s="2"/>
    </row>
    <row r="22" ht="15.0" customHeight="1">
      <c r="A22" s="74" t="s">
        <v>61</v>
      </c>
      <c r="B22" s="77">
        <v>5.0</v>
      </c>
      <c r="C22" s="77">
        <v>530.0</v>
      </c>
      <c r="D22" s="77">
        <v>309.0</v>
      </c>
      <c r="E22" s="77"/>
      <c r="F22" s="76">
        <f t="shared" si="16"/>
        <v>844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5</v>
      </c>
      <c r="R22" s="75">
        <f t="shared" si="23"/>
        <v>530</v>
      </c>
      <c r="S22" s="75">
        <f t="shared" si="23"/>
        <v>309</v>
      </c>
      <c r="T22" s="75">
        <f t="shared" si="23"/>
        <v>0</v>
      </c>
      <c r="U22" s="78">
        <f t="shared" si="20"/>
        <v>844</v>
      </c>
      <c r="V22" s="2"/>
    </row>
    <row r="23" ht="15.0" customHeight="1">
      <c r="A23" s="74" t="s">
        <v>62</v>
      </c>
      <c r="B23" s="77"/>
      <c r="C23" s="77">
        <v>57.0</v>
      </c>
      <c r="D23" s="77">
        <v>512.0</v>
      </c>
      <c r="E23" s="77">
        <v>158.0</v>
      </c>
      <c r="F23" s="76">
        <f t="shared" si="16"/>
        <v>727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57</v>
      </c>
      <c r="S23" s="75">
        <f t="shared" si="24"/>
        <v>512</v>
      </c>
      <c r="T23" s="75">
        <f t="shared" si="24"/>
        <v>158</v>
      </c>
      <c r="U23" s="78">
        <f t="shared" si="20"/>
        <v>727</v>
      </c>
      <c r="V23" s="2"/>
    </row>
    <row r="24" ht="15.0" customHeight="1">
      <c r="A24" s="74" t="s">
        <v>63</v>
      </c>
      <c r="B24" s="79"/>
      <c r="C24" s="77">
        <v>511.0</v>
      </c>
      <c r="D24" s="77"/>
      <c r="E24" s="77"/>
      <c r="F24" s="76">
        <f t="shared" si="16"/>
        <v>511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511</v>
      </c>
      <c r="S24" s="75">
        <f t="shared" si="25"/>
        <v>0</v>
      </c>
      <c r="T24" s="75">
        <f t="shared" si="25"/>
        <v>0</v>
      </c>
      <c r="U24" s="78">
        <f t="shared" si="20"/>
        <v>511</v>
      </c>
      <c r="V24" s="2"/>
    </row>
    <row r="25" ht="15.0" customHeight="1">
      <c r="A25" s="74" t="s">
        <v>17</v>
      </c>
      <c r="B25" s="75"/>
      <c r="C25" s="75">
        <v>723.0</v>
      </c>
      <c r="D25" s="77">
        <v>4147.0</v>
      </c>
      <c r="E25" s="77">
        <v>1202.0</v>
      </c>
      <c r="F25" s="76">
        <f t="shared" si="16"/>
        <v>6072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723</v>
      </c>
      <c r="S25" s="75">
        <f t="shared" si="26"/>
        <v>4147</v>
      </c>
      <c r="T25" s="75">
        <f t="shared" si="26"/>
        <v>1202</v>
      </c>
      <c r="U25" s="76">
        <f t="shared" si="20"/>
        <v>6072</v>
      </c>
      <c r="V25" s="2"/>
    </row>
    <row r="26" ht="15.0" customHeight="1">
      <c r="A26" s="74" t="s">
        <v>64</v>
      </c>
      <c r="B26" s="77">
        <v>68.0</v>
      </c>
      <c r="C26" s="80">
        <v>1081.0</v>
      </c>
      <c r="D26" s="80">
        <v>2865.0</v>
      </c>
      <c r="E26" s="75">
        <v>2983.0</v>
      </c>
      <c r="F26" s="76">
        <f t="shared" si="16"/>
        <v>6997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68</v>
      </c>
      <c r="R26" s="75">
        <f t="shared" si="27"/>
        <v>1081</v>
      </c>
      <c r="S26" s="75">
        <f t="shared" si="27"/>
        <v>2865</v>
      </c>
      <c r="T26" s="75">
        <f t="shared" si="27"/>
        <v>2983</v>
      </c>
      <c r="U26" s="78">
        <f t="shared" si="20"/>
        <v>6997</v>
      </c>
      <c r="V26" s="2"/>
    </row>
    <row r="27" ht="15.0" customHeight="1">
      <c r="A27" s="74" t="s">
        <v>65</v>
      </c>
      <c r="B27" s="77"/>
      <c r="C27" s="77">
        <v>1822.0</v>
      </c>
      <c r="D27" s="77">
        <v>3442.0</v>
      </c>
      <c r="E27" s="77">
        <v>667.0</v>
      </c>
      <c r="F27" s="76">
        <f t="shared" si="16"/>
        <v>5931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0</v>
      </c>
      <c r="R27" s="75">
        <f t="shared" si="28"/>
        <v>1822</v>
      </c>
      <c r="S27" s="75">
        <f t="shared" si="28"/>
        <v>3442</v>
      </c>
      <c r="T27" s="75">
        <f t="shared" si="28"/>
        <v>667</v>
      </c>
      <c r="U27" s="78">
        <f t="shared" si="20"/>
        <v>5931</v>
      </c>
      <c r="V27" s="2"/>
    </row>
    <row r="28" ht="15.75" customHeight="1">
      <c r="A28" s="74" t="s">
        <v>54</v>
      </c>
      <c r="B28" s="77"/>
      <c r="C28" s="77">
        <v>51.0</v>
      </c>
      <c r="D28" s="77">
        <v>2555.0</v>
      </c>
      <c r="E28" s="77">
        <v>800.0</v>
      </c>
      <c r="F28" s="76">
        <f t="shared" si="16"/>
        <v>3406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51</v>
      </c>
      <c r="S28" s="75">
        <f t="shared" si="29"/>
        <v>2555</v>
      </c>
      <c r="T28" s="75">
        <f t="shared" si="29"/>
        <v>800</v>
      </c>
      <c r="U28" s="78">
        <f t="shared" si="20"/>
        <v>3406</v>
      </c>
      <c r="V28" s="2"/>
    </row>
    <row r="29" ht="15.75" customHeight="1">
      <c r="A29" s="72" t="s">
        <v>66</v>
      </c>
      <c r="B29" s="73">
        <f t="shared" ref="B29:U29" si="30">SUM(B30:B44)</f>
        <v>5025</v>
      </c>
      <c r="C29" s="73">
        <f t="shared" si="30"/>
        <v>18734</v>
      </c>
      <c r="D29" s="73">
        <f t="shared" si="30"/>
        <v>13322</v>
      </c>
      <c r="E29" s="73">
        <f t="shared" si="30"/>
        <v>7251</v>
      </c>
      <c r="F29" s="81">
        <f t="shared" si="30"/>
        <v>44332</v>
      </c>
      <c r="G29" s="73">
        <f t="shared" si="30"/>
        <v>1052</v>
      </c>
      <c r="H29" s="73">
        <f t="shared" si="30"/>
        <v>2310</v>
      </c>
      <c r="I29" s="73">
        <f t="shared" si="30"/>
        <v>2488</v>
      </c>
      <c r="J29" s="73">
        <f t="shared" si="30"/>
        <v>926</v>
      </c>
      <c r="K29" s="81">
        <f t="shared" si="30"/>
        <v>6776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6077</v>
      </c>
      <c r="R29" s="73">
        <f t="shared" si="30"/>
        <v>21090</v>
      </c>
      <c r="S29" s="73">
        <f t="shared" si="30"/>
        <v>16126</v>
      </c>
      <c r="T29" s="73">
        <f t="shared" si="30"/>
        <v>8177</v>
      </c>
      <c r="U29" s="81">
        <f t="shared" si="30"/>
        <v>51470</v>
      </c>
      <c r="V29" s="2" t="s">
        <v>114</v>
      </c>
    </row>
    <row r="30" ht="15.0" customHeight="1">
      <c r="A30" s="74" t="s">
        <v>67</v>
      </c>
      <c r="B30" s="75"/>
      <c r="C30" s="75">
        <v>629.0</v>
      </c>
      <c r="D30" s="75">
        <v>763.0</v>
      </c>
      <c r="E30" s="75">
        <v>87.0</v>
      </c>
      <c r="F30" s="76">
        <f t="shared" ref="F30:F44" si="32">SUM(B30:E30)</f>
        <v>1479</v>
      </c>
      <c r="G30" s="75">
        <v>124.0</v>
      </c>
      <c r="H30" s="75">
        <v>574.0</v>
      </c>
      <c r="I30" s="75">
        <v>435.0</v>
      </c>
      <c r="J30" s="75">
        <v>30.0</v>
      </c>
      <c r="K30" s="76">
        <f t="shared" ref="K30:K44" si="33">SUM(G30:J30)</f>
        <v>1163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124</v>
      </c>
      <c r="R30" s="75">
        <f t="shared" si="31"/>
        <v>1203</v>
      </c>
      <c r="S30" s="75">
        <f t="shared" si="31"/>
        <v>1198</v>
      </c>
      <c r="T30" s="75">
        <f t="shared" si="31"/>
        <v>117</v>
      </c>
      <c r="U30" s="76">
        <f t="shared" ref="U30:U44" si="36">SUM(Q30:T30)</f>
        <v>2642</v>
      </c>
      <c r="V30" s="2"/>
    </row>
    <row r="31" ht="15.0" customHeight="1">
      <c r="A31" s="74" t="s">
        <v>68</v>
      </c>
      <c r="B31" s="77">
        <v>400.0</v>
      </c>
      <c r="C31" s="77">
        <v>2554.0</v>
      </c>
      <c r="D31" s="77">
        <v>122.0</v>
      </c>
      <c r="E31" s="77">
        <v>22.0</v>
      </c>
      <c r="F31" s="76">
        <f t="shared" si="32"/>
        <v>3098</v>
      </c>
      <c r="G31" s="77"/>
      <c r="H31" s="77"/>
      <c r="I31" s="77">
        <v>61.0</v>
      </c>
      <c r="J31" s="77">
        <v>53.0</v>
      </c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400</v>
      </c>
      <c r="R31" s="77">
        <f t="shared" si="35"/>
        <v>2600</v>
      </c>
      <c r="S31" s="77">
        <f t="shared" si="35"/>
        <v>183</v>
      </c>
      <c r="T31" s="77">
        <f t="shared" si="35"/>
        <v>75</v>
      </c>
      <c r="U31" s="78">
        <f t="shared" si="36"/>
        <v>3258</v>
      </c>
      <c r="V31" s="2"/>
    </row>
    <row r="32" ht="15.0" customHeight="1">
      <c r="A32" s="74" t="s">
        <v>69</v>
      </c>
      <c r="B32" s="77"/>
      <c r="C32" s="77">
        <v>918.0</v>
      </c>
      <c r="D32" s="77">
        <v>1846.0</v>
      </c>
      <c r="E32" s="77">
        <v>2321.0</v>
      </c>
      <c r="F32" s="76">
        <f t="shared" si="32"/>
        <v>5085</v>
      </c>
      <c r="G32" s="77"/>
      <c r="H32" s="77"/>
      <c r="I32" s="77">
        <v>236.0</v>
      </c>
      <c r="J32" s="77">
        <v>352.0</v>
      </c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918</v>
      </c>
      <c r="S32" s="77">
        <f t="shared" si="37"/>
        <v>2082</v>
      </c>
      <c r="T32" s="77">
        <f t="shared" si="37"/>
        <v>2673</v>
      </c>
      <c r="U32" s="78">
        <f t="shared" si="36"/>
        <v>5673</v>
      </c>
      <c r="V32" s="2"/>
    </row>
    <row r="33" ht="15.0" customHeight="1">
      <c r="A33" s="74" t="s">
        <v>70</v>
      </c>
      <c r="B33" s="77"/>
      <c r="C33" s="77"/>
      <c r="D33" s="77">
        <v>127.0</v>
      </c>
      <c r="E33" s="77">
        <v>483.0</v>
      </c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0</v>
      </c>
      <c r="S33" s="77">
        <f t="shared" si="38"/>
        <v>127</v>
      </c>
      <c r="T33" s="77">
        <f t="shared" si="38"/>
        <v>483</v>
      </c>
      <c r="U33" s="78">
        <f t="shared" si="36"/>
        <v>610</v>
      </c>
      <c r="V33" s="2"/>
    </row>
    <row r="34" ht="15.0" customHeight="1">
      <c r="A34" s="74" t="s">
        <v>71</v>
      </c>
      <c r="B34" s="77">
        <v>1127.0</v>
      </c>
      <c r="C34" s="77">
        <v>5058.0</v>
      </c>
      <c r="D34" s="77">
        <v>1510.0</v>
      </c>
      <c r="E34" s="77">
        <v>37.0</v>
      </c>
      <c r="F34" s="76">
        <f t="shared" si="32"/>
        <v>7732</v>
      </c>
      <c r="G34" s="77">
        <v>91.0</v>
      </c>
      <c r="H34" s="77">
        <v>116.0</v>
      </c>
      <c r="I34" s="77">
        <v>43.0</v>
      </c>
      <c r="J34" s="77">
        <v>3.0</v>
      </c>
      <c r="K34" s="76">
        <f t="shared" si="33"/>
        <v>253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1218</v>
      </c>
      <c r="R34" s="77">
        <f t="shared" si="39"/>
        <v>5174</v>
      </c>
      <c r="S34" s="77">
        <f t="shared" si="39"/>
        <v>1553</v>
      </c>
      <c r="T34" s="77">
        <f t="shared" si="39"/>
        <v>40</v>
      </c>
      <c r="U34" s="78">
        <f t="shared" si="36"/>
        <v>7985</v>
      </c>
      <c r="V34" s="2"/>
    </row>
    <row r="35" ht="15.0" customHeight="1">
      <c r="A35" s="74" t="s">
        <v>72</v>
      </c>
      <c r="B35" s="77">
        <v>649.0</v>
      </c>
      <c r="C35" s="77">
        <v>1504.0</v>
      </c>
      <c r="D35" s="77">
        <v>315.0</v>
      </c>
      <c r="E35" s="77">
        <v>82.0</v>
      </c>
      <c r="F35" s="76">
        <f t="shared" si="32"/>
        <v>2550</v>
      </c>
      <c r="G35" s="77">
        <v>89.0</v>
      </c>
      <c r="H35" s="77">
        <v>80.0</v>
      </c>
      <c r="I35" s="77"/>
      <c r="J35" s="77"/>
      <c r="K35" s="76">
        <f t="shared" si="33"/>
        <v>169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738</v>
      </c>
      <c r="R35" s="77">
        <f t="shared" si="40"/>
        <v>1584</v>
      </c>
      <c r="S35" s="77">
        <f t="shared" si="40"/>
        <v>315</v>
      </c>
      <c r="T35" s="77">
        <f t="shared" si="40"/>
        <v>82</v>
      </c>
      <c r="U35" s="78">
        <f t="shared" si="36"/>
        <v>2719</v>
      </c>
      <c r="V35" s="2"/>
    </row>
    <row r="36" ht="15.0" customHeight="1">
      <c r="A36" s="74" t="s">
        <v>73</v>
      </c>
      <c r="B36" s="77">
        <v>711.0</v>
      </c>
      <c r="C36" s="77">
        <v>472.0</v>
      </c>
      <c r="D36" s="77">
        <v>584.0</v>
      </c>
      <c r="E36" s="77">
        <v>206.0</v>
      </c>
      <c r="F36" s="76">
        <f t="shared" si="32"/>
        <v>1973</v>
      </c>
      <c r="G36" s="77">
        <v>357.0</v>
      </c>
      <c r="H36" s="77">
        <v>79.0</v>
      </c>
      <c r="I36" s="77">
        <v>316.0</v>
      </c>
      <c r="J36" s="77">
        <v>92.0</v>
      </c>
      <c r="K36" s="76">
        <f t="shared" si="33"/>
        <v>844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1068</v>
      </c>
      <c r="R36" s="77">
        <f t="shared" si="41"/>
        <v>551</v>
      </c>
      <c r="S36" s="77">
        <f t="shared" si="41"/>
        <v>900</v>
      </c>
      <c r="T36" s="77">
        <f t="shared" si="41"/>
        <v>298</v>
      </c>
      <c r="U36" s="78">
        <f t="shared" si="36"/>
        <v>2817</v>
      </c>
      <c r="V36" s="2"/>
    </row>
    <row r="37" ht="15.0" customHeight="1">
      <c r="A37" s="74" t="s">
        <v>74</v>
      </c>
      <c r="B37" s="77">
        <v>1300.0</v>
      </c>
      <c r="C37" s="77">
        <v>2960.0</v>
      </c>
      <c r="D37" s="77">
        <v>3521.0</v>
      </c>
      <c r="E37" s="77">
        <v>1112.0</v>
      </c>
      <c r="F37" s="76">
        <f t="shared" si="32"/>
        <v>8893</v>
      </c>
      <c r="G37" s="77">
        <v>386.0</v>
      </c>
      <c r="H37" s="77">
        <v>614.0</v>
      </c>
      <c r="I37" s="77">
        <v>555.0</v>
      </c>
      <c r="J37" s="77">
        <v>105.0</v>
      </c>
      <c r="K37" s="76">
        <f t="shared" si="33"/>
        <v>1660</v>
      </c>
      <c r="L37" s="77"/>
      <c r="M37" s="77"/>
      <c r="N37" s="77"/>
      <c r="O37" s="77"/>
      <c r="P37" s="78">
        <f t="shared" si="34"/>
        <v>0</v>
      </c>
      <c r="Q37" s="77">
        <f t="shared" ref="Q37:R37" si="42">SUM(B37,G37,L37)</f>
        <v>1686</v>
      </c>
      <c r="R37" s="77">
        <f t="shared" si="42"/>
        <v>3574</v>
      </c>
      <c r="S37" s="77">
        <f t="shared" ref="S37:S41" si="44">SUM(D37,I36,N37)</f>
        <v>3837</v>
      </c>
      <c r="T37" s="77">
        <f t="shared" ref="T37:T41" si="45">SUM(E37,J37,O37)</f>
        <v>1217</v>
      </c>
      <c r="U37" s="78">
        <f t="shared" si="36"/>
        <v>10314</v>
      </c>
      <c r="V37" s="2"/>
    </row>
    <row r="38" ht="15.0" customHeight="1">
      <c r="A38" s="74" t="s">
        <v>75</v>
      </c>
      <c r="B38" s="77"/>
      <c r="C38" s="77">
        <v>2818.0</v>
      </c>
      <c r="D38" s="77">
        <v>803.0</v>
      </c>
      <c r="E38" s="77"/>
      <c r="F38" s="76">
        <f t="shared" si="32"/>
        <v>3621</v>
      </c>
      <c r="G38" s="77">
        <v>5.0</v>
      </c>
      <c r="H38" s="77">
        <v>373.0</v>
      </c>
      <c r="I38" s="77">
        <v>88.0</v>
      </c>
      <c r="J38" s="77"/>
      <c r="K38" s="76">
        <f t="shared" si="33"/>
        <v>466</v>
      </c>
      <c r="L38" s="77"/>
      <c r="M38" s="77"/>
      <c r="N38" s="77"/>
      <c r="O38" s="77"/>
      <c r="P38" s="78">
        <f t="shared" si="34"/>
        <v>0</v>
      </c>
      <c r="Q38" s="77">
        <f t="shared" ref="Q38:R38" si="43">SUM(B38,G38,L38)</f>
        <v>5</v>
      </c>
      <c r="R38" s="77">
        <f t="shared" si="43"/>
        <v>3191</v>
      </c>
      <c r="S38" s="77">
        <f t="shared" si="44"/>
        <v>1358</v>
      </c>
      <c r="T38" s="77">
        <f t="shared" si="45"/>
        <v>0</v>
      </c>
      <c r="U38" s="78">
        <f t="shared" si="36"/>
        <v>4554</v>
      </c>
      <c r="V38" s="2"/>
    </row>
    <row r="39" ht="15.0" customHeight="1">
      <c r="A39" s="74" t="s">
        <v>76</v>
      </c>
      <c r="B39" s="77"/>
      <c r="C39" s="77">
        <v>731.0</v>
      </c>
      <c r="D39" s="77">
        <v>546.0</v>
      </c>
      <c r="E39" s="77"/>
      <c r="F39" s="76">
        <f t="shared" si="32"/>
        <v>1277</v>
      </c>
      <c r="G39" s="77"/>
      <c r="H39" s="77">
        <v>131.0</v>
      </c>
      <c r="I39" s="77">
        <v>93.0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R39" si="46">SUM(B39,G39,L39)</f>
        <v>0</v>
      </c>
      <c r="R39" s="77">
        <f t="shared" si="46"/>
        <v>862</v>
      </c>
      <c r="S39" s="77">
        <f t="shared" si="44"/>
        <v>634</v>
      </c>
      <c r="T39" s="77">
        <f t="shared" si="45"/>
        <v>0</v>
      </c>
      <c r="U39" s="78">
        <f t="shared" si="36"/>
        <v>1496</v>
      </c>
      <c r="V39" s="2"/>
    </row>
    <row r="40" ht="15.0" customHeight="1">
      <c r="A40" s="74" t="s">
        <v>77</v>
      </c>
      <c r="B40" s="77"/>
      <c r="C40" s="77"/>
      <c r="D40" s="77">
        <v>2.0</v>
      </c>
      <c r="E40" s="77">
        <v>4.0</v>
      </c>
      <c r="F40" s="76">
        <f t="shared" si="32"/>
        <v>6</v>
      </c>
      <c r="G40" s="77"/>
      <c r="H40" s="77"/>
      <c r="I40" s="77">
        <v>4.0</v>
      </c>
      <c r="J40" s="77">
        <v>9.0</v>
      </c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R40" si="47">SUM(B40,G40,L40)</f>
        <v>0</v>
      </c>
      <c r="R40" s="77">
        <f t="shared" si="47"/>
        <v>0</v>
      </c>
      <c r="S40" s="77">
        <f t="shared" si="44"/>
        <v>95</v>
      </c>
      <c r="T40" s="77">
        <f t="shared" si="45"/>
        <v>13</v>
      </c>
      <c r="U40" s="78">
        <f t="shared" si="36"/>
        <v>108</v>
      </c>
      <c r="V40" s="2"/>
    </row>
    <row r="41" ht="15.0" customHeight="1">
      <c r="A41" s="74" t="s">
        <v>78</v>
      </c>
      <c r="B41" s="77"/>
      <c r="C41" s="77">
        <v>579.0</v>
      </c>
      <c r="D41" s="77">
        <v>504.0</v>
      </c>
      <c r="E41" s="77">
        <v>779.0</v>
      </c>
      <c r="F41" s="76">
        <f t="shared" si="32"/>
        <v>1862</v>
      </c>
      <c r="G41" s="77"/>
      <c r="H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R41" si="48">SUM(B41,G41,L41)</f>
        <v>0</v>
      </c>
      <c r="R41" s="77">
        <f t="shared" si="48"/>
        <v>579</v>
      </c>
      <c r="S41" s="77">
        <f t="shared" si="44"/>
        <v>508</v>
      </c>
      <c r="T41" s="77">
        <f t="shared" si="45"/>
        <v>779</v>
      </c>
      <c r="U41" s="78">
        <f t="shared" si="36"/>
        <v>1866</v>
      </c>
      <c r="V41" s="2"/>
    </row>
    <row r="42" ht="15.0" customHeight="1">
      <c r="A42" s="74" t="s">
        <v>79</v>
      </c>
      <c r="B42" s="77"/>
      <c r="C42" s="77"/>
      <c r="D42" s="77">
        <v>82.0</v>
      </c>
      <c r="E42" s="77">
        <v>77.0</v>
      </c>
      <c r="F42" s="76">
        <f t="shared" si="32"/>
        <v>159</v>
      </c>
      <c r="G42" s="77"/>
      <c r="H42" s="77">
        <v>215.0</v>
      </c>
      <c r="I42" s="77">
        <v>42.0</v>
      </c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9">SUM(B42,G42,L42)</f>
        <v>0</v>
      </c>
      <c r="R42" s="77">
        <f t="shared" si="49"/>
        <v>215</v>
      </c>
      <c r="S42" s="77">
        <f t="shared" si="49"/>
        <v>124</v>
      </c>
      <c r="T42" s="77">
        <f t="shared" si="49"/>
        <v>77</v>
      </c>
      <c r="U42" s="78">
        <f t="shared" si="36"/>
        <v>416</v>
      </c>
      <c r="V42" s="2"/>
    </row>
    <row r="43" ht="15.0" customHeight="1">
      <c r="A43" s="74" t="s">
        <v>80</v>
      </c>
      <c r="B43" s="77"/>
      <c r="C43" s="77"/>
      <c r="D43" s="77">
        <v>837.0</v>
      </c>
      <c r="E43" s="77">
        <v>636.0</v>
      </c>
      <c r="F43" s="76">
        <f t="shared" si="32"/>
        <v>1473</v>
      </c>
      <c r="G43" s="77"/>
      <c r="H43" s="77"/>
      <c r="I43" s="77">
        <v>240.0</v>
      </c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50">SUM(B43,G43,L43)</f>
        <v>0</v>
      </c>
      <c r="R43" s="77">
        <f t="shared" si="50"/>
        <v>0</v>
      </c>
      <c r="S43" s="77">
        <f t="shared" si="50"/>
        <v>1077</v>
      </c>
      <c r="T43" s="77">
        <f t="shared" si="50"/>
        <v>636</v>
      </c>
      <c r="U43" s="78">
        <f t="shared" si="36"/>
        <v>1713</v>
      </c>
      <c r="V43" s="2"/>
    </row>
    <row r="44" ht="15.75" customHeight="1">
      <c r="A44" s="74" t="s">
        <v>81</v>
      </c>
      <c r="B44" s="77">
        <v>838.0</v>
      </c>
      <c r="C44" s="77">
        <v>511.0</v>
      </c>
      <c r="D44" s="77">
        <v>1760.0</v>
      </c>
      <c r="E44" s="77">
        <v>1405.0</v>
      </c>
      <c r="F44" s="76">
        <f t="shared" si="32"/>
        <v>4514</v>
      </c>
      <c r="G44" s="77"/>
      <c r="H44" s="77">
        <v>128.0</v>
      </c>
      <c r="I44" s="77">
        <v>375.0</v>
      </c>
      <c r="J44" s="77">
        <v>282.0</v>
      </c>
      <c r="K44" s="76">
        <f t="shared" si="33"/>
        <v>785</v>
      </c>
      <c r="L44" s="77"/>
      <c r="M44" s="77"/>
      <c r="N44" s="77"/>
      <c r="O44" s="77"/>
      <c r="P44" s="78">
        <f t="shared" si="34"/>
        <v>0</v>
      </c>
      <c r="Q44" s="77">
        <f t="shared" ref="Q44:T44" si="51">SUM(B44,G44,L44)</f>
        <v>838</v>
      </c>
      <c r="R44" s="77">
        <f t="shared" si="51"/>
        <v>639</v>
      </c>
      <c r="S44" s="77">
        <f t="shared" si="51"/>
        <v>2135</v>
      </c>
      <c r="T44" s="77">
        <f t="shared" si="51"/>
        <v>1687</v>
      </c>
      <c r="U44" s="78">
        <f t="shared" si="36"/>
        <v>5299</v>
      </c>
      <c r="V44" s="2"/>
    </row>
    <row r="45" ht="15.75" customHeight="1">
      <c r="A45" s="72" t="s">
        <v>82</v>
      </c>
      <c r="B45" s="73">
        <f t="shared" ref="B45:U45" si="52">SUM(B46:B63)</f>
        <v>1375</v>
      </c>
      <c r="C45" s="73">
        <f t="shared" si="52"/>
        <v>2671</v>
      </c>
      <c r="D45" s="73">
        <f t="shared" si="52"/>
        <v>8709</v>
      </c>
      <c r="E45" s="73">
        <f t="shared" si="52"/>
        <v>8210</v>
      </c>
      <c r="F45" s="81">
        <f t="shared" si="52"/>
        <v>20965</v>
      </c>
      <c r="G45" s="73">
        <f t="shared" si="52"/>
        <v>3124</v>
      </c>
      <c r="H45" s="73">
        <f t="shared" si="52"/>
        <v>4332</v>
      </c>
      <c r="I45" s="73">
        <f t="shared" si="52"/>
        <v>2641</v>
      </c>
      <c r="J45" s="73">
        <f t="shared" si="52"/>
        <v>6258</v>
      </c>
      <c r="K45" s="81">
        <f t="shared" si="52"/>
        <v>16355</v>
      </c>
      <c r="L45" s="73">
        <f t="shared" si="52"/>
        <v>0</v>
      </c>
      <c r="M45" s="73">
        <f t="shared" si="52"/>
        <v>0</v>
      </c>
      <c r="N45" s="73">
        <f t="shared" si="52"/>
        <v>0</v>
      </c>
      <c r="O45" s="73">
        <f t="shared" si="52"/>
        <v>0</v>
      </c>
      <c r="P45" s="81">
        <f t="shared" si="52"/>
        <v>0</v>
      </c>
      <c r="Q45" s="73">
        <f t="shared" si="52"/>
        <v>4499</v>
      </c>
      <c r="R45" s="73">
        <f t="shared" si="52"/>
        <v>7003</v>
      </c>
      <c r="S45" s="73">
        <f t="shared" si="52"/>
        <v>11350</v>
      </c>
      <c r="T45" s="73">
        <f t="shared" si="52"/>
        <v>14468</v>
      </c>
      <c r="U45" s="73">
        <f t="shared" si="52"/>
        <v>37320</v>
      </c>
      <c r="V45" s="2"/>
    </row>
    <row r="46" ht="15.0" customHeight="1">
      <c r="A46" s="74" t="s">
        <v>83</v>
      </c>
      <c r="B46" s="75">
        <v>80.0</v>
      </c>
      <c r="C46" s="75">
        <v>235.0</v>
      </c>
      <c r="D46" s="75">
        <v>875.0</v>
      </c>
      <c r="E46" s="75">
        <v>500.0</v>
      </c>
      <c r="F46" s="76">
        <f t="shared" ref="F46:F63" si="54">SUM(B46:E46)</f>
        <v>1690</v>
      </c>
      <c r="G46" s="75"/>
      <c r="H46" s="75">
        <v>335.0</v>
      </c>
      <c r="I46" s="75">
        <v>255.0</v>
      </c>
      <c r="J46" s="75">
        <v>90.0</v>
      </c>
      <c r="K46" s="76">
        <f t="shared" ref="K46:K63" si="55">SUM(G46:J46)</f>
        <v>680</v>
      </c>
      <c r="L46" s="75"/>
      <c r="M46" s="75"/>
      <c r="N46" s="75"/>
      <c r="O46" s="75"/>
      <c r="P46" s="76">
        <f t="shared" ref="P46:P63" si="56">SUM(L46:O46)</f>
        <v>0</v>
      </c>
      <c r="Q46" s="75">
        <f t="shared" ref="Q46:T46" si="53">SUM(B46,G46,L46)</f>
        <v>80</v>
      </c>
      <c r="R46" s="75">
        <f t="shared" si="53"/>
        <v>570</v>
      </c>
      <c r="S46" s="75">
        <f t="shared" si="53"/>
        <v>1130</v>
      </c>
      <c r="T46" s="75">
        <f t="shared" si="53"/>
        <v>590</v>
      </c>
      <c r="U46" s="76">
        <f t="shared" ref="U46:U63" si="58">SUM(Q46:T46)</f>
        <v>2370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4"/>
        <v>0</v>
      </c>
      <c r="G47" s="77">
        <v>761.0</v>
      </c>
      <c r="H47" s="2">
        <v>88.0</v>
      </c>
      <c r="I47" s="2"/>
      <c r="J47" s="2"/>
      <c r="K47" s="76">
        <f t="shared" si="55"/>
        <v>849</v>
      </c>
      <c r="L47" s="77"/>
      <c r="M47" s="77"/>
      <c r="N47" s="77"/>
      <c r="O47" s="77"/>
      <c r="P47" s="76">
        <f t="shared" si="56"/>
        <v>0</v>
      </c>
      <c r="Q47" s="75">
        <f t="shared" ref="Q47:T47" si="57">SUM(B47,G47,L47)</f>
        <v>761</v>
      </c>
      <c r="R47" s="75">
        <f t="shared" si="57"/>
        <v>88</v>
      </c>
      <c r="S47" s="75">
        <f t="shared" si="57"/>
        <v>0</v>
      </c>
      <c r="T47" s="75">
        <f t="shared" si="57"/>
        <v>0</v>
      </c>
      <c r="U47" s="78">
        <f t="shared" si="58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4"/>
        <v>0</v>
      </c>
      <c r="G48" s="77"/>
      <c r="H48" s="77"/>
      <c r="I48" s="77"/>
      <c r="J48" s="77"/>
      <c r="K48" s="76">
        <f t="shared" si="55"/>
        <v>0</v>
      </c>
      <c r="L48" s="77"/>
      <c r="M48" s="77"/>
      <c r="N48" s="77"/>
      <c r="O48" s="77"/>
      <c r="P48" s="76">
        <f t="shared" si="56"/>
        <v>0</v>
      </c>
      <c r="Q48" s="75">
        <f t="shared" ref="Q48:T48" si="59">SUM(B48,G48,L48)</f>
        <v>0</v>
      </c>
      <c r="R48" s="75">
        <f t="shared" si="59"/>
        <v>0</v>
      </c>
      <c r="S48" s="75">
        <f t="shared" si="59"/>
        <v>0</v>
      </c>
      <c r="T48" s="75">
        <f t="shared" si="59"/>
        <v>0</v>
      </c>
      <c r="U48" s="78">
        <f t="shared" si="58"/>
        <v>0</v>
      </c>
      <c r="V48" s="2"/>
    </row>
    <row r="49" ht="15.0" customHeight="1">
      <c r="A49" s="74" t="s">
        <v>86</v>
      </c>
      <c r="B49" s="77">
        <v>3.0</v>
      </c>
      <c r="C49" s="77">
        <v>379.0</v>
      </c>
      <c r="D49" s="77">
        <v>516.0</v>
      </c>
      <c r="E49" s="77"/>
      <c r="F49" s="76">
        <f t="shared" si="54"/>
        <v>898</v>
      </c>
      <c r="G49" s="77"/>
      <c r="H49" s="77"/>
      <c r="I49" s="77">
        <v>117.0</v>
      </c>
      <c r="J49" s="77"/>
      <c r="K49" s="76">
        <f t="shared" si="55"/>
        <v>117</v>
      </c>
      <c r="L49" s="77"/>
      <c r="M49" s="77"/>
      <c r="N49" s="77"/>
      <c r="O49" s="77"/>
      <c r="P49" s="76">
        <f t="shared" si="56"/>
        <v>0</v>
      </c>
      <c r="Q49" s="75">
        <f t="shared" ref="Q49:T49" si="60">SUM(B49,G49,L49)</f>
        <v>3</v>
      </c>
      <c r="R49" s="75">
        <f t="shared" si="60"/>
        <v>379</v>
      </c>
      <c r="S49" s="75">
        <f t="shared" si="60"/>
        <v>633</v>
      </c>
      <c r="T49" s="75">
        <f t="shared" si="60"/>
        <v>0</v>
      </c>
      <c r="U49" s="78">
        <f t="shared" si="58"/>
        <v>1015</v>
      </c>
      <c r="V49" s="2"/>
    </row>
    <row r="50" ht="15.0" customHeight="1">
      <c r="A50" s="74" t="s">
        <v>87</v>
      </c>
      <c r="B50" s="77">
        <v>62.0</v>
      </c>
      <c r="C50" s="77">
        <v>214.0</v>
      </c>
      <c r="D50" s="77">
        <v>1450.0</v>
      </c>
      <c r="E50" s="77">
        <v>2142.0</v>
      </c>
      <c r="F50" s="76">
        <f t="shared" si="54"/>
        <v>3868</v>
      </c>
      <c r="G50" s="77"/>
      <c r="H50" s="77"/>
      <c r="I50" s="77">
        <v>574.0</v>
      </c>
      <c r="J50" s="77">
        <v>1288.0</v>
      </c>
      <c r="K50" s="76">
        <f t="shared" si="55"/>
        <v>1862</v>
      </c>
      <c r="L50" s="77"/>
      <c r="M50" s="77"/>
      <c r="N50" s="77"/>
      <c r="O50" s="77"/>
      <c r="P50" s="76">
        <f t="shared" si="56"/>
        <v>0</v>
      </c>
      <c r="Q50" s="75">
        <f t="shared" ref="Q50:T50" si="61">SUM(B50,G50,L50)</f>
        <v>62</v>
      </c>
      <c r="R50" s="75">
        <f t="shared" si="61"/>
        <v>214</v>
      </c>
      <c r="S50" s="75">
        <f t="shared" si="61"/>
        <v>2024</v>
      </c>
      <c r="T50" s="75">
        <f t="shared" si="61"/>
        <v>3430</v>
      </c>
      <c r="U50" s="78">
        <f t="shared" si="58"/>
        <v>5730</v>
      </c>
      <c r="V50" s="2"/>
    </row>
    <row r="51" ht="15.0" customHeight="1">
      <c r="A51" s="74" t="s">
        <v>88</v>
      </c>
      <c r="B51" s="77">
        <v>10.0</v>
      </c>
      <c r="C51" s="77">
        <v>98.0</v>
      </c>
      <c r="D51" s="77">
        <v>2.0</v>
      </c>
      <c r="E51" s="77"/>
      <c r="F51" s="76">
        <f t="shared" si="54"/>
        <v>110</v>
      </c>
      <c r="G51" s="77">
        <v>7.0</v>
      </c>
      <c r="H51" s="77">
        <v>121.0</v>
      </c>
      <c r="I51" s="77">
        <v>5.0</v>
      </c>
      <c r="J51" s="77">
        <v>3.0</v>
      </c>
      <c r="K51" s="76">
        <f t="shared" si="55"/>
        <v>136</v>
      </c>
      <c r="L51" s="77"/>
      <c r="M51" s="77"/>
      <c r="N51" s="77"/>
      <c r="O51" s="77"/>
      <c r="P51" s="76">
        <f t="shared" si="56"/>
        <v>0</v>
      </c>
      <c r="Q51" s="75">
        <f t="shared" ref="Q51:T51" si="62">SUM(B51,G51,L51)</f>
        <v>17</v>
      </c>
      <c r="R51" s="75">
        <f t="shared" si="62"/>
        <v>219</v>
      </c>
      <c r="S51" s="75">
        <f t="shared" si="62"/>
        <v>7</v>
      </c>
      <c r="T51" s="75">
        <f t="shared" si="62"/>
        <v>3</v>
      </c>
      <c r="U51" s="78">
        <f t="shared" si="58"/>
        <v>246</v>
      </c>
      <c r="V51" s="2"/>
    </row>
    <row r="52" ht="15.0" customHeight="1">
      <c r="A52" s="83" t="s">
        <v>89</v>
      </c>
      <c r="B52" s="84"/>
      <c r="C52" s="84">
        <v>242.0</v>
      </c>
      <c r="D52" s="84">
        <v>70.0</v>
      </c>
      <c r="E52" s="84"/>
      <c r="F52" s="85">
        <f t="shared" si="54"/>
        <v>312</v>
      </c>
      <c r="G52" s="84"/>
      <c r="H52" s="84">
        <v>161.0</v>
      </c>
      <c r="I52" s="84">
        <v>53.0</v>
      </c>
      <c r="J52" s="84"/>
      <c r="K52" s="85">
        <f t="shared" si="55"/>
        <v>214</v>
      </c>
      <c r="L52" s="84"/>
      <c r="M52" s="84"/>
      <c r="N52" s="84"/>
      <c r="O52" s="84"/>
      <c r="P52" s="85">
        <f t="shared" si="56"/>
        <v>0</v>
      </c>
      <c r="Q52" s="86">
        <f t="shared" ref="Q52:T52" si="63">SUM(B52,G52,L52)</f>
        <v>0</v>
      </c>
      <c r="R52" s="86">
        <f t="shared" si="63"/>
        <v>403</v>
      </c>
      <c r="S52" s="86">
        <f t="shared" si="63"/>
        <v>123</v>
      </c>
      <c r="T52" s="86">
        <f t="shared" si="63"/>
        <v>0</v>
      </c>
      <c r="U52" s="87">
        <f t="shared" si="58"/>
        <v>526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3.0</v>
      </c>
      <c r="C53" s="77">
        <v>2.0</v>
      </c>
      <c r="D53" s="77">
        <v>11.0</v>
      </c>
      <c r="E53" s="77">
        <v>5.0</v>
      </c>
      <c r="F53" s="76">
        <f t="shared" si="54"/>
        <v>21</v>
      </c>
      <c r="G53" s="77"/>
      <c r="H53" s="77">
        <v>2.0</v>
      </c>
      <c r="I53" s="77">
        <v>7.0</v>
      </c>
      <c r="J53" s="77">
        <v>3.0</v>
      </c>
      <c r="K53" s="76">
        <f t="shared" si="55"/>
        <v>12</v>
      </c>
      <c r="L53" s="77"/>
      <c r="M53" s="77"/>
      <c r="N53" s="77"/>
      <c r="O53" s="77"/>
      <c r="P53" s="76">
        <f t="shared" si="56"/>
        <v>0</v>
      </c>
      <c r="Q53" s="75">
        <f t="shared" ref="Q53:T53" si="64">SUM(B53,G53,L53)</f>
        <v>3</v>
      </c>
      <c r="R53" s="75">
        <f t="shared" si="64"/>
        <v>4</v>
      </c>
      <c r="S53" s="75">
        <f t="shared" si="64"/>
        <v>18</v>
      </c>
      <c r="T53" s="75">
        <f t="shared" si="64"/>
        <v>8</v>
      </c>
      <c r="U53" s="78">
        <f t="shared" si="58"/>
        <v>33</v>
      </c>
      <c r="V53" s="2"/>
    </row>
    <row r="54" ht="15.0" customHeight="1">
      <c r="A54" s="74" t="s">
        <v>91</v>
      </c>
      <c r="B54" s="77"/>
      <c r="C54" s="77"/>
      <c r="D54" s="77">
        <v>1259.0</v>
      </c>
      <c r="E54" s="77">
        <v>478.0</v>
      </c>
      <c r="F54" s="76">
        <f t="shared" si="54"/>
        <v>1737</v>
      </c>
      <c r="G54" s="77"/>
      <c r="H54" s="77">
        <v>843.0</v>
      </c>
      <c r="I54" s="77">
        <v>260.0</v>
      </c>
      <c r="J54" s="77"/>
      <c r="K54" s="76">
        <f t="shared" si="55"/>
        <v>1103</v>
      </c>
      <c r="L54" s="77"/>
      <c r="M54" s="77"/>
      <c r="N54" s="77"/>
      <c r="O54" s="77"/>
      <c r="P54" s="76">
        <f t="shared" si="56"/>
        <v>0</v>
      </c>
      <c r="Q54" s="75">
        <f t="shared" ref="Q54:T54" si="65">SUM(B54,G54,L54)</f>
        <v>0</v>
      </c>
      <c r="R54" s="75">
        <f t="shared" si="65"/>
        <v>843</v>
      </c>
      <c r="S54" s="75">
        <f t="shared" si="65"/>
        <v>1519</v>
      </c>
      <c r="T54" s="75">
        <f t="shared" si="65"/>
        <v>478</v>
      </c>
      <c r="U54" s="78">
        <f t="shared" si="58"/>
        <v>2840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4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5"/>
        <v>790</v>
      </c>
      <c r="L55" s="77"/>
      <c r="M55" s="77"/>
      <c r="N55" s="77"/>
      <c r="O55" s="77"/>
      <c r="P55" s="76">
        <f t="shared" si="56"/>
        <v>0</v>
      </c>
      <c r="Q55" s="75">
        <f t="shared" ref="Q55:T55" si="66">SUM(B55,G55,L55)</f>
        <v>45</v>
      </c>
      <c r="R55" s="75">
        <f t="shared" si="66"/>
        <v>0</v>
      </c>
      <c r="S55" s="75">
        <f t="shared" si="66"/>
        <v>414</v>
      </c>
      <c r="T55" s="75">
        <f t="shared" si="66"/>
        <v>615</v>
      </c>
      <c r="U55" s="78">
        <f t="shared" si="58"/>
        <v>1074</v>
      </c>
      <c r="V55" s="2"/>
    </row>
    <row r="56" ht="15.0" customHeight="1">
      <c r="A56" s="74" t="s">
        <v>93</v>
      </c>
      <c r="B56" s="77"/>
      <c r="C56" s="77"/>
      <c r="D56" s="77">
        <v>149.0</v>
      </c>
      <c r="E56" s="77">
        <v>321.0</v>
      </c>
      <c r="F56" s="76">
        <f t="shared" si="54"/>
        <v>470</v>
      </c>
      <c r="G56" s="77"/>
      <c r="H56" s="77"/>
      <c r="I56" s="77">
        <v>226.0</v>
      </c>
      <c r="J56" s="77">
        <v>536.0</v>
      </c>
      <c r="K56" s="76">
        <f t="shared" si="55"/>
        <v>762</v>
      </c>
      <c r="L56" s="90"/>
      <c r="M56" s="90"/>
      <c r="N56" s="90"/>
      <c r="O56" s="90"/>
      <c r="P56" s="76">
        <f t="shared" si="56"/>
        <v>0</v>
      </c>
      <c r="Q56" s="75">
        <f t="shared" ref="Q56:T56" si="67">SUM(B56,G56,L56)</f>
        <v>0</v>
      </c>
      <c r="R56" s="75">
        <f t="shared" si="67"/>
        <v>0</v>
      </c>
      <c r="S56" s="75">
        <f t="shared" si="67"/>
        <v>375</v>
      </c>
      <c r="T56" s="75">
        <f t="shared" si="67"/>
        <v>857</v>
      </c>
      <c r="U56" s="91">
        <f t="shared" si="58"/>
        <v>1232</v>
      </c>
      <c r="V56" s="2"/>
    </row>
    <row r="57" ht="15.0" customHeight="1">
      <c r="A57" s="74" t="s">
        <v>94</v>
      </c>
      <c r="B57" s="77"/>
      <c r="C57" s="77">
        <v>519.0</v>
      </c>
      <c r="D57" s="77">
        <v>2879.0</v>
      </c>
      <c r="E57" s="2">
        <v>1179.0</v>
      </c>
      <c r="F57" s="76">
        <f t="shared" si="54"/>
        <v>4577</v>
      </c>
      <c r="G57" s="77"/>
      <c r="H57" s="77"/>
      <c r="I57" s="2"/>
      <c r="J57" s="75"/>
      <c r="K57" s="76">
        <f t="shared" si="55"/>
        <v>0</v>
      </c>
      <c r="L57" s="77"/>
      <c r="M57" s="77"/>
      <c r="N57" s="77"/>
      <c r="O57" s="77"/>
      <c r="P57" s="76">
        <f t="shared" si="56"/>
        <v>0</v>
      </c>
      <c r="Q57" s="75">
        <f t="shared" ref="Q57:T57" si="68">SUM(B57,G57,L57)</f>
        <v>0</v>
      </c>
      <c r="R57" s="75">
        <f t="shared" si="68"/>
        <v>519</v>
      </c>
      <c r="S57" s="75">
        <f t="shared" si="68"/>
        <v>2879</v>
      </c>
      <c r="T57" s="75">
        <f t="shared" si="68"/>
        <v>1179</v>
      </c>
      <c r="U57" s="91">
        <f t="shared" si="58"/>
        <v>4577</v>
      </c>
      <c r="V57" s="2"/>
    </row>
    <row r="58" ht="15.0" customHeight="1">
      <c r="A58" s="74" t="s">
        <v>95</v>
      </c>
      <c r="B58" s="77">
        <v>243.0</v>
      </c>
      <c r="C58" s="77">
        <v>68.0</v>
      </c>
      <c r="D58" s="77">
        <v>121.0</v>
      </c>
      <c r="E58" s="77">
        <v>20.0</v>
      </c>
      <c r="F58" s="76">
        <f t="shared" si="54"/>
        <v>452</v>
      </c>
      <c r="G58" s="77">
        <v>12.0</v>
      </c>
      <c r="H58" s="77">
        <v>16.0</v>
      </c>
      <c r="I58" s="77">
        <v>158.0</v>
      </c>
      <c r="J58" s="77">
        <v>111.0</v>
      </c>
      <c r="K58" s="76">
        <f t="shared" si="55"/>
        <v>297</v>
      </c>
      <c r="L58" s="77"/>
      <c r="M58" s="77"/>
      <c r="N58" s="77"/>
      <c r="O58" s="77"/>
      <c r="P58" s="76">
        <f t="shared" si="56"/>
        <v>0</v>
      </c>
      <c r="Q58" s="75">
        <f t="shared" ref="Q58:T58" si="69">SUM(B58,G58,L58)</f>
        <v>255</v>
      </c>
      <c r="R58" s="75">
        <f t="shared" si="69"/>
        <v>84</v>
      </c>
      <c r="S58" s="75">
        <f t="shared" si="69"/>
        <v>279</v>
      </c>
      <c r="T58" s="75">
        <f t="shared" si="69"/>
        <v>131</v>
      </c>
      <c r="U58" s="91">
        <f t="shared" si="58"/>
        <v>749</v>
      </c>
      <c r="V58" s="2"/>
    </row>
    <row r="59" ht="15.0" customHeight="1">
      <c r="A59" s="74" t="s">
        <v>96</v>
      </c>
      <c r="B59" s="77"/>
      <c r="C59" s="77"/>
      <c r="D59" s="77">
        <v>60.0</v>
      </c>
      <c r="E59" s="77">
        <v>452.0</v>
      </c>
      <c r="F59" s="76">
        <f t="shared" si="54"/>
        <v>512</v>
      </c>
      <c r="G59" s="82"/>
      <c r="H59" s="82"/>
      <c r="I59" s="82">
        <v>581.0</v>
      </c>
      <c r="J59" s="77">
        <v>499.0</v>
      </c>
      <c r="K59" s="76">
        <f t="shared" si="55"/>
        <v>1080</v>
      </c>
      <c r="L59" s="77"/>
      <c r="M59" s="77"/>
      <c r="N59" s="77"/>
      <c r="O59" s="77"/>
      <c r="P59" s="76">
        <f t="shared" si="56"/>
        <v>0</v>
      </c>
      <c r="Q59" s="75">
        <f t="shared" ref="Q59:T59" si="70">SUM(B59,G59,L59)</f>
        <v>0</v>
      </c>
      <c r="R59" s="75">
        <f t="shared" si="70"/>
        <v>0</v>
      </c>
      <c r="S59" s="75">
        <f t="shared" si="70"/>
        <v>641</v>
      </c>
      <c r="T59" s="75">
        <f t="shared" si="70"/>
        <v>951</v>
      </c>
      <c r="U59" s="91">
        <f t="shared" si="58"/>
        <v>1592</v>
      </c>
      <c r="V59" s="2"/>
    </row>
    <row r="60" ht="15.0" customHeight="1">
      <c r="A60" s="74" t="s">
        <v>17</v>
      </c>
      <c r="B60" s="77">
        <v>49.0</v>
      </c>
      <c r="C60" s="77">
        <v>140.0</v>
      </c>
      <c r="D60" s="77">
        <v>756.0</v>
      </c>
      <c r="E60" s="77">
        <v>1008.0</v>
      </c>
      <c r="F60" s="76">
        <f t="shared" si="54"/>
        <v>1953</v>
      </c>
      <c r="G60" s="77"/>
      <c r="H60" s="77">
        <v>403.0</v>
      </c>
      <c r="I60" s="77"/>
      <c r="J60" s="77">
        <v>600.0</v>
      </c>
      <c r="K60" s="76">
        <f t="shared" si="55"/>
        <v>1003</v>
      </c>
      <c r="L60" s="77"/>
      <c r="M60" s="77"/>
      <c r="N60" s="77"/>
      <c r="O60" s="77"/>
      <c r="P60" s="76">
        <f t="shared" si="56"/>
        <v>0</v>
      </c>
      <c r="Q60" s="75">
        <f t="shared" ref="Q60:T60" si="71">SUM(B60,G60,L60)</f>
        <v>49</v>
      </c>
      <c r="R60" s="75">
        <f t="shared" si="71"/>
        <v>543</v>
      </c>
      <c r="S60" s="75">
        <f t="shared" si="71"/>
        <v>756</v>
      </c>
      <c r="T60" s="75">
        <f t="shared" si="71"/>
        <v>1608</v>
      </c>
      <c r="U60" s="78">
        <f t="shared" si="58"/>
        <v>2956</v>
      </c>
      <c r="V60" s="2"/>
    </row>
    <row r="61" ht="15.0" customHeight="1">
      <c r="A61" s="74" t="s">
        <v>78</v>
      </c>
      <c r="B61" s="80"/>
      <c r="C61" s="80"/>
      <c r="D61" s="80">
        <v>334.0</v>
      </c>
      <c r="E61" s="77">
        <v>856.0</v>
      </c>
      <c r="F61" s="76">
        <f t="shared" si="54"/>
        <v>1190</v>
      </c>
      <c r="G61" s="77"/>
      <c r="H61" s="77">
        <v>531.0</v>
      </c>
      <c r="I61" s="77"/>
      <c r="J61" s="77">
        <v>2468.0</v>
      </c>
      <c r="K61" s="76">
        <f t="shared" si="55"/>
        <v>2999</v>
      </c>
      <c r="L61" s="77"/>
      <c r="M61" s="77"/>
      <c r="N61" s="77"/>
      <c r="O61" s="77"/>
      <c r="P61" s="76">
        <f t="shared" si="56"/>
        <v>0</v>
      </c>
      <c r="Q61" s="75">
        <f t="shared" ref="Q61:T61" si="72">SUM(B61,G61,L61)</f>
        <v>0</v>
      </c>
      <c r="R61" s="75">
        <f t="shared" si="72"/>
        <v>531</v>
      </c>
      <c r="S61" s="75">
        <f t="shared" si="72"/>
        <v>334</v>
      </c>
      <c r="T61" s="75">
        <f t="shared" si="72"/>
        <v>3324</v>
      </c>
      <c r="U61" s="78">
        <f t="shared" si="58"/>
        <v>4189</v>
      </c>
      <c r="V61" s="2"/>
    </row>
    <row r="62" ht="15.0" customHeight="1">
      <c r="A62" s="74" t="s">
        <v>97</v>
      </c>
      <c r="B62" s="77"/>
      <c r="C62" s="77"/>
      <c r="D62" s="77">
        <v>158.0</v>
      </c>
      <c r="E62" s="77">
        <v>1044.0</v>
      </c>
      <c r="F62" s="76">
        <f t="shared" si="54"/>
        <v>1202</v>
      </c>
      <c r="G62" s="77"/>
      <c r="H62" s="77">
        <v>60.0</v>
      </c>
      <c r="I62" s="77">
        <v>60.0</v>
      </c>
      <c r="J62" s="77">
        <v>250.0</v>
      </c>
      <c r="K62" s="76">
        <f t="shared" si="55"/>
        <v>370</v>
      </c>
      <c r="L62" s="77"/>
      <c r="M62" s="77"/>
      <c r="N62" s="77"/>
      <c r="O62" s="77"/>
      <c r="P62" s="76">
        <f t="shared" si="56"/>
        <v>0</v>
      </c>
      <c r="Q62" s="75">
        <f t="shared" ref="Q62:T62" si="73">SUM(B62,G62,L62)</f>
        <v>0</v>
      </c>
      <c r="R62" s="75">
        <f t="shared" si="73"/>
        <v>60</v>
      </c>
      <c r="S62" s="75">
        <f t="shared" si="73"/>
        <v>218</v>
      </c>
      <c r="T62" s="75">
        <f t="shared" si="73"/>
        <v>1294</v>
      </c>
      <c r="U62" s="78">
        <f t="shared" si="58"/>
        <v>1572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4"/>
        <v>1689</v>
      </c>
      <c r="G63" s="77">
        <v>2309.0</v>
      </c>
      <c r="H63" s="77">
        <v>1772.0</v>
      </c>
      <c r="I63" s="77"/>
      <c r="J63" s="77"/>
      <c r="K63" s="76">
        <f t="shared" si="55"/>
        <v>4081</v>
      </c>
      <c r="L63" s="77"/>
      <c r="M63" s="77"/>
      <c r="N63" s="77"/>
      <c r="O63" s="77"/>
      <c r="P63" s="76">
        <f t="shared" si="56"/>
        <v>0</v>
      </c>
      <c r="Q63" s="75">
        <f t="shared" ref="Q63:T63" si="74">SUM(B63,G63,L63)</f>
        <v>3224</v>
      </c>
      <c r="R63" s="75">
        <f t="shared" si="74"/>
        <v>2546</v>
      </c>
      <c r="S63" s="75">
        <f t="shared" si="74"/>
        <v>0</v>
      </c>
      <c r="T63" s="75">
        <f t="shared" si="74"/>
        <v>0</v>
      </c>
      <c r="U63" s="78">
        <f t="shared" si="58"/>
        <v>5770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5">SUM(C65:C78)</f>
        <v>2705</v>
      </c>
      <c r="D64" s="73">
        <f t="shared" si="75"/>
        <v>0</v>
      </c>
      <c r="E64" s="73">
        <f t="shared" si="75"/>
        <v>0</v>
      </c>
      <c r="F64" s="73">
        <f t="shared" si="75"/>
        <v>2705</v>
      </c>
      <c r="G64" s="73">
        <f t="shared" si="75"/>
        <v>0</v>
      </c>
      <c r="H64" s="73">
        <f t="shared" si="75"/>
        <v>1875</v>
      </c>
      <c r="I64" s="73">
        <f t="shared" si="75"/>
        <v>0</v>
      </c>
      <c r="J64" s="73">
        <f t="shared" si="75"/>
        <v>0</v>
      </c>
      <c r="K64" s="73">
        <f t="shared" si="75"/>
        <v>1875</v>
      </c>
      <c r="L64" s="73">
        <f t="shared" ref="L64:U64" si="76">SUM(L65:L79)</f>
        <v>0</v>
      </c>
      <c r="M64" s="73">
        <f t="shared" si="76"/>
        <v>0</v>
      </c>
      <c r="N64" s="73">
        <f t="shared" si="76"/>
        <v>0</v>
      </c>
      <c r="O64" s="73">
        <f t="shared" si="76"/>
        <v>0</v>
      </c>
      <c r="P64" s="73">
        <f t="shared" si="76"/>
        <v>0</v>
      </c>
      <c r="Q64" s="73">
        <f t="shared" si="76"/>
        <v>0</v>
      </c>
      <c r="R64" s="73">
        <f t="shared" si="76"/>
        <v>4580</v>
      </c>
      <c r="S64" s="73">
        <f t="shared" si="76"/>
        <v>0</v>
      </c>
      <c r="T64" s="73">
        <f t="shared" si="76"/>
        <v>0</v>
      </c>
      <c r="U64" s="73">
        <f t="shared" si="76"/>
        <v>4580</v>
      </c>
      <c r="V64" s="2"/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8">SUM(B65:E65)</f>
        <v>108</v>
      </c>
      <c r="G65" s="75"/>
      <c r="H65" s="75">
        <v>195.0</v>
      </c>
      <c r="I65" s="75"/>
      <c r="J65" s="75"/>
      <c r="K65" s="76">
        <f t="shared" ref="K65:K79" si="79">SUM(G65:J65)</f>
        <v>195</v>
      </c>
      <c r="L65" s="75"/>
      <c r="M65" s="75"/>
      <c r="N65" s="75"/>
      <c r="O65" s="75"/>
      <c r="P65" s="76">
        <f t="shared" ref="P65:P79" si="80">SUM(L65:O65)</f>
        <v>0</v>
      </c>
      <c r="Q65" s="75">
        <f t="shared" ref="Q65:T65" si="77">B65+G65+L65</f>
        <v>0</v>
      </c>
      <c r="R65" s="75">
        <f t="shared" si="77"/>
        <v>303</v>
      </c>
      <c r="S65" s="75">
        <f t="shared" si="77"/>
        <v>0</v>
      </c>
      <c r="T65" s="75">
        <f t="shared" si="77"/>
        <v>0</v>
      </c>
      <c r="U65" s="76">
        <f t="shared" ref="U65:U79" si="82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8"/>
        <v>439</v>
      </c>
      <c r="G66" s="77"/>
      <c r="H66" s="77">
        <v>70.0</v>
      </c>
      <c r="I66" s="77"/>
      <c r="J66" s="77"/>
      <c r="K66" s="76">
        <f t="shared" si="79"/>
        <v>70</v>
      </c>
      <c r="L66" s="77"/>
      <c r="M66" s="77"/>
      <c r="N66" s="77"/>
      <c r="O66" s="77"/>
      <c r="P66" s="78">
        <f t="shared" si="80"/>
        <v>0</v>
      </c>
      <c r="Q66" s="75">
        <f t="shared" ref="Q66:T66" si="81">B66+G66+L66</f>
        <v>0</v>
      </c>
      <c r="R66" s="75">
        <f t="shared" si="81"/>
        <v>509</v>
      </c>
      <c r="S66" s="75">
        <f t="shared" si="81"/>
        <v>0</v>
      </c>
      <c r="T66" s="75">
        <f t="shared" si="81"/>
        <v>0</v>
      </c>
      <c r="U66" s="76">
        <f t="shared" si="82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8"/>
        <v>50</v>
      </c>
      <c r="G67" s="77"/>
      <c r="H67" s="77">
        <v>41.0</v>
      </c>
      <c r="I67" s="77"/>
      <c r="J67" s="77"/>
      <c r="K67" s="76">
        <f t="shared" si="79"/>
        <v>41</v>
      </c>
      <c r="L67" s="77"/>
      <c r="M67" s="77"/>
      <c r="N67" s="77"/>
      <c r="O67" s="77"/>
      <c r="P67" s="78">
        <f t="shared" si="80"/>
        <v>0</v>
      </c>
      <c r="Q67" s="75">
        <f t="shared" ref="Q67:T67" si="83">B67+G67+L67</f>
        <v>0</v>
      </c>
      <c r="R67" s="75">
        <f t="shared" si="83"/>
        <v>91</v>
      </c>
      <c r="S67" s="75">
        <f t="shared" si="83"/>
        <v>0</v>
      </c>
      <c r="T67" s="75">
        <f t="shared" si="83"/>
        <v>0</v>
      </c>
      <c r="U67" s="76">
        <f t="shared" si="82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8"/>
        <v>58</v>
      </c>
      <c r="G68" s="77"/>
      <c r="H68" s="77">
        <v>127.0</v>
      </c>
      <c r="I68" s="77"/>
      <c r="J68" s="77"/>
      <c r="K68" s="76">
        <f t="shared" si="79"/>
        <v>127</v>
      </c>
      <c r="L68" s="77"/>
      <c r="M68" s="77"/>
      <c r="N68" s="77"/>
      <c r="O68" s="77"/>
      <c r="P68" s="78">
        <f t="shared" si="80"/>
        <v>0</v>
      </c>
      <c r="Q68" s="75">
        <f t="shared" ref="Q68:T68" si="84">B68+G68+L68</f>
        <v>0</v>
      </c>
      <c r="R68" s="75">
        <f t="shared" si="84"/>
        <v>185</v>
      </c>
      <c r="S68" s="75">
        <f t="shared" si="84"/>
        <v>0</v>
      </c>
      <c r="T68" s="75">
        <f t="shared" si="84"/>
        <v>0</v>
      </c>
      <c r="U68" s="76">
        <f t="shared" si="82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8"/>
        <v>325</v>
      </c>
      <c r="G69" s="77"/>
      <c r="H69" s="77">
        <v>324.0</v>
      </c>
      <c r="I69" s="77"/>
      <c r="J69" s="77"/>
      <c r="K69" s="76">
        <f t="shared" si="79"/>
        <v>324</v>
      </c>
      <c r="L69" s="77"/>
      <c r="M69" s="77"/>
      <c r="N69" s="77"/>
      <c r="O69" s="77"/>
      <c r="P69" s="78">
        <f t="shared" si="80"/>
        <v>0</v>
      </c>
      <c r="Q69" s="75">
        <f t="shared" ref="Q69:T69" si="85">B69+G69+L69</f>
        <v>0</v>
      </c>
      <c r="R69" s="75">
        <f t="shared" si="85"/>
        <v>649</v>
      </c>
      <c r="S69" s="75">
        <f t="shared" si="85"/>
        <v>0</v>
      </c>
      <c r="T69" s="75">
        <f t="shared" si="85"/>
        <v>0</v>
      </c>
      <c r="U69" s="76">
        <f t="shared" si="82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8"/>
        <v>392</v>
      </c>
      <c r="G70" s="77"/>
      <c r="H70" s="77">
        <v>76.0</v>
      </c>
      <c r="I70" s="77"/>
      <c r="J70" s="77"/>
      <c r="K70" s="76">
        <f t="shared" si="79"/>
        <v>76</v>
      </c>
      <c r="L70" s="77"/>
      <c r="M70" s="77"/>
      <c r="N70" s="77"/>
      <c r="O70" s="77"/>
      <c r="P70" s="78">
        <f t="shared" si="80"/>
        <v>0</v>
      </c>
      <c r="Q70" s="75">
        <f t="shared" ref="Q70:T70" si="86">B70+G70+L70</f>
        <v>0</v>
      </c>
      <c r="R70" s="75">
        <f t="shared" si="86"/>
        <v>468</v>
      </c>
      <c r="S70" s="75">
        <f t="shared" si="86"/>
        <v>0</v>
      </c>
      <c r="T70" s="75">
        <f t="shared" si="86"/>
        <v>0</v>
      </c>
      <c r="U70" s="76">
        <f t="shared" si="82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8"/>
        <v>243</v>
      </c>
      <c r="G71" s="77"/>
      <c r="H71" s="77">
        <v>268.0</v>
      </c>
      <c r="I71" s="77"/>
      <c r="J71" s="77"/>
      <c r="K71" s="76">
        <f t="shared" si="79"/>
        <v>268</v>
      </c>
      <c r="L71" s="77"/>
      <c r="M71" s="77"/>
      <c r="N71" s="77"/>
      <c r="O71" s="77"/>
      <c r="P71" s="78">
        <f t="shared" si="80"/>
        <v>0</v>
      </c>
      <c r="Q71" s="75">
        <f t="shared" ref="Q71:T71" si="87">B71+G71+L71</f>
        <v>0</v>
      </c>
      <c r="R71" s="75">
        <f t="shared" si="87"/>
        <v>511</v>
      </c>
      <c r="S71" s="75">
        <f t="shared" si="87"/>
        <v>0</v>
      </c>
      <c r="T71" s="75">
        <f t="shared" si="87"/>
        <v>0</v>
      </c>
      <c r="U71" s="76">
        <f t="shared" si="82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8"/>
        <v>184</v>
      </c>
      <c r="G72" s="90"/>
      <c r="H72" s="90">
        <v>4.0</v>
      </c>
      <c r="I72" s="90"/>
      <c r="J72" s="90"/>
      <c r="K72" s="76">
        <f t="shared" si="79"/>
        <v>4</v>
      </c>
      <c r="L72" s="90"/>
      <c r="M72" s="90"/>
      <c r="N72" s="90"/>
      <c r="O72" s="90"/>
      <c r="P72" s="91">
        <f t="shared" si="80"/>
        <v>0</v>
      </c>
      <c r="Q72" s="75">
        <f t="shared" ref="Q72:T72" si="88">B72+G72+L72</f>
        <v>0</v>
      </c>
      <c r="R72" s="75">
        <f t="shared" si="88"/>
        <v>188</v>
      </c>
      <c r="S72" s="75">
        <f t="shared" si="88"/>
        <v>0</v>
      </c>
      <c r="T72" s="75">
        <f t="shared" si="88"/>
        <v>0</v>
      </c>
      <c r="U72" s="76">
        <f t="shared" si="82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8"/>
        <v>100</v>
      </c>
      <c r="G73" s="77"/>
      <c r="H73" s="77">
        <v>41.0</v>
      </c>
      <c r="I73" s="77"/>
      <c r="J73" s="77"/>
      <c r="K73" s="76">
        <f t="shared" si="79"/>
        <v>41</v>
      </c>
      <c r="L73" s="77"/>
      <c r="M73" s="77"/>
      <c r="N73" s="77"/>
      <c r="O73" s="77"/>
      <c r="P73" s="78">
        <f t="shared" si="80"/>
        <v>0</v>
      </c>
      <c r="Q73" s="75">
        <f t="shared" ref="Q73:T73" si="89">B73+G73+L73</f>
        <v>0</v>
      </c>
      <c r="R73" s="75">
        <f t="shared" si="89"/>
        <v>141</v>
      </c>
      <c r="S73" s="75">
        <f t="shared" si="89"/>
        <v>0</v>
      </c>
      <c r="T73" s="75">
        <f t="shared" si="89"/>
        <v>0</v>
      </c>
      <c r="U73" s="76">
        <f t="shared" si="82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8"/>
        <v>264</v>
      </c>
      <c r="G74" s="77"/>
      <c r="H74" s="77">
        <v>234.0</v>
      </c>
      <c r="I74" s="77"/>
      <c r="J74" s="77"/>
      <c r="K74" s="76">
        <f t="shared" si="79"/>
        <v>234</v>
      </c>
      <c r="L74" s="77"/>
      <c r="M74" s="77"/>
      <c r="N74" s="77"/>
      <c r="O74" s="77"/>
      <c r="P74" s="78">
        <f t="shared" si="80"/>
        <v>0</v>
      </c>
      <c r="Q74" s="75">
        <f t="shared" ref="Q74:T74" si="90">B74+G74+L74</f>
        <v>0</v>
      </c>
      <c r="R74" s="75">
        <f t="shared" si="90"/>
        <v>498</v>
      </c>
      <c r="S74" s="75">
        <f t="shared" si="90"/>
        <v>0</v>
      </c>
      <c r="T74" s="75">
        <f t="shared" si="90"/>
        <v>0</v>
      </c>
      <c r="U74" s="76">
        <f t="shared" si="82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8"/>
        <v>403</v>
      </c>
      <c r="G75" s="77"/>
      <c r="H75" s="77">
        <v>14.0</v>
      </c>
      <c r="I75" s="77"/>
      <c r="J75" s="77"/>
      <c r="K75" s="76">
        <f t="shared" si="79"/>
        <v>14</v>
      </c>
      <c r="L75" s="77"/>
      <c r="M75" s="77"/>
      <c r="N75" s="77"/>
      <c r="O75" s="77"/>
      <c r="P75" s="78">
        <f t="shared" si="80"/>
        <v>0</v>
      </c>
      <c r="Q75" s="75">
        <f t="shared" ref="Q75:T75" si="91">B75+G75+L75</f>
        <v>0</v>
      </c>
      <c r="R75" s="75">
        <f t="shared" si="91"/>
        <v>417</v>
      </c>
      <c r="S75" s="75">
        <f t="shared" si="91"/>
        <v>0</v>
      </c>
      <c r="T75" s="75">
        <f t="shared" si="91"/>
        <v>0</v>
      </c>
      <c r="U75" s="76">
        <f t="shared" si="82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8"/>
        <v>15</v>
      </c>
      <c r="G76" s="77"/>
      <c r="H76" s="77">
        <v>19.0</v>
      </c>
      <c r="I76" s="77"/>
      <c r="J76" s="77"/>
      <c r="K76" s="76">
        <f t="shared" si="79"/>
        <v>19</v>
      </c>
      <c r="L76" s="77"/>
      <c r="M76" s="77"/>
      <c r="N76" s="77"/>
      <c r="O76" s="77"/>
      <c r="P76" s="78">
        <f t="shared" si="80"/>
        <v>0</v>
      </c>
      <c r="Q76" s="75">
        <f t="shared" ref="Q76:T76" si="92">B76+G76+L76</f>
        <v>0</v>
      </c>
      <c r="R76" s="75">
        <f t="shared" si="92"/>
        <v>34</v>
      </c>
      <c r="S76" s="75">
        <f t="shared" si="92"/>
        <v>0</v>
      </c>
      <c r="T76" s="75">
        <f t="shared" si="92"/>
        <v>0</v>
      </c>
      <c r="U76" s="76">
        <f t="shared" si="82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8"/>
        <v>80</v>
      </c>
      <c r="G77" s="77"/>
      <c r="H77" s="77">
        <v>418.0</v>
      </c>
      <c r="I77" s="77"/>
      <c r="J77" s="77"/>
      <c r="K77" s="76">
        <f t="shared" si="79"/>
        <v>418</v>
      </c>
      <c r="L77" s="77"/>
      <c r="M77" s="77"/>
      <c r="N77" s="77"/>
      <c r="O77" s="77"/>
      <c r="P77" s="78">
        <f t="shared" si="80"/>
        <v>0</v>
      </c>
      <c r="Q77" s="75">
        <f t="shared" ref="Q77:T77" si="93">B77+G77+L77</f>
        <v>0</v>
      </c>
      <c r="R77" s="75">
        <f t="shared" si="93"/>
        <v>498</v>
      </c>
      <c r="S77" s="75">
        <f t="shared" si="93"/>
        <v>0</v>
      </c>
      <c r="T77" s="75">
        <f t="shared" si="93"/>
        <v>0</v>
      </c>
      <c r="U77" s="76">
        <f t="shared" si="82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8"/>
        <v>44</v>
      </c>
      <c r="G78" s="77"/>
      <c r="H78" s="77">
        <v>44.0</v>
      </c>
      <c r="I78" s="77"/>
      <c r="J78" s="77"/>
      <c r="K78" s="76">
        <f t="shared" si="79"/>
        <v>44</v>
      </c>
      <c r="L78" s="77"/>
      <c r="M78" s="77"/>
      <c r="N78" s="77"/>
      <c r="O78" s="77"/>
      <c r="P78" s="78">
        <f t="shared" si="80"/>
        <v>0</v>
      </c>
      <c r="Q78" s="75">
        <f t="shared" ref="Q78:T78" si="94">B78+G78+L78</f>
        <v>0</v>
      </c>
      <c r="R78" s="75">
        <f t="shared" si="94"/>
        <v>88</v>
      </c>
      <c r="S78" s="75">
        <f t="shared" si="94"/>
        <v>0</v>
      </c>
      <c r="T78" s="75">
        <f t="shared" si="94"/>
        <v>0</v>
      </c>
      <c r="U78" s="76">
        <f t="shared" si="82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8"/>
        <v>0</v>
      </c>
      <c r="G79" s="77"/>
      <c r="H79" s="77"/>
      <c r="I79" s="77"/>
      <c r="J79" s="77"/>
      <c r="K79" s="76">
        <f t="shared" si="79"/>
        <v>0</v>
      </c>
      <c r="L79" s="77"/>
      <c r="M79" s="77"/>
      <c r="N79" s="77"/>
      <c r="O79" s="77"/>
      <c r="P79" s="78">
        <f t="shared" si="80"/>
        <v>0</v>
      </c>
      <c r="Q79" s="75">
        <f t="shared" ref="Q79:T79" si="95">B79+G79+L79</f>
        <v>0</v>
      </c>
      <c r="R79" s="75">
        <f t="shared" si="95"/>
        <v>0</v>
      </c>
      <c r="S79" s="75">
        <f t="shared" si="95"/>
        <v>0</v>
      </c>
      <c r="T79" s="75">
        <f t="shared" si="95"/>
        <v>0</v>
      </c>
      <c r="U79" s="76">
        <f t="shared" si="82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2912</v>
      </c>
      <c r="C9" s="70">
        <f t="shared" si="1"/>
        <v>33282</v>
      </c>
      <c r="D9" s="70">
        <f t="shared" si="1"/>
        <v>43500</v>
      </c>
      <c r="E9" s="70">
        <f t="shared" si="1"/>
        <v>20875</v>
      </c>
      <c r="F9" s="71">
        <f t="shared" si="1"/>
        <v>100569</v>
      </c>
      <c r="G9" s="70">
        <f t="shared" si="1"/>
        <v>3421</v>
      </c>
      <c r="H9" s="70">
        <f t="shared" si="1"/>
        <v>8818</v>
      </c>
      <c r="I9" s="70">
        <f t="shared" si="1"/>
        <v>5324</v>
      </c>
      <c r="J9" s="70">
        <f t="shared" si="1"/>
        <v>7582</v>
      </c>
      <c r="K9" s="71">
        <f t="shared" si="1"/>
        <v>25145</v>
      </c>
      <c r="L9" s="70">
        <f t="shared" si="1"/>
        <v>0</v>
      </c>
      <c r="M9" s="70">
        <f t="shared" si="1"/>
        <v>46</v>
      </c>
      <c r="N9" s="70">
        <f t="shared" si="1"/>
        <v>0</v>
      </c>
      <c r="O9" s="70">
        <f t="shared" si="1"/>
        <v>0</v>
      </c>
      <c r="P9" s="71">
        <f t="shared" si="1"/>
        <v>46</v>
      </c>
      <c r="Q9" s="70">
        <f t="shared" si="1"/>
        <v>6333</v>
      </c>
      <c r="R9" s="70">
        <f t="shared" si="1"/>
        <v>42146</v>
      </c>
      <c r="S9" s="70">
        <f t="shared" si="1"/>
        <v>48824</v>
      </c>
      <c r="T9" s="70">
        <f t="shared" si="1"/>
        <v>28457</v>
      </c>
      <c r="U9" s="71">
        <f t="shared" si="1"/>
        <v>125760</v>
      </c>
      <c r="V9" s="2"/>
    </row>
    <row r="10" ht="15.75" customHeight="1">
      <c r="A10" s="72" t="s">
        <v>49</v>
      </c>
      <c r="B10" s="73">
        <f t="shared" ref="B10:U10" si="2">SUM(B11:B16)</f>
        <v>21</v>
      </c>
      <c r="C10" s="73">
        <f t="shared" si="2"/>
        <v>357</v>
      </c>
      <c r="D10" s="73">
        <f t="shared" si="2"/>
        <v>286</v>
      </c>
      <c r="E10" s="73">
        <f t="shared" si="2"/>
        <v>94</v>
      </c>
      <c r="F10" s="73">
        <f t="shared" si="2"/>
        <v>758</v>
      </c>
      <c r="G10" s="73">
        <f t="shared" si="2"/>
        <v>0</v>
      </c>
      <c r="H10" s="73">
        <f t="shared" si="2"/>
        <v>111</v>
      </c>
      <c r="I10" s="73">
        <f t="shared" si="2"/>
        <v>157</v>
      </c>
      <c r="J10" s="73">
        <f t="shared" si="2"/>
        <v>36</v>
      </c>
      <c r="K10" s="73">
        <f t="shared" si="2"/>
        <v>304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21</v>
      </c>
      <c r="R10" s="73">
        <f t="shared" si="2"/>
        <v>468</v>
      </c>
      <c r="S10" s="73">
        <f t="shared" si="2"/>
        <v>443</v>
      </c>
      <c r="T10" s="73">
        <f t="shared" si="2"/>
        <v>130</v>
      </c>
      <c r="U10" s="73">
        <f t="shared" si="2"/>
        <v>1062</v>
      </c>
      <c r="V10" s="2"/>
    </row>
    <row r="11" ht="15.0" customHeight="1">
      <c r="A11" s="74" t="s">
        <v>50</v>
      </c>
      <c r="B11" s="75">
        <v>21.0</v>
      </c>
      <c r="C11" s="75">
        <v>143.0</v>
      </c>
      <c r="D11" s="75">
        <v>37.0</v>
      </c>
      <c r="E11" s="75">
        <v>8.0</v>
      </c>
      <c r="F11" s="76">
        <f t="shared" ref="F11:F16" si="4">SUM(B11:E11)</f>
        <v>209</v>
      </c>
      <c r="G11" s="75"/>
      <c r="H11" s="75">
        <v>12.0</v>
      </c>
      <c r="I11" s="75">
        <v>11.0</v>
      </c>
      <c r="J11" s="75">
        <v>23.0</v>
      </c>
      <c r="K11" s="76">
        <f t="shared" ref="K11:K16" si="5">SUM(G11:J11)</f>
        <v>46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21</v>
      </c>
      <c r="R11" s="75">
        <f t="shared" si="3"/>
        <v>155</v>
      </c>
      <c r="S11" s="75">
        <f t="shared" si="3"/>
        <v>48</v>
      </c>
      <c r="T11" s="75">
        <f t="shared" si="3"/>
        <v>31</v>
      </c>
      <c r="U11" s="76">
        <f t="shared" ref="U11:U16" si="8">SUM(Q11:T11)</f>
        <v>255</v>
      </c>
      <c r="V11" s="2" t="s">
        <v>114</v>
      </c>
    </row>
    <row r="12" ht="15.0" customHeight="1">
      <c r="A12" s="74" t="s">
        <v>51</v>
      </c>
      <c r="B12" s="77"/>
      <c r="C12" s="77"/>
      <c r="D12" s="77">
        <v>4.0</v>
      </c>
      <c r="E12" s="77">
        <v>12.0</v>
      </c>
      <c r="F12" s="78">
        <f t="shared" si="4"/>
        <v>16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4</v>
      </c>
      <c r="T12" s="77">
        <f t="shared" si="7"/>
        <v>12</v>
      </c>
      <c r="U12" s="78">
        <f t="shared" si="8"/>
        <v>16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>
        <v>156.0</v>
      </c>
      <c r="D14" s="77"/>
      <c r="E14" s="77"/>
      <c r="F14" s="78">
        <f t="shared" si="4"/>
        <v>156</v>
      </c>
      <c r="G14" s="77"/>
      <c r="H14" s="77">
        <v>76.0</v>
      </c>
      <c r="I14" s="77"/>
      <c r="J14" s="77"/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232</v>
      </c>
      <c r="S14" s="77">
        <f t="shared" si="10"/>
        <v>0</v>
      </c>
      <c r="T14" s="77">
        <f t="shared" si="10"/>
        <v>0</v>
      </c>
      <c r="U14" s="78">
        <f t="shared" si="8"/>
        <v>232</v>
      </c>
      <c r="V14" s="2"/>
    </row>
    <row r="15" ht="15.0" customHeight="1">
      <c r="A15" s="74" t="s">
        <v>54</v>
      </c>
      <c r="B15" s="77"/>
      <c r="C15" s="77">
        <v>42.0</v>
      </c>
      <c r="D15" s="77">
        <v>149.0</v>
      </c>
      <c r="E15" s="77">
        <v>51.0</v>
      </c>
      <c r="F15" s="78">
        <f t="shared" si="4"/>
        <v>242</v>
      </c>
      <c r="G15" s="77"/>
      <c r="H15" s="77">
        <v>11.0</v>
      </c>
      <c r="I15" s="77">
        <v>21.0</v>
      </c>
      <c r="J15" s="77">
        <v>7.0</v>
      </c>
      <c r="K15" s="78">
        <f t="shared" si="5"/>
        <v>39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53</v>
      </c>
      <c r="S15" s="77">
        <f t="shared" si="11"/>
        <v>170</v>
      </c>
      <c r="T15" s="77">
        <f t="shared" si="11"/>
        <v>58</v>
      </c>
      <c r="U15" s="78">
        <f t="shared" si="8"/>
        <v>281</v>
      </c>
      <c r="V15" s="2"/>
    </row>
    <row r="16" ht="15.75" customHeight="1">
      <c r="A16" s="74" t="s">
        <v>55</v>
      </c>
      <c r="B16" s="77"/>
      <c r="C16" s="77">
        <v>16.0</v>
      </c>
      <c r="D16" s="77">
        <v>96.0</v>
      </c>
      <c r="E16" s="77">
        <v>23.0</v>
      </c>
      <c r="F16" s="78">
        <f t="shared" si="4"/>
        <v>135</v>
      </c>
      <c r="G16" s="77"/>
      <c r="H16" s="77">
        <v>12.0</v>
      </c>
      <c r="I16" s="77">
        <v>125.0</v>
      </c>
      <c r="J16" s="77">
        <v>6.0</v>
      </c>
      <c r="K16" s="78">
        <f t="shared" si="5"/>
        <v>143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28</v>
      </c>
      <c r="S16" s="77">
        <f t="shared" si="12"/>
        <v>221</v>
      </c>
      <c r="T16" s="77">
        <f t="shared" si="12"/>
        <v>29</v>
      </c>
      <c r="U16" s="78">
        <f t="shared" si="8"/>
        <v>278</v>
      </c>
      <c r="V16" s="2"/>
    </row>
    <row r="17" ht="15.75" customHeight="1">
      <c r="A17" s="72" t="s">
        <v>56</v>
      </c>
      <c r="B17" s="73">
        <f t="shared" ref="B17:Q17" si="13">SUM(B18:B28)</f>
        <v>232</v>
      </c>
      <c r="C17" s="73">
        <f t="shared" si="13"/>
        <v>11094</v>
      </c>
      <c r="D17" s="73">
        <f t="shared" si="13"/>
        <v>15617</v>
      </c>
      <c r="E17" s="73">
        <f t="shared" si="13"/>
        <v>4907</v>
      </c>
      <c r="F17" s="73">
        <f t="shared" si="13"/>
        <v>31850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232</v>
      </c>
      <c r="R17" s="73">
        <f>R18+R19+R20+R21+R22+R23+R24+R25+R26+R27+R28</f>
        <v>11094</v>
      </c>
      <c r="S17" s="73">
        <f t="shared" ref="S17:U17" si="14">SUM(S18:S28)</f>
        <v>15617</v>
      </c>
      <c r="T17" s="73">
        <f t="shared" si="14"/>
        <v>4907</v>
      </c>
      <c r="U17" s="73">
        <f t="shared" si="14"/>
        <v>31850</v>
      </c>
      <c r="V17" s="2"/>
    </row>
    <row r="18" ht="15.0" customHeight="1">
      <c r="A18" s="74" t="s">
        <v>57</v>
      </c>
      <c r="B18" s="75">
        <v>18.0</v>
      </c>
      <c r="C18" s="75">
        <v>242.0</v>
      </c>
      <c r="D18" s="75">
        <v>163.0</v>
      </c>
      <c r="E18" s="75">
        <v>216.0</v>
      </c>
      <c r="F18" s="76">
        <f t="shared" ref="F18:F28" si="16">SUM(B18:E18)</f>
        <v>639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18</v>
      </c>
      <c r="R18" s="75">
        <f t="shared" si="15"/>
        <v>242</v>
      </c>
      <c r="S18" s="75">
        <f t="shared" si="15"/>
        <v>163</v>
      </c>
      <c r="T18" s="75">
        <f t="shared" si="15"/>
        <v>216</v>
      </c>
      <c r="U18" s="76">
        <f t="shared" ref="U18:U28" si="20">SUM(Q18:T18)</f>
        <v>639</v>
      </c>
      <c r="V18" s="2"/>
    </row>
    <row r="19" ht="15.0" customHeight="1">
      <c r="A19" s="74" t="s">
        <v>58</v>
      </c>
      <c r="B19" s="77"/>
      <c r="C19" s="77">
        <v>2389.0</v>
      </c>
      <c r="D19" s="75">
        <v>2127.0</v>
      </c>
      <c r="E19" s="75">
        <v>1872.0</v>
      </c>
      <c r="F19" s="76">
        <f t="shared" si="16"/>
        <v>6388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0</v>
      </c>
      <c r="R19" s="75">
        <f t="shared" si="19"/>
        <v>2389</v>
      </c>
      <c r="S19" s="75">
        <f t="shared" si="19"/>
        <v>2127</v>
      </c>
      <c r="T19" s="75">
        <f t="shared" si="19"/>
        <v>1872</v>
      </c>
      <c r="U19" s="78">
        <f t="shared" si="20"/>
        <v>6388</v>
      </c>
      <c r="V19" s="2"/>
    </row>
    <row r="20" ht="15.0" customHeight="1">
      <c r="A20" s="74" t="s">
        <v>59</v>
      </c>
      <c r="B20" s="77"/>
      <c r="C20" s="77"/>
      <c r="D20" s="77"/>
      <c r="E20" s="77">
        <v>35.0</v>
      </c>
      <c r="F20" s="76">
        <f t="shared" si="16"/>
        <v>35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35</v>
      </c>
      <c r="U20" s="78">
        <f t="shared" si="20"/>
        <v>35</v>
      </c>
      <c r="V20" s="2"/>
    </row>
    <row r="21" ht="15.0" customHeight="1">
      <c r="A21" s="74" t="s">
        <v>60</v>
      </c>
      <c r="B21" s="77"/>
      <c r="C21" s="77">
        <v>64.0</v>
      </c>
      <c r="D21" s="77">
        <v>128.0</v>
      </c>
      <c r="E21" s="77">
        <v>142.0</v>
      </c>
      <c r="F21" s="76">
        <f t="shared" si="16"/>
        <v>334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64</v>
      </c>
      <c r="S21" s="75">
        <f t="shared" si="22"/>
        <v>128</v>
      </c>
      <c r="T21" s="75">
        <f t="shared" si="22"/>
        <v>142</v>
      </c>
      <c r="U21" s="78">
        <f t="shared" si="20"/>
        <v>334</v>
      </c>
      <c r="V21" s="2"/>
    </row>
    <row r="22" ht="15.0" customHeight="1">
      <c r="A22" s="74" t="s">
        <v>61</v>
      </c>
      <c r="B22" s="77">
        <v>5.0</v>
      </c>
      <c r="C22" s="77">
        <v>530.0</v>
      </c>
      <c r="D22" s="77">
        <v>309.0</v>
      </c>
      <c r="E22" s="77"/>
      <c r="F22" s="76">
        <f t="shared" si="16"/>
        <v>844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5</v>
      </c>
      <c r="R22" s="75">
        <f t="shared" si="23"/>
        <v>530</v>
      </c>
      <c r="S22" s="75">
        <f t="shared" si="23"/>
        <v>309</v>
      </c>
      <c r="T22" s="75">
        <f t="shared" si="23"/>
        <v>0</v>
      </c>
      <c r="U22" s="78">
        <f t="shared" si="20"/>
        <v>844</v>
      </c>
      <c r="V22" s="2"/>
    </row>
    <row r="23" ht="15.0" customHeight="1">
      <c r="A23" s="74" t="s">
        <v>62</v>
      </c>
      <c r="B23" s="77"/>
      <c r="C23" s="77">
        <v>57.0</v>
      </c>
      <c r="D23" s="77">
        <v>512.0</v>
      </c>
      <c r="E23" s="77">
        <v>158.0</v>
      </c>
      <c r="F23" s="76">
        <f t="shared" si="16"/>
        <v>727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57</v>
      </c>
      <c r="S23" s="75">
        <f t="shared" si="24"/>
        <v>512</v>
      </c>
      <c r="T23" s="75">
        <f t="shared" si="24"/>
        <v>158</v>
      </c>
      <c r="U23" s="78">
        <f t="shared" si="20"/>
        <v>727</v>
      </c>
      <c r="V23" s="2"/>
    </row>
    <row r="24" ht="15.0" customHeight="1">
      <c r="A24" s="74" t="s">
        <v>63</v>
      </c>
      <c r="B24" s="79"/>
      <c r="C24" s="77">
        <v>511.0</v>
      </c>
      <c r="D24" s="77"/>
      <c r="E24" s="77"/>
      <c r="F24" s="76">
        <f t="shared" si="16"/>
        <v>511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511</v>
      </c>
      <c r="S24" s="75">
        <f t="shared" si="25"/>
        <v>0</v>
      </c>
      <c r="T24" s="75">
        <f t="shared" si="25"/>
        <v>0</v>
      </c>
      <c r="U24" s="78">
        <f t="shared" si="20"/>
        <v>511</v>
      </c>
      <c r="V24" s="2"/>
    </row>
    <row r="25" ht="15.0" customHeight="1">
      <c r="A25" s="74" t="s">
        <v>17</v>
      </c>
      <c r="B25" s="75"/>
      <c r="C25" s="75">
        <v>723.0</v>
      </c>
      <c r="D25" s="77">
        <v>4147.0</v>
      </c>
      <c r="E25" s="77">
        <v>1197.0</v>
      </c>
      <c r="F25" s="76">
        <f t="shared" si="16"/>
        <v>6067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723</v>
      </c>
      <c r="S25" s="75">
        <f t="shared" si="26"/>
        <v>4147</v>
      </c>
      <c r="T25" s="75">
        <f t="shared" si="26"/>
        <v>1197</v>
      </c>
      <c r="U25" s="76">
        <f t="shared" si="20"/>
        <v>6067</v>
      </c>
      <c r="V25" s="2"/>
    </row>
    <row r="26" ht="15.0" customHeight="1">
      <c r="A26" s="74" t="s">
        <v>64</v>
      </c>
      <c r="B26" s="77">
        <v>105.0</v>
      </c>
      <c r="C26" s="80">
        <v>2961.0</v>
      </c>
      <c r="D26" s="80">
        <v>3571.0</v>
      </c>
      <c r="E26" s="75">
        <v>293.0</v>
      </c>
      <c r="F26" s="76">
        <f t="shared" si="16"/>
        <v>6930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105</v>
      </c>
      <c r="R26" s="75">
        <f t="shared" si="27"/>
        <v>2961</v>
      </c>
      <c r="S26" s="75">
        <f t="shared" si="27"/>
        <v>3571</v>
      </c>
      <c r="T26" s="75">
        <f t="shared" si="27"/>
        <v>293</v>
      </c>
      <c r="U26" s="78">
        <f t="shared" si="20"/>
        <v>6930</v>
      </c>
      <c r="V26" s="2"/>
    </row>
    <row r="27" ht="15.0" customHeight="1">
      <c r="A27" s="74" t="s">
        <v>65</v>
      </c>
      <c r="B27" s="77">
        <v>104.0</v>
      </c>
      <c r="C27" s="77">
        <v>3566.0</v>
      </c>
      <c r="D27" s="77">
        <v>2105.0</v>
      </c>
      <c r="E27" s="77">
        <v>194.0</v>
      </c>
      <c r="F27" s="76">
        <f t="shared" si="16"/>
        <v>5969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104</v>
      </c>
      <c r="R27" s="75">
        <f t="shared" si="28"/>
        <v>3566</v>
      </c>
      <c r="S27" s="75">
        <f t="shared" si="28"/>
        <v>2105</v>
      </c>
      <c r="T27" s="75">
        <f t="shared" si="28"/>
        <v>194</v>
      </c>
      <c r="U27" s="78">
        <f t="shared" si="20"/>
        <v>5969</v>
      </c>
      <c r="V27" s="2"/>
    </row>
    <row r="28" ht="15.75" customHeight="1">
      <c r="A28" s="74" t="s">
        <v>54</v>
      </c>
      <c r="B28" s="77"/>
      <c r="C28" s="77">
        <v>51.0</v>
      </c>
      <c r="D28" s="77">
        <v>2555.0</v>
      </c>
      <c r="E28" s="77">
        <v>800.0</v>
      </c>
      <c r="F28" s="76">
        <f t="shared" si="16"/>
        <v>3406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51</v>
      </c>
      <c r="S28" s="75">
        <f t="shared" si="29"/>
        <v>2555</v>
      </c>
      <c r="T28" s="75">
        <f t="shared" si="29"/>
        <v>800</v>
      </c>
      <c r="U28" s="78">
        <f t="shared" si="20"/>
        <v>3406</v>
      </c>
      <c r="V28" s="2"/>
    </row>
    <row r="29" ht="15.75" customHeight="1">
      <c r="A29" s="72" t="s">
        <v>66</v>
      </c>
      <c r="B29" s="73">
        <f t="shared" ref="B29:U29" si="30">SUM(B30:B44)</f>
        <v>1284</v>
      </c>
      <c r="C29" s="73">
        <f t="shared" si="30"/>
        <v>16455</v>
      </c>
      <c r="D29" s="73">
        <f t="shared" si="30"/>
        <v>18888</v>
      </c>
      <c r="E29" s="73">
        <f t="shared" si="30"/>
        <v>7664</v>
      </c>
      <c r="F29" s="81">
        <f t="shared" si="30"/>
        <v>44291</v>
      </c>
      <c r="G29" s="73">
        <f t="shared" si="30"/>
        <v>297</v>
      </c>
      <c r="H29" s="73">
        <f t="shared" si="30"/>
        <v>2500</v>
      </c>
      <c r="I29" s="73">
        <f t="shared" si="30"/>
        <v>2526</v>
      </c>
      <c r="J29" s="73">
        <f t="shared" si="30"/>
        <v>1288</v>
      </c>
      <c r="K29" s="81">
        <f t="shared" si="30"/>
        <v>6611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1581</v>
      </c>
      <c r="R29" s="73">
        <f t="shared" si="30"/>
        <v>19001</v>
      </c>
      <c r="S29" s="73">
        <f t="shared" si="30"/>
        <v>21414</v>
      </c>
      <c r="T29" s="73">
        <f t="shared" si="30"/>
        <v>8952</v>
      </c>
      <c r="U29" s="81">
        <f t="shared" si="30"/>
        <v>50948</v>
      </c>
      <c r="V29" s="2"/>
    </row>
    <row r="30" ht="15.0" customHeight="1">
      <c r="A30" s="74" t="s">
        <v>67</v>
      </c>
      <c r="B30" s="75"/>
      <c r="C30" s="75">
        <v>629.0</v>
      </c>
      <c r="D30" s="75">
        <v>763.0</v>
      </c>
      <c r="E30" s="75"/>
      <c r="F30" s="76">
        <f t="shared" ref="F30:F44" si="32">SUM(B30:E30)</f>
        <v>1392</v>
      </c>
      <c r="G30" s="75">
        <v>124.0</v>
      </c>
      <c r="H30" s="75">
        <v>574.0</v>
      </c>
      <c r="I30" s="75">
        <v>435.0</v>
      </c>
      <c r="J30" s="75">
        <v>30.0</v>
      </c>
      <c r="K30" s="76">
        <f t="shared" ref="K30:K44" si="33">SUM(G30:J30)</f>
        <v>1163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124</v>
      </c>
      <c r="R30" s="75">
        <f t="shared" si="31"/>
        <v>1203</v>
      </c>
      <c r="S30" s="75">
        <f t="shared" si="31"/>
        <v>1198</v>
      </c>
      <c r="T30" s="75">
        <f t="shared" si="31"/>
        <v>30</v>
      </c>
      <c r="U30" s="76">
        <f t="shared" ref="U30:U44" si="36">SUM(Q30:T30)</f>
        <v>2555</v>
      </c>
      <c r="V30" s="2"/>
    </row>
    <row r="31" ht="15.0" customHeight="1">
      <c r="A31" s="74" t="s">
        <v>68</v>
      </c>
      <c r="B31" s="77">
        <v>465.0</v>
      </c>
      <c r="C31" s="77">
        <v>2611.0</v>
      </c>
      <c r="D31" s="77">
        <v>22.0</v>
      </c>
      <c r="E31" s="77"/>
      <c r="F31" s="76">
        <f t="shared" si="32"/>
        <v>3098</v>
      </c>
      <c r="G31" s="77"/>
      <c r="H31" s="77">
        <v>61.0</v>
      </c>
      <c r="I31" s="77">
        <v>53.0</v>
      </c>
      <c r="J31" s="77"/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465</v>
      </c>
      <c r="R31" s="77">
        <f t="shared" si="35"/>
        <v>2718</v>
      </c>
      <c r="S31" s="77">
        <f t="shared" si="35"/>
        <v>75</v>
      </c>
      <c r="T31" s="77">
        <f t="shared" si="35"/>
        <v>0</v>
      </c>
      <c r="U31" s="78">
        <f t="shared" si="36"/>
        <v>3258</v>
      </c>
      <c r="V31" s="2"/>
    </row>
    <row r="32" ht="15.0" customHeight="1">
      <c r="A32" s="74" t="s">
        <v>69</v>
      </c>
      <c r="B32" s="77"/>
      <c r="C32" s="77">
        <v>918.0</v>
      </c>
      <c r="D32" s="77">
        <v>1846.0</v>
      </c>
      <c r="E32" s="77">
        <v>2321.0</v>
      </c>
      <c r="F32" s="76">
        <f t="shared" si="32"/>
        <v>5085</v>
      </c>
      <c r="G32" s="77"/>
      <c r="H32" s="77"/>
      <c r="I32" s="77">
        <v>236.0</v>
      </c>
      <c r="J32" s="77">
        <v>352.0</v>
      </c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918</v>
      </c>
      <c r="S32" s="77">
        <f t="shared" si="37"/>
        <v>2082</v>
      </c>
      <c r="T32" s="77">
        <f t="shared" si="37"/>
        <v>2673</v>
      </c>
      <c r="U32" s="78">
        <f t="shared" si="36"/>
        <v>5673</v>
      </c>
      <c r="V32" s="2"/>
    </row>
    <row r="33" ht="15.0" customHeight="1">
      <c r="A33" s="74" t="s">
        <v>70</v>
      </c>
      <c r="B33" s="77"/>
      <c r="C33" s="77">
        <v>127.0</v>
      </c>
      <c r="D33" s="77">
        <v>483.0</v>
      </c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127</v>
      </c>
      <c r="S33" s="77">
        <f t="shared" si="38"/>
        <v>483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>
        <v>25.0</v>
      </c>
      <c r="C34" s="77">
        <v>1443.0</v>
      </c>
      <c r="D34" s="77">
        <v>4176.0</v>
      </c>
      <c r="E34" s="77">
        <v>1968.0</v>
      </c>
      <c r="F34" s="76">
        <f t="shared" si="32"/>
        <v>7612</v>
      </c>
      <c r="G34" s="77">
        <v>91.0</v>
      </c>
      <c r="H34" s="77">
        <v>116.0</v>
      </c>
      <c r="I34" s="77">
        <v>43.0</v>
      </c>
      <c r="J34" s="77">
        <v>3.0</v>
      </c>
      <c r="K34" s="76">
        <f t="shared" si="33"/>
        <v>253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116</v>
      </c>
      <c r="R34" s="77">
        <f t="shared" si="39"/>
        <v>1559</v>
      </c>
      <c r="S34" s="77">
        <f t="shared" si="39"/>
        <v>4219</v>
      </c>
      <c r="T34" s="77">
        <f t="shared" si="39"/>
        <v>1971</v>
      </c>
      <c r="U34" s="78">
        <f t="shared" si="36"/>
        <v>7865</v>
      </c>
      <c r="V34" s="2"/>
    </row>
    <row r="35" ht="15.0" customHeight="1">
      <c r="A35" s="74" t="s">
        <v>72</v>
      </c>
      <c r="B35" s="77"/>
      <c r="C35" s="77">
        <v>735.0</v>
      </c>
      <c r="D35" s="77">
        <v>1765.0</v>
      </c>
      <c r="E35" s="77"/>
      <c r="F35" s="76">
        <f t="shared" si="32"/>
        <v>2500</v>
      </c>
      <c r="G35" s="77"/>
      <c r="H35" s="77">
        <v>89.0</v>
      </c>
      <c r="I35" s="77">
        <v>80.0</v>
      </c>
      <c r="J35" s="77"/>
      <c r="K35" s="76">
        <f t="shared" si="33"/>
        <v>169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824</v>
      </c>
      <c r="S35" s="77">
        <f t="shared" si="40"/>
        <v>1845</v>
      </c>
      <c r="T35" s="77">
        <f t="shared" si="40"/>
        <v>0</v>
      </c>
      <c r="U35" s="78">
        <f t="shared" si="36"/>
        <v>2669</v>
      </c>
      <c r="V35" s="2"/>
    </row>
    <row r="36" ht="15.0" customHeight="1">
      <c r="A36" s="74" t="s">
        <v>73</v>
      </c>
      <c r="B36" s="77">
        <v>30.0</v>
      </c>
      <c r="C36" s="77">
        <v>945.0</v>
      </c>
      <c r="D36" s="77">
        <v>615.0</v>
      </c>
      <c r="E36" s="77">
        <v>376.0</v>
      </c>
      <c r="F36" s="76">
        <f t="shared" si="32"/>
        <v>1966</v>
      </c>
      <c r="G36" s="77">
        <v>22.0</v>
      </c>
      <c r="H36" s="77">
        <v>322.0</v>
      </c>
      <c r="I36" s="77">
        <v>302.0</v>
      </c>
      <c r="J36" s="77">
        <v>89.0</v>
      </c>
      <c r="K36" s="76">
        <f t="shared" si="33"/>
        <v>735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52</v>
      </c>
      <c r="R36" s="77">
        <f t="shared" si="41"/>
        <v>1267</v>
      </c>
      <c r="S36" s="77">
        <f t="shared" si="41"/>
        <v>917</v>
      </c>
      <c r="T36" s="77">
        <f t="shared" si="41"/>
        <v>465</v>
      </c>
      <c r="U36" s="78">
        <f t="shared" si="36"/>
        <v>2701</v>
      </c>
      <c r="V36" s="2"/>
    </row>
    <row r="37" ht="15.0" customHeight="1">
      <c r="A37" s="74" t="s">
        <v>74</v>
      </c>
      <c r="B37" s="77"/>
      <c r="C37" s="77">
        <v>1985.0</v>
      </c>
      <c r="D37" s="77">
        <v>5043.0</v>
      </c>
      <c r="E37" s="77">
        <v>1865.0</v>
      </c>
      <c r="F37" s="76">
        <f t="shared" si="32"/>
        <v>8893</v>
      </c>
      <c r="G37" s="77"/>
      <c r="H37" s="77">
        <v>108.0</v>
      </c>
      <c r="I37" s="77">
        <v>738.0</v>
      </c>
      <c r="J37" s="77">
        <v>814.0</v>
      </c>
      <c r="K37" s="76">
        <f t="shared" si="33"/>
        <v>1660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0</v>
      </c>
      <c r="R37" s="77">
        <f t="shared" si="42"/>
        <v>2093</v>
      </c>
      <c r="S37" s="77">
        <f t="shared" si="42"/>
        <v>5781</v>
      </c>
      <c r="T37" s="77">
        <f t="shared" si="42"/>
        <v>2679</v>
      </c>
      <c r="U37" s="78">
        <f t="shared" si="36"/>
        <v>10553</v>
      </c>
      <c r="V37" s="2"/>
    </row>
    <row r="38" ht="15.0" customHeight="1">
      <c r="A38" s="74" t="s">
        <v>75</v>
      </c>
      <c r="B38" s="77"/>
      <c r="C38" s="77">
        <v>2818.0</v>
      </c>
      <c r="D38" s="77">
        <v>803.0</v>
      </c>
      <c r="E38" s="77"/>
      <c r="F38" s="76">
        <f t="shared" si="32"/>
        <v>3621</v>
      </c>
      <c r="G38" s="77">
        <v>5.0</v>
      </c>
      <c r="H38" s="77">
        <v>373.0</v>
      </c>
      <c r="I38" s="77">
        <v>88.0</v>
      </c>
      <c r="J38" s="77"/>
      <c r="K38" s="76">
        <f t="shared" si="33"/>
        <v>466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5</v>
      </c>
      <c r="R38" s="77">
        <f t="shared" si="43"/>
        <v>3191</v>
      </c>
      <c r="S38" s="77">
        <f t="shared" si="43"/>
        <v>891</v>
      </c>
      <c r="T38" s="77">
        <f t="shared" si="43"/>
        <v>0</v>
      </c>
      <c r="U38" s="78">
        <f t="shared" si="36"/>
        <v>4087</v>
      </c>
      <c r="V38" s="2"/>
    </row>
    <row r="39" ht="15.0" customHeight="1">
      <c r="A39" s="74" t="s">
        <v>76</v>
      </c>
      <c r="B39" s="77"/>
      <c r="C39" s="77">
        <v>731.0</v>
      </c>
      <c r="D39" s="77">
        <v>546.0</v>
      </c>
      <c r="E39" s="77"/>
      <c r="F39" s="76">
        <f t="shared" si="32"/>
        <v>1277</v>
      </c>
      <c r="G39" s="77"/>
      <c r="H39" s="77">
        <v>131.0</v>
      </c>
      <c r="I39" s="77">
        <v>93.0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862</v>
      </c>
      <c r="S39" s="77">
        <f t="shared" si="44"/>
        <v>639</v>
      </c>
      <c r="T39" s="77">
        <f t="shared" si="44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/>
      <c r="C40" s="77">
        <v>2.0</v>
      </c>
      <c r="D40" s="77">
        <v>4.0</v>
      </c>
      <c r="E40" s="77"/>
      <c r="F40" s="76">
        <f t="shared" si="32"/>
        <v>6</v>
      </c>
      <c r="G40" s="77"/>
      <c r="H40" s="77">
        <v>4.0</v>
      </c>
      <c r="I40" s="77">
        <v>9.0</v>
      </c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0</v>
      </c>
      <c r="R40" s="77">
        <f t="shared" si="45"/>
        <v>6</v>
      </c>
      <c r="S40" s="77">
        <f t="shared" si="45"/>
        <v>13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>
        <v>582.0</v>
      </c>
      <c r="C41" s="77">
        <v>504.0</v>
      </c>
      <c r="D41" s="77">
        <v>779.0</v>
      </c>
      <c r="E41" s="77">
        <v>498.0</v>
      </c>
      <c r="F41" s="76">
        <f t="shared" si="32"/>
        <v>2363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582</v>
      </c>
      <c r="R41" s="77">
        <f t="shared" si="46"/>
        <v>504</v>
      </c>
      <c r="S41" s="77">
        <f t="shared" si="46"/>
        <v>779</v>
      </c>
      <c r="T41" s="77">
        <f t="shared" si="46"/>
        <v>498</v>
      </c>
      <c r="U41" s="78">
        <f t="shared" si="36"/>
        <v>2363</v>
      </c>
      <c r="V41" s="2"/>
    </row>
    <row r="42" ht="15.0" customHeight="1">
      <c r="A42" s="74" t="s">
        <v>79</v>
      </c>
      <c r="B42" s="77"/>
      <c r="C42" s="77">
        <v>82.0</v>
      </c>
      <c r="D42" s="77">
        <v>77.0</v>
      </c>
      <c r="E42" s="77"/>
      <c r="F42" s="76">
        <f t="shared" si="32"/>
        <v>159</v>
      </c>
      <c r="G42" s="77"/>
      <c r="H42" s="77">
        <v>215.0</v>
      </c>
      <c r="I42" s="77">
        <v>42.0</v>
      </c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0</v>
      </c>
      <c r="R42" s="77">
        <f t="shared" si="47"/>
        <v>297</v>
      </c>
      <c r="S42" s="77">
        <f t="shared" si="47"/>
        <v>119</v>
      </c>
      <c r="T42" s="77">
        <f t="shared" si="47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/>
      <c r="C43" s="77"/>
      <c r="D43" s="77">
        <v>837.0</v>
      </c>
      <c r="E43" s="77">
        <v>636.0</v>
      </c>
      <c r="F43" s="76">
        <f t="shared" si="32"/>
        <v>1473</v>
      </c>
      <c r="G43" s="77"/>
      <c r="H43" s="77"/>
      <c r="I43" s="77">
        <v>240.0</v>
      </c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0</v>
      </c>
      <c r="R43" s="77">
        <f t="shared" si="48"/>
        <v>0</v>
      </c>
      <c r="S43" s="77">
        <f t="shared" si="48"/>
        <v>1077</v>
      </c>
      <c r="T43" s="77">
        <f t="shared" si="48"/>
        <v>636</v>
      </c>
      <c r="U43" s="78">
        <f t="shared" si="36"/>
        <v>1713</v>
      </c>
      <c r="V43" s="2"/>
    </row>
    <row r="44" ht="15.75" customHeight="1">
      <c r="A44" s="74" t="s">
        <v>81</v>
      </c>
      <c r="B44" s="77">
        <v>182.0</v>
      </c>
      <c r="C44" s="77">
        <v>2925.0</v>
      </c>
      <c r="D44" s="77">
        <v>1129.0</v>
      </c>
      <c r="E44" s="77"/>
      <c r="F44" s="76">
        <f t="shared" si="32"/>
        <v>4236</v>
      </c>
      <c r="G44" s="77">
        <v>55.0</v>
      </c>
      <c r="H44" s="77">
        <v>507.0</v>
      </c>
      <c r="I44" s="77">
        <v>167.0</v>
      </c>
      <c r="J44" s="77"/>
      <c r="K44" s="76">
        <f t="shared" si="33"/>
        <v>729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237</v>
      </c>
      <c r="R44" s="77">
        <f t="shared" si="49"/>
        <v>3432</v>
      </c>
      <c r="S44" s="77">
        <f t="shared" si="49"/>
        <v>1296</v>
      </c>
      <c r="T44" s="77">
        <f t="shared" si="49"/>
        <v>0</v>
      </c>
      <c r="U44" s="78">
        <f t="shared" si="36"/>
        <v>4965</v>
      </c>
      <c r="V44" s="2"/>
    </row>
    <row r="45" ht="15.75" customHeight="1">
      <c r="A45" s="72" t="s">
        <v>82</v>
      </c>
      <c r="B45" s="73">
        <f t="shared" ref="B45:U45" si="50">SUM(B46:B63)</f>
        <v>1375</v>
      </c>
      <c r="C45" s="73">
        <f t="shared" si="50"/>
        <v>2671</v>
      </c>
      <c r="D45" s="73">
        <f t="shared" si="50"/>
        <v>8709</v>
      </c>
      <c r="E45" s="73">
        <f t="shared" si="50"/>
        <v>8210</v>
      </c>
      <c r="F45" s="81">
        <f t="shared" si="50"/>
        <v>20965</v>
      </c>
      <c r="G45" s="73">
        <f t="shared" si="50"/>
        <v>3124</v>
      </c>
      <c r="H45" s="73">
        <f t="shared" si="50"/>
        <v>4332</v>
      </c>
      <c r="I45" s="73">
        <f t="shared" si="50"/>
        <v>2641</v>
      </c>
      <c r="J45" s="73">
        <f t="shared" si="50"/>
        <v>6258</v>
      </c>
      <c r="K45" s="81">
        <f t="shared" si="50"/>
        <v>16355</v>
      </c>
      <c r="L45" s="73">
        <f t="shared" si="50"/>
        <v>0</v>
      </c>
      <c r="M45" s="73">
        <f t="shared" si="50"/>
        <v>0</v>
      </c>
      <c r="N45" s="73">
        <f t="shared" si="50"/>
        <v>0</v>
      </c>
      <c r="O45" s="73">
        <f t="shared" si="50"/>
        <v>0</v>
      </c>
      <c r="P45" s="81">
        <f t="shared" si="50"/>
        <v>0</v>
      </c>
      <c r="Q45" s="73">
        <f t="shared" si="50"/>
        <v>4499</v>
      </c>
      <c r="R45" s="73">
        <f t="shared" si="50"/>
        <v>7003</v>
      </c>
      <c r="S45" s="73">
        <f t="shared" si="50"/>
        <v>11350</v>
      </c>
      <c r="T45" s="73">
        <f t="shared" si="50"/>
        <v>14468</v>
      </c>
      <c r="U45" s="73">
        <f t="shared" si="50"/>
        <v>37320</v>
      </c>
      <c r="V45" s="2"/>
    </row>
    <row r="46" ht="15.0" customHeight="1">
      <c r="A46" s="74" t="s">
        <v>83</v>
      </c>
      <c r="B46" s="75">
        <v>80.0</v>
      </c>
      <c r="C46" s="75">
        <v>235.0</v>
      </c>
      <c r="D46" s="75">
        <v>875.0</v>
      </c>
      <c r="E46" s="75">
        <v>500.0</v>
      </c>
      <c r="F46" s="76">
        <f t="shared" ref="F46:F63" si="52">SUM(B46:E46)</f>
        <v>1690</v>
      </c>
      <c r="G46" s="75"/>
      <c r="H46" s="75">
        <v>335.0</v>
      </c>
      <c r="I46" s="75">
        <v>255.0</v>
      </c>
      <c r="J46" s="75">
        <v>90.0</v>
      </c>
      <c r="K46" s="76">
        <f t="shared" ref="K46:K63" si="53">SUM(G46:J46)</f>
        <v>680</v>
      </c>
      <c r="L46" s="75"/>
      <c r="M46" s="75"/>
      <c r="N46" s="75"/>
      <c r="O46" s="75"/>
      <c r="P46" s="76">
        <f t="shared" ref="P46:P63" si="54">SUM(L46:O46)</f>
        <v>0</v>
      </c>
      <c r="Q46" s="75">
        <f t="shared" ref="Q46:T46" si="51">SUM(B46,G46,L46)</f>
        <v>80</v>
      </c>
      <c r="R46" s="75">
        <f t="shared" si="51"/>
        <v>570</v>
      </c>
      <c r="S46" s="75">
        <f t="shared" si="51"/>
        <v>1130</v>
      </c>
      <c r="T46" s="75">
        <f t="shared" si="51"/>
        <v>590</v>
      </c>
      <c r="U46" s="76">
        <f t="shared" ref="U46:U63" si="56">SUM(Q46:T46)</f>
        <v>2370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3.0</v>
      </c>
      <c r="C49" s="77">
        <v>379.0</v>
      </c>
      <c r="D49" s="77">
        <v>516.0</v>
      </c>
      <c r="E49" s="77"/>
      <c r="F49" s="76">
        <f t="shared" si="52"/>
        <v>898</v>
      </c>
      <c r="G49" s="77"/>
      <c r="H49" s="77"/>
      <c r="I49" s="77">
        <v>117.0</v>
      </c>
      <c r="J49" s="77"/>
      <c r="K49" s="76">
        <f t="shared" si="53"/>
        <v>117</v>
      </c>
      <c r="L49" s="77"/>
      <c r="M49" s="77"/>
      <c r="N49" s="77"/>
      <c r="O49" s="77"/>
      <c r="P49" s="76">
        <f t="shared" si="54"/>
        <v>0</v>
      </c>
      <c r="Q49" s="75">
        <f t="shared" ref="Q49:T49" si="58">SUM(B49,G49,L49)</f>
        <v>3</v>
      </c>
      <c r="R49" s="75">
        <f t="shared" si="58"/>
        <v>379</v>
      </c>
      <c r="S49" s="75">
        <f t="shared" si="58"/>
        <v>633</v>
      </c>
      <c r="T49" s="75">
        <f t="shared" si="58"/>
        <v>0</v>
      </c>
      <c r="U49" s="78">
        <f t="shared" si="56"/>
        <v>1015</v>
      </c>
      <c r="V49" s="2"/>
    </row>
    <row r="50" ht="15.0" customHeight="1">
      <c r="A50" s="74" t="s">
        <v>87</v>
      </c>
      <c r="B50" s="77">
        <v>62.0</v>
      </c>
      <c r="C50" s="77">
        <v>214.0</v>
      </c>
      <c r="D50" s="77">
        <v>1450.0</v>
      </c>
      <c r="E50" s="77">
        <v>2142.0</v>
      </c>
      <c r="F50" s="76">
        <f t="shared" si="52"/>
        <v>3868</v>
      </c>
      <c r="G50" s="77"/>
      <c r="H50" s="77"/>
      <c r="I50" s="77">
        <v>574.0</v>
      </c>
      <c r="J50" s="77">
        <v>1288.0</v>
      </c>
      <c r="K50" s="76">
        <f t="shared" si="53"/>
        <v>1862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62</v>
      </c>
      <c r="R50" s="75">
        <f t="shared" si="59"/>
        <v>214</v>
      </c>
      <c r="S50" s="75">
        <f t="shared" si="59"/>
        <v>2024</v>
      </c>
      <c r="T50" s="75">
        <f t="shared" si="59"/>
        <v>3430</v>
      </c>
      <c r="U50" s="78">
        <f t="shared" si="56"/>
        <v>5730</v>
      </c>
      <c r="V50" s="2"/>
    </row>
    <row r="51" ht="15.0" customHeight="1">
      <c r="A51" s="74" t="s">
        <v>88</v>
      </c>
      <c r="B51" s="77">
        <v>10.0</v>
      </c>
      <c r="C51" s="77">
        <v>98.0</v>
      </c>
      <c r="D51" s="77">
        <v>2.0</v>
      </c>
      <c r="E51" s="77"/>
      <c r="F51" s="76">
        <f t="shared" si="52"/>
        <v>110</v>
      </c>
      <c r="G51" s="77">
        <v>7.0</v>
      </c>
      <c r="H51" s="77">
        <v>121.0</v>
      </c>
      <c r="I51" s="77">
        <v>5.0</v>
      </c>
      <c r="J51" s="77">
        <v>3.0</v>
      </c>
      <c r="K51" s="76">
        <f t="shared" si="53"/>
        <v>136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17</v>
      </c>
      <c r="R51" s="75">
        <f t="shared" si="60"/>
        <v>219</v>
      </c>
      <c r="S51" s="75">
        <f t="shared" si="60"/>
        <v>7</v>
      </c>
      <c r="T51" s="75">
        <f t="shared" si="60"/>
        <v>3</v>
      </c>
      <c r="U51" s="78">
        <f t="shared" si="56"/>
        <v>246</v>
      </c>
      <c r="V51" s="2"/>
    </row>
    <row r="52" ht="15.0" customHeight="1">
      <c r="A52" s="83" t="s">
        <v>89</v>
      </c>
      <c r="B52" s="84"/>
      <c r="C52" s="84">
        <v>242.0</v>
      </c>
      <c r="D52" s="84">
        <v>70.0</v>
      </c>
      <c r="E52" s="84"/>
      <c r="F52" s="85">
        <f t="shared" si="52"/>
        <v>312</v>
      </c>
      <c r="G52" s="84"/>
      <c r="H52" s="84">
        <v>161.0</v>
      </c>
      <c r="I52" s="84">
        <v>53.0</v>
      </c>
      <c r="J52" s="84"/>
      <c r="K52" s="85">
        <f t="shared" si="53"/>
        <v>214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0</v>
      </c>
      <c r="R52" s="86">
        <f t="shared" si="61"/>
        <v>403</v>
      </c>
      <c r="S52" s="86">
        <f t="shared" si="61"/>
        <v>123</v>
      </c>
      <c r="T52" s="86">
        <f t="shared" si="61"/>
        <v>0</v>
      </c>
      <c r="U52" s="87">
        <f t="shared" si="56"/>
        <v>526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3.0</v>
      </c>
      <c r="C53" s="77">
        <v>2.0</v>
      </c>
      <c r="D53" s="77">
        <v>11.0</v>
      </c>
      <c r="E53" s="77">
        <v>5.0</v>
      </c>
      <c r="F53" s="76">
        <f t="shared" si="52"/>
        <v>21</v>
      </c>
      <c r="G53" s="77"/>
      <c r="H53" s="77">
        <v>2.0</v>
      </c>
      <c r="I53" s="77">
        <v>7.0</v>
      </c>
      <c r="J53" s="77">
        <v>3.0</v>
      </c>
      <c r="K53" s="76">
        <f t="shared" si="53"/>
        <v>12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3</v>
      </c>
      <c r="R53" s="75">
        <f t="shared" si="62"/>
        <v>4</v>
      </c>
      <c r="S53" s="75">
        <f t="shared" si="62"/>
        <v>18</v>
      </c>
      <c r="T53" s="75">
        <f t="shared" si="62"/>
        <v>8</v>
      </c>
      <c r="U53" s="78">
        <f t="shared" si="56"/>
        <v>33</v>
      </c>
      <c r="V53" s="2"/>
    </row>
    <row r="54" ht="15.0" customHeight="1">
      <c r="A54" s="74" t="s">
        <v>91</v>
      </c>
      <c r="B54" s="77"/>
      <c r="C54" s="77"/>
      <c r="D54" s="77">
        <v>1259.0</v>
      </c>
      <c r="E54" s="77">
        <v>478.0</v>
      </c>
      <c r="F54" s="76">
        <f t="shared" si="52"/>
        <v>1737</v>
      </c>
      <c r="G54" s="77"/>
      <c r="H54" s="77">
        <v>843.0</v>
      </c>
      <c r="I54" s="77">
        <v>260.0</v>
      </c>
      <c r="J54" s="77"/>
      <c r="K54" s="76">
        <f t="shared" si="53"/>
        <v>1103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0</v>
      </c>
      <c r="R54" s="75">
        <f t="shared" si="63"/>
        <v>843</v>
      </c>
      <c r="S54" s="75">
        <f t="shared" si="63"/>
        <v>1519</v>
      </c>
      <c r="T54" s="75">
        <f t="shared" si="63"/>
        <v>478</v>
      </c>
      <c r="U54" s="78">
        <f t="shared" si="56"/>
        <v>2840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/>
      <c r="C56" s="77"/>
      <c r="D56" s="77">
        <v>149.0</v>
      </c>
      <c r="E56" s="77">
        <v>321.0</v>
      </c>
      <c r="F56" s="76">
        <f t="shared" si="52"/>
        <v>470</v>
      </c>
      <c r="G56" s="77"/>
      <c r="H56" s="77"/>
      <c r="I56" s="77">
        <v>226.0</v>
      </c>
      <c r="J56" s="77">
        <v>536.0</v>
      </c>
      <c r="K56" s="76">
        <f t="shared" si="53"/>
        <v>762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0</v>
      </c>
      <c r="R56" s="75">
        <f t="shared" si="65"/>
        <v>0</v>
      </c>
      <c r="S56" s="75">
        <f t="shared" si="65"/>
        <v>375</v>
      </c>
      <c r="T56" s="75">
        <f t="shared" si="65"/>
        <v>857</v>
      </c>
      <c r="U56" s="91">
        <f t="shared" si="56"/>
        <v>1232</v>
      </c>
      <c r="V56" s="2"/>
    </row>
    <row r="57" ht="15.0" customHeight="1">
      <c r="A57" s="74" t="s">
        <v>94</v>
      </c>
      <c r="B57" s="77"/>
      <c r="C57" s="77">
        <v>519.0</v>
      </c>
      <c r="D57" s="77">
        <v>2879.0</v>
      </c>
      <c r="E57" s="2">
        <v>1179.0</v>
      </c>
      <c r="F57" s="76">
        <f t="shared" si="52"/>
        <v>4577</v>
      </c>
      <c r="G57" s="77"/>
      <c r="H57" s="77"/>
      <c r="I57" s="2"/>
      <c r="J57" s="75"/>
      <c r="K57" s="76">
        <f t="shared" si="53"/>
        <v>0</v>
      </c>
      <c r="L57" s="77"/>
      <c r="M57" s="77"/>
      <c r="N57" s="77"/>
      <c r="O57" s="77"/>
      <c r="P57" s="76">
        <f t="shared" si="54"/>
        <v>0</v>
      </c>
      <c r="Q57" s="75">
        <f t="shared" ref="Q57:T57" si="66">SUM(B57,G57,L57)</f>
        <v>0</v>
      </c>
      <c r="R57" s="75">
        <f t="shared" si="66"/>
        <v>519</v>
      </c>
      <c r="S57" s="75">
        <f t="shared" si="66"/>
        <v>2879</v>
      </c>
      <c r="T57" s="75">
        <f t="shared" si="66"/>
        <v>1179</v>
      </c>
      <c r="U57" s="91">
        <f t="shared" si="56"/>
        <v>4577</v>
      </c>
      <c r="V57" s="2"/>
    </row>
    <row r="58" ht="15.0" customHeight="1">
      <c r="A58" s="74" t="s">
        <v>95</v>
      </c>
      <c r="B58" s="77">
        <v>243.0</v>
      </c>
      <c r="C58" s="77">
        <v>68.0</v>
      </c>
      <c r="D58" s="77">
        <v>121.0</v>
      </c>
      <c r="E58" s="77">
        <v>20.0</v>
      </c>
      <c r="F58" s="76">
        <f t="shared" si="52"/>
        <v>452</v>
      </c>
      <c r="G58" s="77">
        <v>12.0</v>
      </c>
      <c r="H58" s="77">
        <v>16.0</v>
      </c>
      <c r="I58" s="77">
        <v>158.0</v>
      </c>
      <c r="J58" s="77">
        <v>111.0</v>
      </c>
      <c r="K58" s="76">
        <f t="shared" si="53"/>
        <v>297</v>
      </c>
      <c r="L58" s="77"/>
      <c r="M58" s="77"/>
      <c r="N58" s="77"/>
      <c r="O58" s="77"/>
      <c r="P58" s="76">
        <f t="shared" si="54"/>
        <v>0</v>
      </c>
      <c r="Q58" s="75">
        <f t="shared" ref="Q58:T58" si="67">SUM(B58,G58,L58)</f>
        <v>255</v>
      </c>
      <c r="R58" s="75">
        <f t="shared" si="67"/>
        <v>84</v>
      </c>
      <c r="S58" s="75">
        <f t="shared" si="67"/>
        <v>279</v>
      </c>
      <c r="T58" s="75">
        <f t="shared" si="67"/>
        <v>131</v>
      </c>
      <c r="U58" s="91">
        <f t="shared" si="56"/>
        <v>749</v>
      </c>
      <c r="V58" s="2"/>
    </row>
    <row r="59" ht="15.0" customHeight="1">
      <c r="A59" s="74" t="s">
        <v>96</v>
      </c>
      <c r="B59" s="77"/>
      <c r="C59" s="77"/>
      <c r="D59" s="77">
        <v>60.0</v>
      </c>
      <c r="E59" s="77">
        <v>452.0</v>
      </c>
      <c r="F59" s="76">
        <f t="shared" si="52"/>
        <v>512</v>
      </c>
      <c r="G59" s="82"/>
      <c r="H59" s="82"/>
      <c r="I59" s="82">
        <v>581.0</v>
      </c>
      <c r="J59" s="77">
        <v>499.0</v>
      </c>
      <c r="K59" s="76">
        <f t="shared" si="53"/>
        <v>1080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0</v>
      </c>
      <c r="R59" s="75">
        <f t="shared" si="68"/>
        <v>0</v>
      </c>
      <c r="S59" s="75">
        <f t="shared" si="68"/>
        <v>641</v>
      </c>
      <c r="T59" s="75">
        <f t="shared" si="68"/>
        <v>951</v>
      </c>
      <c r="U59" s="91">
        <f t="shared" si="56"/>
        <v>1592</v>
      </c>
      <c r="V59" s="2"/>
    </row>
    <row r="60" ht="15.0" customHeight="1">
      <c r="A60" s="74" t="s">
        <v>17</v>
      </c>
      <c r="B60" s="77">
        <v>49.0</v>
      </c>
      <c r="C60" s="77">
        <v>140.0</v>
      </c>
      <c r="D60" s="77">
        <v>756.0</v>
      </c>
      <c r="E60" s="77">
        <v>1008.0</v>
      </c>
      <c r="F60" s="76">
        <f t="shared" si="52"/>
        <v>1953</v>
      </c>
      <c r="G60" s="77"/>
      <c r="H60" s="77">
        <v>403.0</v>
      </c>
      <c r="I60" s="77"/>
      <c r="J60" s="77">
        <v>600.0</v>
      </c>
      <c r="K60" s="76">
        <f t="shared" si="53"/>
        <v>1003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49</v>
      </c>
      <c r="R60" s="75">
        <f t="shared" si="69"/>
        <v>543</v>
      </c>
      <c r="S60" s="75">
        <f t="shared" si="69"/>
        <v>756</v>
      </c>
      <c r="T60" s="75">
        <f t="shared" si="69"/>
        <v>1608</v>
      </c>
      <c r="U60" s="78">
        <f t="shared" si="56"/>
        <v>2956</v>
      </c>
      <c r="V60" s="2"/>
    </row>
    <row r="61" ht="15.0" customHeight="1">
      <c r="A61" s="74" t="s">
        <v>78</v>
      </c>
      <c r="B61" s="80"/>
      <c r="C61" s="80"/>
      <c r="D61" s="80">
        <v>334.0</v>
      </c>
      <c r="E61" s="77">
        <v>856.0</v>
      </c>
      <c r="F61" s="76">
        <f t="shared" si="52"/>
        <v>1190</v>
      </c>
      <c r="G61" s="77"/>
      <c r="H61" s="77">
        <v>531.0</v>
      </c>
      <c r="I61" s="77"/>
      <c r="J61" s="77">
        <v>2468.0</v>
      </c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0</v>
      </c>
      <c r="R61" s="75">
        <f t="shared" si="70"/>
        <v>531</v>
      </c>
      <c r="S61" s="75">
        <f t="shared" si="70"/>
        <v>334</v>
      </c>
      <c r="T61" s="75">
        <f t="shared" si="70"/>
        <v>3324</v>
      </c>
      <c r="U61" s="78">
        <f t="shared" si="56"/>
        <v>4189</v>
      </c>
      <c r="V61" s="2"/>
    </row>
    <row r="62" ht="15.0" customHeight="1">
      <c r="A62" s="74" t="s">
        <v>97</v>
      </c>
      <c r="B62" s="77"/>
      <c r="C62" s="77"/>
      <c r="D62" s="77">
        <v>158.0</v>
      </c>
      <c r="E62" s="77">
        <v>1044.0</v>
      </c>
      <c r="F62" s="76">
        <f t="shared" si="52"/>
        <v>1202</v>
      </c>
      <c r="G62" s="77"/>
      <c r="H62" s="77">
        <v>60.0</v>
      </c>
      <c r="I62" s="77">
        <v>60.0</v>
      </c>
      <c r="J62" s="77">
        <v>250.0</v>
      </c>
      <c r="K62" s="76">
        <f t="shared" si="53"/>
        <v>370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0</v>
      </c>
      <c r="R62" s="75">
        <f t="shared" si="71"/>
        <v>60</v>
      </c>
      <c r="S62" s="75">
        <f t="shared" si="71"/>
        <v>218</v>
      </c>
      <c r="T62" s="75">
        <f t="shared" si="71"/>
        <v>1294</v>
      </c>
      <c r="U62" s="78">
        <f t="shared" si="56"/>
        <v>1572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3">SUM(C65:C78)</f>
        <v>2705</v>
      </c>
      <c r="D64" s="73">
        <f t="shared" si="73"/>
        <v>0</v>
      </c>
      <c r="E64" s="73">
        <f t="shared" si="73"/>
        <v>0</v>
      </c>
      <c r="F64" s="73">
        <f t="shared" si="73"/>
        <v>2705</v>
      </c>
      <c r="G64" s="73">
        <f t="shared" si="73"/>
        <v>0</v>
      </c>
      <c r="H64" s="73">
        <f t="shared" si="73"/>
        <v>1875</v>
      </c>
      <c r="I64" s="73">
        <f t="shared" si="73"/>
        <v>0</v>
      </c>
      <c r="J64" s="73">
        <f t="shared" si="73"/>
        <v>0</v>
      </c>
      <c r="K64" s="73">
        <f t="shared" si="73"/>
        <v>1875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0</v>
      </c>
      <c r="R64" s="73">
        <f t="shared" si="74"/>
        <v>4580</v>
      </c>
      <c r="S64" s="73">
        <f t="shared" si="74"/>
        <v>0</v>
      </c>
      <c r="T64" s="73">
        <f t="shared" si="74"/>
        <v>0</v>
      </c>
      <c r="U64" s="73">
        <f t="shared" si="74"/>
        <v>4580</v>
      </c>
      <c r="V64" s="2"/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6">SUM(B65:E65)</f>
        <v>108</v>
      </c>
      <c r="G65" s="75"/>
      <c r="H65" s="75">
        <v>195.0</v>
      </c>
      <c r="I65" s="75"/>
      <c r="J65" s="75"/>
      <c r="K65" s="76">
        <f t="shared" ref="K65:K79" si="77">SUM(G65:J65)</f>
        <v>195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0</v>
      </c>
      <c r="R65" s="75">
        <f t="shared" si="75"/>
        <v>303</v>
      </c>
      <c r="S65" s="75">
        <f t="shared" si="75"/>
        <v>0</v>
      </c>
      <c r="T65" s="75">
        <f t="shared" si="75"/>
        <v>0</v>
      </c>
      <c r="U65" s="76">
        <f t="shared" ref="U65:U79" si="80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6"/>
        <v>439</v>
      </c>
      <c r="G66" s="77"/>
      <c r="H66" s="77">
        <v>70.0</v>
      </c>
      <c r="I66" s="77"/>
      <c r="J66" s="77"/>
      <c r="K66" s="76">
        <f t="shared" si="77"/>
        <v>70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0</v>
      </c>
      <c r="R66" s="75">
        <f t="shared" si="79"/>
        <v>509</v>
      </c>
      <c r="S66" s="75">
        <f t="shared" si="79"/>
        <v>0</v>
      </c>
      <c r="T66" s="75">
        <f t="shared" si="79"/>
        <v>0</v>
      </c>
      <c r="U66" s="76">
        <f t="shared" si="80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6"/>
        <v>50</v>
      </c>
      <c r="G67" s="77"/>
      <c r="H67" s="77">
        <v>41.0</v>
      </c>
      <c r="I67" s="77"/>
      <c r="J67" s="77"/>
      <c r="K67" s="76">
        <f t="shared" si="77"/>
        <v>41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0</v>
      </c>
      <c r="R67" s="75">
        <f t="shared" si="81"/>
        <v>91</v>
      </c>
      <c r="S67" s="75">
        <f t="shared" si="81"/>
        <v>0</v>
      </c>
      <c r="T67" s="75">
        <f t="shared" si="81"/>
        <v>0</v>
      </c>
      <c r="U67" s="76">
        <f t="shared" si="80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6"/>
        <v>58</v>
      </c>
      <c r="G68" s="77"/>
      <c r="H68" s="77">
        <v>127.0</v>
      </c>
      <c r="I68" s="77"/>
      <c r="J68" s="77"/>
      <c r="K68" s="76">
        <f t="shared" si="77"/>
        <v>127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0</v>
      </c>
      <c r="R68" s="75">
        <f t="shared" si="82"/>
        <v>185</v>
      </c>
      <c r="S68" s="75">
        <f t="shared" si="82"/>
        <v>0</v>
      </c>
      <c r="T68" s="75">
        <f t="shared" si="82"/>
        <v>0</v>
      </c>
      <c r="U68" s="76">
        <f t="shared" si="80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6"/>
        <v>325</v>
      </c>
      <c r="G69" s="77"/>
      <c r="H69" s="77">
        <v>324.0</v>
      </c>
      <c r="I69" s="77"/>
      <c r="J69" s="77"/>
      <c r="K69" s="76">
        <f t="shared" si="77"/>
        <v>324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0</v>
      </c>
      <c r="R69" s="75">
        <f t="shared" si="83"/>
        <v>649</v>
      </c>
      <c r="S69" s="75">
        <f t="shared" si="83"/>
        <v>0</v>
      </c>
      <c r="T69" s="75">
        <f t="shared" si="83"/>
        <v>0</v>
      </c>
      <c r="U69" s="76">
        <f t="shared" si="80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6"/>
        <v>392</v>
      </c>
      <c r="G70" s="77"/>
      <c r="H70" s="77">
        <v>76.0</v>
      </c>
      <c r="I70" s="77"/>
      <c r="J70" s="77"/>
      <c r="K70" s="76">
        <f t="shared" si="77"/>
        <v>76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0</v>
      </c>
      <c r="R70" s="75">
        <f t="shared" si="84"/>
        <v>468</v>
      </c>
      <c r="S70" s="75">
        <f t="shared" si="84"/>
        <v>0</v>
      </c>
      <c r="T70" s="75">
        <f t="shared" si="84"/>
        <v>0</v>
      </c>
      <c r="U70" s="76">
        <f t="shared" si="80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6"/>
        <v>243</v>
      </c>
      <c r="G71" s="77"/>
      <c r="H71" s="77">
        <v>268.0</v>
      </c>
      <c r="I71" s="77"/>
      <c r="J71" s="77"/>
      <c r="K71" s="76">
        <f t="shared" si="77"/>
        <v>268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0</v>
      </c>
      <c r="R71" s="75">
        <f t="shared" si="85"/>
        <v>511</v>
      </c>
      <c r="S71" s="75">
        <f t="shared" si="85"/>
        <v>0</v>
      </c>
      <c r="T71" s="75">
        <f t="shared" si="85"/>
        <v>0</v>
      </c>
      <c r="U71" s="76">
        <f t="shared" si="80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6"/>
        <v>184</v>
      </c>
      <c r="G72" s="90"/>
      <c r="H72" s="90">
        <v>4.0</v>
      </c>
      <c r="I72" s="90"/>
      <c r="J72" s="90"/>
      <c r="K72" s="76">
        <f t="shared" si="77"/>
        <v>4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0</v>
      </c>
      <c r="R72" s="75">
        <f t="shared" si="86"/>
        <v>188</v>
      </c>
      <c r="S72" s="75">
        <f t="shared" si="86"/>
        <v>0</v>
      </c>
      <c r="T72" s="75">
        <f t="shared" si="86"/>
        <v>0</v>
      </c>
      <c r="U72" s="76">
        <f t="shared" si="80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6"/>
        <v>100</v>
      </c>
      <c r="G73" s="77"/>
      <c r="H73" s="77">
        <v>41.0</v>
      </c>
      <c r="I73" s="77"/>
      <c r="J73" s="77"/>
      <c r="K73" s="76">
        <f t="shared" si="77"/>
        <v>41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0</v>
      </c>
      <c r="R73" s="75">
        <f t="shared" si="87"/>
        <v>141</v>
      </c>
      <c r="S73" s="75">
        <f t="shared" si="87"/>
        <v>0</v>
      </c>
      <c r="T73" s="75">
        <f t="shared" si="87"/>
        <v>0</v>
      </c>
      <c r="U73" s="76">
        <f t="shared" si="80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6"/>
        <v>264</v>
      </c>
      <c r="G74" s="77"/>
      <c r="H74" s="77">
        <v>234.0</v>
      </c>
      <c r="I74" s="77"/>
      <c r="J74" s="77"/>
      <c r="K74" s="76">
        <f t="shared" si="77"/>
        <v>234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0</v>
      </c>
      <c r="R74" s="75">
        <f t="shared" si="88"/>
        <v>498</v>
      </c>
      <c r="S74" s="75">
        <f t="shared" si="88"/>
        <v>0</v>
      </c>
      <c r="T74" s="75">
        <f t="shared" si="88"/>
        <v>0</v>
      </c>
      <c r="U74" s="76">
        <f t="shared" si="80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6"/>
        <v>403</v>
      </c>
      <c r="G75" s="77"/>
      <c r="H75" s="77">
        <v>14.0</v>
      </c>
      <c r="I75" s="77"/>
      <c r="J75" s="77"/>
      <c r="K75" s="76">
        <f t="shared" si="77"/>
        <v>14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0</v>
      </c>
      <c r="R75" s="75">
        <f t="shared" si="89"/>
        <v>417</v>
      </c>
      <c r="S75" s="75">
        <f t="shared" si="89"/>
        <v>0</v>
      </c>
      <c r="T75" s="75">
        <f t="shared" si="89"/>
        <v>0</v>
      </c>
      <c r="U75" s="76">
        <f t="shared" si="80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6"/>
        <v>15</v>
      </c>
      <c r="G76" s="77"/>
      <c r="H76" s="77">
        <v>19.0</v>
      </c>
      <c r="I76" s="77"/>
      <c r="J76" s="77"/>
      <c r="K76" s="76">
        <f t="shared" si="77"/>
        <v>19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0</v>
      </c>
      <c r="R76" s="75">
        <f t="shared" si="90"/>
        <v>34</v>
      </c>
      <c r="S76" s="75">
        <f t="shared" si="90"/>
        <v>0</v>
      </c>
      <c r="T76" s="75">
        <f t="shared" si="90"/>
        <v>0</v>
      </c>
      <c r="U76" s="76">
        <f t="shared" si="80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6"/>
        <v>80</v>
      </c>
      <c r="G77" s="77"/>
      <c r="H77" s="77">
        <v>418.0</v>
      </c>
      <c r="I77" s="77"/>
      <c r="J77" s="77"/>
      <c r="K77" s="76">
        <f t="shared" si="77"/>
        <v>418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0</v>
      </c>
      <c r="R77" s="75">
        <f t="shared" si="91"/>
        <v>498</v>
      </c>
      <c r="S77" s="75">
        <f t="shared" si="91"/>
        <v>0</v>
      </c>
      <c r="T77" s="75">
        <f t="shared" si="91"/>
        <v>0</v>
      </c>
      <c r="U77" s="76">
        <f t="shared" si="80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6"/>
        <v>44</v>
      </c>
      <c r="G78" s="77"/>
      <c r="H78" s="77">
        <v>44.0</v>
      </c>
      <c r="I78" s="77"/>
      <c r="J78" s="77"/>
      <c r="K78" s="76">
        <f t="shared" si="77"/>
        <v>44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0</v>
      </c>
      <c r="R78" s="75">
        <f t="shared" si="92"/>
        <v>88</v>
      </c>
      <c r="S78" s="75">
        <f t="shared" si="92"/>
        <v>0</v>
      </c>
      <c r="T78" s="75">
        <f t="shared" si="92"/>
        <v>0</v>
      </c>
      <c r="U78" s="76">
        <f t="shared" si="80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4384</v>
      </c>
      <c r="C9" s="70">
        <f t="shared" si="1"/>
        <v>35524</v>
      </c>
      <c r="D9" s="70">
        <f t="shared" si="1"/>
        <v>40186</v>
      </c>
      <c r="E9" s="70">
        <f t="shared" si="1"/>
        <v>18140</v>
      </c>
      <c r="F9" s="71">
        <f t="shared" si="1"/>
        <v>98234</v>
      </c>
      <c r="G9" s="70">
        <f t="shared" si="1"/>
        <v>3421</v>
      </c>
      <c r="H9" s="70">
        <f t="shared" si="1"/>
        <v>8722</v>
      </c>
      <c r="I9" s="70">
        <f t="shared" si="1"/>
        <v>5261</v>
      </c>
      <c r="J9" s="70">
        <f t="shared" si="1"/>
        <v>7579</v>
      </c>
      <c r="K9" s="71">
        <f t="shared" si="1"/>
        <v>24983</v>
      </c>
      <c r="L9" s="70">
        <f t="shared" si="1"/>
        <v>0</v>
      </c>
      <c r="M9" s="70">
        <f t="shared" si="1"/>
        <v>46</v>
      </c>
      <c r="N9" s="70">
        <f t="shared" si="1"/>
        <v>0</v>
      </c>
      <c r="O9" s="70">
        <f t="shared" si="1"/>
        <v>0</v>
      </c>
      <c r="P9" s="71">
        <f t="shared" si="1"/>
        <v>46</v>
      </c>
      <c r="Q9" s="70">
        <f t="shared" si="1"/>
        <v>7805</v>
      </c>
      <c r="R9" s="70">
        <f t="shared" si="1"/>
        <v>44292</v>
      </c>
      <c r="S9" s="70">
        <f t="shared" si="1"/>
        <v>45447</v>
      </c>
      <c r="T9" s="70">
        <f t="shared" si="1"/>
        <v>25719</v>
      </c>
      <c r="U9" s="71">
        <f t="shared" si="1"/>
        <v>123263</v>
      </c>
      <c r="V9" s="2"/>
    </row>
    <row r="10" ht="15.75" customHeight="1">
      <c r="A10" s="72" t="s">
        <v>49</v>
      </c>
      <c r="B10" s="73">
        <f t="shared" ref="B10:U10" si="2">SUM(B11:B16)</f>
        <v>0</v>
      </c>
      <c r="C10" s="73">
        <f t="shared" si="2"/>
        <v>103</v>
      </c>
      <c r="D10" s="73">
        <f t="shared" si="2"/>
        <v>299</v>
      </c>
      <c r="E10" s="73">
        <f t="shared" si="2"/>
        <v>71</v>
      </c>
      <c r="F10" s="73">
        <f t="shared" si="2"/>
        <v>473</v>
      </c>
      <c r="G10" s="73">
        <f t="shared" si="2"/>
        <v>0</v>
      </c>
      <c r="H10" s="73">
        <f t="shared" si="2"/>
        <v>15</v>
      </c>
      <c r="I10" s="73">
        <f t="shared" si="2"/>
        <v>94</v>
      </c>
      <c r="J10" s="73">
        <f t="shared" si="2"/>
        <v>33</v>
      </c>
      <c r="K10" s="73">
        <f t="shared" si="2"/>
        <v>142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0</v>
      </c>
      <c r="R10" s="73">
        <f t="shared" si="2"/>
        <v>118</v>
      </c>
      <c r="S10" s="73">
        <f t="shared" si="2"/>
        <v>393</v>
      </c>
      <c r="T10" s="73">
        <f t="shared" si="2"/>
        <v>104</v>
      </c>
      <c r="U10" s="73">
        <f t="shared" si="2"/>
        <v>615</v>
      </c>
      <c r="V10" s="2"/>
    </row>
    <row r="11" ht="15.0" customHeight="1">
      <c r="A11" s="74" t="s">
        <v>50</v>
      </c>
      <c r="B11" s="75"/>
      <c r="C11" s="75">
        <v>52.0</v>
      </c>
      <c r="D11" s="75">
        <v>121.0</v>
      </c>
      <c r="E11" s="75">
        <v>10.0</v>
      </c>
      <c r="F11" s="76">
        <f t="shared" ref="F11:F16" si="4">SUM(B11:E11)</f>
        <v>183</v>
      </c>
      <c r="G11" s="75"/>
      <c r="H11" s="75">
        <v>2.0</v>
      </c>
      <c r="I11" s="75">
        <v>18.0</v>
      </c>
      <c r="J11" s="75">
        <v>26.0</v>
      </c>
      <c r="K11" s="76">
        <f t="shared" ref="K11:K16" si="5">SUM(G11:J11)</f>
        <v>46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54</v>
      </c>
      <c r="S11" s="75">
        <f t="shared" si="3"/>
        <v>139</v>
      </c>
      <c r="T11" s="75">
        <f t="shared" si="3"/>
        <v>36</v>
      </c>
      <c r="U11" s="76">
        <f t="shared" ref="U11:U16" si="8">SUM(Q11:T11)</f>
        <v>229</v>
      </c>
      <c r="V11" s="2" t="s">
        <v>114</v>
      </c>
    </row>
    <row r="12" ht="15.0" customHeight="1">
      <c r="A12" s="74" t="s">
        <v>51</v>
      </c>
      <c r="B12" s="77"/>
      <c r="C12" s="77"/>
      <c r="D12" s="77">
        <v>4.0</v>
      </c>
      <c r="E12" s="77">
        <v>12.0</v>
      </c>
      <c r="F12" s="78">
        <f t="shared" si="4"/>
        <v>16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4</v>
      </c>
      <c r="T12" s="77">
        <f t="shared" si="7"/>
        <v>12</v>
      </c>
      <c r="U12" s="78">
        <f t="shared" si="8"/>
        <v>16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/>
      <c r="D14" s="77">
        <v>156.0</v>
      </c>
      <c r="E14" s="77"/>
      <c r="F14" s="78">
        <f t="shared" si="4"/>
        <v>156</v>
      </c>
      <c r="G14" s="77"/>
      <c r="H14" s="77"/>
      <c r="I14" s="77">
        <v>76.0</v>
      </c>
      <c r="J14" s="77"/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232</v>
      </c>
      <c r="T14" s="77">
        <f t="shared" si="10"/>
        <v>0</v>
      </c>
      <c r="U14" s="78">
        <f t="shared" si="8"/>
        <v>232</v>
      </c>
      <c r="V14" s="2"/>
    </row>
    <row r="15" ht="15.0" customHeight="1">
      <c r="A15" s="74" t="s">
        <v>54</v>
      </c>
      <c r="B15" s="77"/>
      <c r="C15" s="77">
        <v>51.0</v>
      </c>
      <c r="D15" s="77">
        <v>18.0</v>
      </c>
      <c r="E15" s="77">
        <v>49.0</v>
      </c>
      <c r="F15" s="78">
        <f t="shared" si="4"/>
        <v>118</v>
      </c>
      <c r="G15" s="77"/>
      <c r="H15" s="77">
        <v>13.0</v>
      </c>
      <c r="I15" s="77"/>
      <c r="J15" s="77">
        <v>7.0</v>
      </c>
      <c r="K15" s="78">
        <f t="shared" si="5"/>
        <v>20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64</v>
      </c>
      <c r="S15" s="77">
        <f t="shared" si="11"/>
        <v>18</v>
      </c>
      <c r="T15" s="77">
        <f t="shared" si="11"/>
        <v>56</v>
      </c>
      <c r="U15" s="78">
        <f t="shared" si="8"/>
        <v>138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/>
      <c r="K16" s="78">
        <f t="shared" si="5"/>
        <v>0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0</v>
      </c>
      <c r="U16" s="78">
        <f t="shared" si="8"/>
        <v>0</v>
      </c>
      <c r="V16" s="2"/>
    </row>
    <row r="17" ht="15.75" customHeight="1">
      <c r="A17" s="72" t="s">
        <v>56</v>
      </c>
      <c r="B17" s="73">
        <f t="shared" ref="B17:Q17" si="13">SUM(B18:B28)</f>
        <v>1725</v>
      </c>
      <c r="C17" s="73">
        <f t="shared" si="13"/>
        <v>13590</v>
      </c>
      <c r="D17" s="73">
        <f t="shared" si="13"/>
        <v>12290</v>
      </c>
      <c r="E17" s="73">
        <f t="shared" si="13"/>
        <v>2195</v>
      </c>
      <c r="F17" s="73">
        <f t="shared" si="13"/>
        <v>29800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1725</v>
      </c>
      <c r="R17" s="73">
        <f>R18+R19+R20+R21+R22+R23+R24+R25+R26+R27+R28</f>
        <v>13590</v>
      </c>
      <c r="S17" s="73">
        <f t="shared" ref="S17:U17" si="14">SUM(S18:S28)</f>
        <v>12290</v>
      </c>
      <c r="T17" s="73">
        <f t="shared" si="14"/>
        <v>2195</v>
      </c>
      <c r="U17" s="73">
        <f t="shared" si="14"/>
        <v>29800</v>
      </c>
      <c r="V17" s="2"/>
    </row>
    <row r="18" ht="15.0" customHeight="1">
      <c r="A18" s="74" t="s">
        <v>57</v>
      </c>
      <c r="B18" s="75"/>
      <c r="C18" s="75">
        <v>226.0</v>
      </c>
      <c r="D18" s="75">
        <v>369.0</v>
      </c>
      <c r="E18" s="75">
        <v>360.0</v>
      </c>
      <c r="F18" s="76">
        <f t="shared" ref="F18:F28" si="16">SUM(B18:E18)</f>
        <v>955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226</v>
      </c>
      <c r="S18" s="75">
        <f t="shared" si="15"/>
        <v>369</v>
      </c>
      <c r="T18" s="75">
        <f t="shared" si="15"/>
        <v>360</v>
      </c>
      <c r="U18" s="76">
        <f t="shared" ref="U18:U28" si="20">SUM(Q18:T18)</f>
        <v>955</v>
      </c>
      <c r="V18" s="2"/>
    </row>
    <row r="19" ht="15.0" customHeight="1">
      <c r="A19" s="74" t="s">
        <v>58</v>
      </c>
      <c r="B19" s="77">
        <v>30.0</v>
      </c>
      <c r="C19" s="77">
        <v>778.0</v>
      </c>
      <c r="D19" s="75">
        <v>2803.0</v>
      </c>
      <c r="E19" s="75">
        <v>753.0</v>
      </c>
      <c r="F19" s="76">
        <f t="shared" si="16"/>
        <v>4364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30</v>
      </c>
      <c r="R19" s="75">
        <f t="shared" si="19"/>
        <v>778</v>
      </c>
      <c r="S19" s="75">
        <f t="shared" si="19"/>
        <v>2803</v>
      </c>
      <c r="T19" s="75">
        <f t="shared" si="19"/>
        <v>753</v>
      </c>
      <c r="U19" s="78">
        <f t="shared" si="20"/>
        <v>4364</v>
      </c>
      <c r="V19" s="2"/>
    </row>
    <row r="20" ht="15.0" customHeight="1">
      <c r="A20" s="74" t="s">
        <v>59</v>
      </c>
      <c r="B20" s="77"/>
      <c r="C20" s="77">
        <v>162.0</v>
      </c>
      <c r="D20" s="77">
        <v>30.0</v>
      </c>
      <c r="E20" s="77"/>
      <c r="F20" s="76">
        <f t="shared" si="16"/>
        <v>192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162</v>
      </c>
      <c r="S20" s="75">
        <f t="shared" si="21"/>
        <v>30</v>
      </c>
      <c r="T20" s="75">
        <f t="shared" si="21"/>
        <v>0</v>
      </c>
      <c r="U20" s="78">
        <f t="shared" si="20"/>
        <v>192</v>
      </c>
      <c r="V20" s="2"/>
    </row>
    <row r="21" ht="15.0" customHeight="1">
      <c r="A21" s="74" t="s">
        <v>60</v>
      </c>
      <c r="B21" s="77"/>
      <c r="C21" s="77">
        <v>195.0</v>
      </c>
      <c r="D21" s="77">
        <v>139.0</v>
      </c>
      <c r="E21" s="77"/>
      <c r="F21" s="76">
        <f t="shared" si="16"/>
        <v>334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195</v>
      </c>
      <c r="S21" s="75">
        <f t="shared" si="22"/>
        <v>139</v>
      </c>
      <c r="T21" s="75">
        <f t="shared" si="22"/>
        <v>0</v>
      </c>
      <c r="U21" s="78">
        <f t="shared" si="20"/>
        <v>334</v>
      </c>
      <c r="V21" s="2"/>
    </row>
    <row r="22" ht="15.0" customHeight="1">
      <c r="A22" s="74" t="s">
        <v>61</v>
      </c>
      <c r="B22" s="77">
        <v>5.0</v>
      </c>
      <c r="C22" s="77">
        <v>530.0</v>
      </c>
      <c r="D22" s="77">
        <v>309.0</v>
      </c>
      <c r="E22" s="77"/>
      <c r="F22" s="76">
        <f t="shared" si="16"/>
        <v>844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5</v>
      </c>
      <c r="R22" s="75">
        <f t="shared" si="23"/>
        <v>530</v>
      </c>
      <c r="S22" s="75">
        <f t="shared" si="23"/>
        <v>309</v>
      </c>
      <c r="T22" s="75">
        <f t="shared" si="23"/>
        <v>0</v>
      </c>
      <c r="U22" s="78">
        <f t="shared" si="20"/>
        <v>844</v>
      </c>
      <c r="V22" s="2"/>
    </row>
    <row r="23" ht="15.0" customHeight="1">
      <c r="A23" s="74" t="s">
        <v>62</v>
      </c>
      <c r="B23" s="77"/>
      <c r="C23" s="77">
        <v>569.0</v>
      </c>
      <c r="D23" s="77">
        <v>158.0</v>
      </c>
      <c r="E23" s="77"/>
      <c r="F23" s="76">
        <f t="shared" si="16"/>
        <v>727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569</v>
      </c>
      <c r="S23" s="75">
        <f t="shared" si="24"/>
        <v>158</v>
      </c>
      <c r="T23" s="75">
        <f t="shared" si="24"/>
        <v>0</v>
      </c>
      <c r="U23" s="78">
        <f t="shared" si="20"/>
        <v>727</v>
      </c>
      <c r="V23" s="2"/>
    </row>
    <row r="24" ht="15.0" customHeight="1">
      <c r="A24" s="74" t="s">
        <v>63</v>
      </c>
      <c r="B24" s="79"/>
      <c r="C24" s="77">
        <v>511.0</v>
      </c>
      <c r="D24" s="77"/>
      <c r="E24" s="77"/>
      <c r="F24" s="76">
        <f t="shared" si="16"/>
        <v>511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511</v>
      </c>
      <c r="S24" s="75">
        <f t="shared" si="25"/>
        <v>0</v>
      </c>
      <c r="T24" s="75">
        <f t="shared" si="25"/>
        <v>0</v>
      </c>
      <c r="U24" s="78">
        <f t="shared" si="20"/>
        <v>511</v>
      </c>
      <c r="V24" s="2"/>
    </row>
    <row r="25" ht="15.0" customHeight="1">
      <c r="A25" s="74" t="s">
        <v>17</v>
      </c>
      <c r="B25" s="75"/>
      <c r="C25" s="75">
        <v>956.0</v>
      </c>
      <c r="D25" s="77">
        <v>4550.0</v>
      </c>
      <c r="E25" s="77">
        <v>595.0</v>
      </c>
      <c r="F25" s="76">
        <f t="shared" si="16"/>
        <v>6101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956</v>
      </c>
      <c r="S25" s="75">
        <f t="shared" si="26"/>
        <v>4550</v>
      </c>
      <c r="T25" s="75">
        <f t="shared" si="26"/>
        <v>595</v>
      </c>
      <c r="U25" s="76">
        <f t="shared" si="20"/>
        <v>6101</v>
      </c>
      <c r="V25" s="2"/>
    </row>
    <row r="26" ht="15.0" customHeight="1">
      <c r="A26" s="74" t="s">
        <v>64</v>
      </c>
      <c r="B26" s="77">
        <v>955.0</v>
      </c>
      <c r="C26" s="80">
        <v>4677.0</v>
      </c>
      <c r="D26" s="80">
        <v>659.0</v>
      </c>
      <c r="E26" s="75">
        <v>15.0</v>
      </c>
      <c r="F26" s="76">
        <f t="shared" si="16"/>
        <v>6306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955</v>
      </c>
      <c r="R26" s="75">
        <f t="shared" si="27"/>
        <v>4677</v>
      </c>
      <c r="S26" s="75">
        <f t="shared" si="27"/>
        <v>659</v>
      </c>
      <c r="T26" s="75">
        <f t="shared" si="27"/>
        <v>15</v>
      </c>
      <c r="U26" s="78">
        <f t="shared" si="20"/>
        <v>6306</v>
      </c>
      <c r="V26" s="2"/>
    </row>
    <row r="27" ht="15.0" customHeight="1">
      <c r="A27" s="74" t="s">
        <v>65</v>
      </c>
      <c r="B27" s="77">
        <v>735.0</v>
      </c>
      <c r="C27" s="77">
        <v>4886.0</v>
      </c>
      <c r="D27" s="77">
        <v>194.0</v>
      </c>
      <c r="E27" s="77"/>
      <c r="F27" s="76">
        <f t="shared" si="16"/>
        <v>5815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735</v>
      </c>
      <c r="R27" s="75">
        <f t="shared" si="28"/>
        <v>4886</v>
      </c>
      <c r="S27" s="75">
        <f t="shared" si="28"/>
        <v>194</v>
      </c>
      <c r="T27" s="75">
        <f t="shared" si="28"/>
        <v>0</v>
      </c>
      <c r="U27" s="78">
        <f t="shared" si="20"/>
        <v>5815</v>
      </c>
      <c r="V27" s="2"/>
    </row>
    <row r="28" ht="15.75" customHeight="1">
      <c r="A28" s="74" t="s">
        <v>54</v>
      </c>
      <c r="B28" s="77"/>
      <c r="C28" s="77">
        <v>100.0</v>
      </c>
      <c r="D28" s="77">
        <v>3079.0</v>
      </c>
      <c r="E28" s="77">
        <v>472.0</v>
      </c>
      <c r="F28" s="76">
        <f t="shared" si="16"/>
        <v>3651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100</v>
      </c>
      <c r="S28" s="75">
        <f t="shared" si="29"/>
        <v>3079</v>
      </c>
      <c r="T28" s="75">
        <f t="shared" si="29"/>
        <v>472</v>
      </c>
      <c r="U28" s="78">
        <f t="shared" si="20"/>
        <v>3651</v>
      </c>
      <c r="V28" s="2"/>
    </row>
    <row r="29" ht="15.75" customHeight="1">
      <c r="A29" s="72" t="s">
        <v>66</v>
      </c>
      <c r="B29" s="73">
        <f t="shared" ref="B29:U29" si="30">SUM(B30:B44)</f>
        <v>1284</v>
      </c>
      <c r="C29" s="73">
        <f t="shared" si="30"/>
        <v>16455</v>
      </c>
      <c r="D29" s="73">
        <f t="shared" si="30"/>
        <v>18888</v>
      </c>
      <c r="E29" s="73">
        <f t="shared" si="30"/>
        <v>7664</v>
      </c>
      <c r="F29" s="81">
        <f t="shared" si="30"/>
        <v>44291</v>
      </c>
      <c r="G29" s="73">
        <f t="shared" si="30"/>
        <v>297</v>
      </c>
      <c r="H29" s="73">
        <f t="shared" si="30"/>
        <v>2500</v>
      </c>
      <c r="I29" s="73">
        <f t="shared" si="30"/>
        <v>2526</v>
      </c>
      <c r="J29" s="73">
        <f t="shared" si="30"/>
        <v>1288</v>
      </c>
      <c r="K29" s="81">
        <f t="shared" si="30"/>
        <v>6611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1581</v>
      </c>
      <c r="R29" s="73">
        <f t="shared" si="30"/>
        <v>19001</v>
      </c>
      <c r="S29" s="73">
        <f t="shared" si="30"/>
        <v>21414</v>
      </c>
      <c r="T29" s="73">
        <f t="shared" si="30"/>
        <v>8952</v>
      </c>
      <c r="U29" s="81">
        <f t="shared" si="30"/>
        <v>50948</v>
      </c>
      <c r="V29" s="2" t="s">
        <v>114</v>
      </c>
    </row>
    <row r="30" ht="15.0" customHeight="1">
      <c r="A30" s="74" t="s">
        <v>67</v>
      </c>
      <c r="B30" s="75"/>
      <c r="C30" s="75">
        <v>629.0</v>
      </c>
      <c r="D30" s="75">
        <v>763.0</v>
      </c>
      <c r="E30" s="75"/>
      <c r="F30" s="76">
        <f t="shared" ref="F30:F44" si="32">SUM(B30:E30)</f>
        <v>1392</v>
      </c>
      <c r="G30" s="75">
        <v>124.0</v>
      </c>
      <c r="H30" s="75">
        <v>574.0</v>
      </c>
      <c r="I30" s="75">
        <v>435.0</v>
      </c>
      <c r="J30" s="75">
        <v>30.0</v>
      </c>
      <c r="K30" s="76">
        <f t="shared" ref="K30:K44" si="33">SUM(G30:J30)</f>
        <v>1163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124</v>
      </c>
      <c r="R30" s="75">
        <f t="shared" si="31"/>
        <v>1203</v>
      </c>
      <c r="S30" s="75">
        <f t="shared" si="31"/>
        <v>1198</v>
      </c>
      <c r="T30" s="75">
        <f t="shared" si="31"/>
        <v>30</v>
      </c>
      <c r="U30" s="76">
        <f t="shared" ref="U30:U44" si="36">SUM(Q30:T30)</f>
        <v>2555</v>
      </c>
      <c r="V30" s="2"/>
    </row>
    <row r="31" ht="15.0" customHeight="1">
      <c r="A31" s="74" t="s">
        <v>68</v>
      </c>
      <c r="B31" s="77">
        <v>465.0</v>
      </c>
      <c r="C31" s="77">
        <v>2611.0</v>
      </c>
      <c r="D31" s="77">
        <v>22.0</v>
      </c>
      <c r="E31" s="77"/>
      <c r="F31" s="76">
        <f t="shared" si="32"/>
        <v>3098</v>
      </c>
      <c r="G31" s="77"/>
      <c r="H31" s="77">
        <v>61.0</v>
      </c>
      <c r="I31" s="77">
        <v>53.0</v>
      </c>
      <c r="J31" s="77"/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465</v>
      </c>
      <c r="R31" s="77">
        <f t="shared" si="35"/>
        <v>2718</v>
      </c>
      <c r="S31" s="77">
        <f t="shared" si="35"/>
        <v>75</v>
      </c>
      <c r="T31" s="77">
        <f t="shared" si="35"/>
        <v>0</v>
      </c>
      <c r="U31" s="78">
        <f t="shared" si="36"/>
        <v>3258</v>
      </c>
      <c r="V31" s="2"/>
    </row>
    <row r="32" ht="15.0" customHeight="1">
      <c r="A32" s="74" t="s">
        <v>69</v>
      </c>
      <c r="B32" s="77"/>
      <c r="C32" s="77">
        <v>918.0</v>
      </c>
      <c r="D32" s="77">
        <v>1846.0</v>
      </c>
      <c r="E32" s="77">
        <v>2321.0</v>
      </c>
      <c r="F32" s="76">
        <f t="shared" si="32"/>
        <v>5085</v>
      </c>
      <c r="G32" s="77"/>
      <c r="H32" s="77"/>
      <c r="I32" s="77">
        <v>236.0</v>
      </c>
      <c r="J32" s="77">
        <v>352.0</v>
      </c>
      <c r="K32" s="76">
        <f t="shared" si="33"/>
        <v>588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918</v>
      </c>
      <c r="S32" s="77">
        <f t="shared" si="37"/>
        <v>2082</v>
      </c>
      <c r="T32" s="77">
        <f t="shared" si="37"/>
        <v>2673</v>
      </c>
      <c r="U32" s="78">
        <f t="shared" si="36"/>
        <v>5673</v>
      </c>
      <c r="V32" s="2"/>
    </row>
    <row r="33" ht="15.0" customHeight="1">
      <c r="A33" s="74" t="s">
        <v>70</v>
      </c>
      <c r="B33" s="77"/>
      <c r="C33" s="77">
        <v>127.0</v>
      </c>
      <c r="D33" s="77">
        <v>483.0</v>
      </c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127</v>
      </c>
      <c r="S33" s="77">
        <f t="shared" si="38"/>
        <v>483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>
        <v>25.0</v>
      </c>
      <c r="C34" s="77">
        <v>1443.0</v>
      </c>
      <c r="D34" s="77">
        <v>4176.0</v>
      </c>
      <c r="E34" s="77">
        <v>1968.0</v>
      </c>
      <c r="F34" s="76">
        <f t="shared" si="32"/>
        <v>7612</v>
      </c>
      <c r="G34" s="77">
        <v>91.0</v>
      </c>
      <c r="H34" s="77">
        <v>116.0</v>
      </c>
      <c r="I34" s="77">
        <v>43.0</v>
      </c>
      <c r="J34" s="77">
        <v>3.0</v>
      </c>
      <c r="K34" s="76">
        <f t="shared" si="33"/>
        <v>253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116</v>
      </c>
      <c r="R34" s="77">
        <f t="shared" si="39"/>
        <v>1559</v>
      </c>
      <c r="S34" s="77">
        <f t="shared" si="39"/>
        <v>4219</v>
      </c>
      <c r="T34" s="77">
        <f t="shared" si="39"/>
        <v>1971</v>
      </c>
      <c r="U34" s="78">
        <f t="shared" si="36"/>
        <v>7865</v>
      </c>
      <c r="V34" s="2"/>
    </row>
    <row r="35" ht="15.0" customHeight="1">
      <c r="A35" s="74" t="s">
        <v>72</v>
      </c>
      <c r="B35" s="77"/>
      <c r="C35" s="77">
        <v>735.0</v>
      </c>
      <c r="D35" s="77">
        <v>1765.0</v>
      </c>
      <c r="E35" s="77"/>
      <c r="F35" s="76">
        <f t="shared" si="32"/>
        <v>2500</v>
      </c>
      <c r="G35" s="77"/>
      <c r="H35" s="77">
        <v>89.0</v>
      </c>
      <c r="I35" s="77">
        <v>80.0</v>
      </c>
      <c r="J35" s="77"/>
      <c r="K35" s="76">
        <f t="shared" si="33"/>
        <v>169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824</v>
      </c>
      <c r="S35" s="77">
        <f t="shared" si="40"/>
        <v>1845</v>
      </c>
      <c r="T35" s="77">
        <f t="shared" si="40"/>
        <v>0</v>
      </c>
      <c r="U35" s="78">
        <f t="shared" si="36"/>
        <v>2669</v>
      </c>
      <c r="V35" s="2"/>
    </row>
    <row r="36" ht="15.0" customHeight="1">
      <c r="A36" s="74" t="s">
        <v>73</v>
      </c>
      <c r="B36" s="77">
        <v>30.0</v>
      </c>
      <c r="C36" s="77">
        <v>945.0</v>
      </c>
      <c r="D36" s="77">
        <v>615.0</v>
      </c>
      <c r="E36" s="77">
        <v>376.0</v>
      </c>
      <c r="F36" s="76">
        <f t="shared" si="32"/>
        <v>1966</v>
      </c>
      <c r="G36" s="77">
        <v>22.0</v>
      </c>
      <c r="H36" s="77">
        <v>322.0</v>
      </c>
      <c r="I36" s="77">
        <v>302.0</v>
      </c>
      <c r="J36" s="77">
        <v>89.0</v>
      </c>
      <c r="K36" s="76">
        <f t="shared" si="33"/>
        <v>735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52</v>
      </c>
      <c r="R36" s="77">
        <f t="shared" si="41"/>
        <v>1267</v>
      </c>
      <c r="S36" s="77">
        <f t="shared" si="41"/>
        <v>917</v>
      </c>
      <c r="T36" s="77">
        <f t="shared" si="41"/>
        <v>465</v>
      </c>
      <c r="U36" s="78">
        <f t="shared" si="36"/>
        <v>2701</v>
      </c>
      <c r="V36" s="2"/>
    </row>
    <row r="37" ht="15.0" customHeight="1">
      <c r="A37" s="74" t="s">
        <v>74</v>
      </c>
      <c r="B37" s="77"/>
      <c r="C37" s="77">
        <v>1985.0</v>
      </c>
      <c r="D37" s="77">
        <v>5043.0</v>
      </c>
      <c r="E37" s="77">
        <v>1865.0</v>
      </c>
      <c r="F37" s="76">
        <f t="shared" si="32"/>
        <v>8893</v>
      </c>
      <c r="G37" s="77"/>
      <c r="H37" s="77">
        <v>108.0</v>
      </c>
      <c r="I37" s="77">
        <v>738.0</v>
      </c>
      <c r="J37" s="77">
        <v>814.0</v>
      </c>
      <c r="K37" s="76">
        <f t="shared" si="33"/>
        <v>1660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0</v>
      </c>
      <c r="R37" s="77">
        <f t="shared" si="42"/>
        <v>2093</v>
      </c>
      <c r="S37" s="77">
        <f t="shared" si="42"/>
        <v>5781</v>
      </c>
      <c r="T37" s="77">
        <f t="shared" si="42"/>
        <v>2679</v>
      </c>
      <c r="U37" s="78">
        <f t="shared" si="36"/>
        <v>10553</v>
      </c>
      <c r="V37" s="2"/>
    </row>
    <row r="38" ht="15.0" customHeight="1">
      <c r="A38" s="74" t="s">
        <v>75</v>
      </c>
      <c r="B38" s="77"/>
      <c r="C38" s="77">
        <v>2818.0</v>
      </c>
      <c r="D38" s="77">
        <v>803.0</v>
      </c>
      <c r="E38" s="77"/>
      <c r="F38" s="76">
        <f t="shared" si="32"/>
        <v>3621</v>
      </c>
      <c r="G38" s="77">
        <v>5.0</v>
      </c>
      <c r="H38" s="77">
        <v>373.0</v>
      </c>
      <c r="I38" s="77">
        <v>88.0</v>
      </c>
      <c r="J38" s="77"/>
      <c r="K38" s="76">
        <f t="shared" si="33"/>
        <v>466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5</v>
      </c>
      <c r="R38" s="77">
        <f t="shared" si="43"/>
        <v>3191</v>
      </c>
      <c r="S38" s="77">
        <f t="shared" si="43"/>
        <v>891</v>
      </c>
      <c r="T38" s="77">
        <f t="shared" si="43"/>
        <v>0</v>
      </c>
      <c r="U38" s="78">
        <f t="shared" si="36"/>
        <v>4087</v>
      </c>
      <c r="V38" s="2"/>
    </row>
    <row r="39" ht="15.0" customHeight="1">
      <c r="A39" s="74" t="s">
        <v>76</v>
      </c>
      <c r="B39" s="77"/>
      <c r="C39" s="77">
        <v>731.0</v>
      </c>
      <c r="D39" s="77">
        <v>546.0</v>
      </c>
      <c r="E39" s="77"/>
      <c r="F39" s="76">
        <f t="shared" si="32"/>
        <v>1277</v>
      </c>
      <c r="G39" s="77"/>
      <c r="H39" s="77">
        <v>131.0</v>
      </c>
      <c r="I39" s="77">
        <v>93.0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862</v>
      </c>
      <c r="S39" s="77">
        <f t="shared" si="44"/>
        <v>639</v>
      </c>
      <c r="T39" s="77">
        <f t="shared" si="44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/>
      <c r="C40" s="77">
        <v>2.0</v>
      </c>
      <c r="D40" s="77">
        <v>4.0</v>
      </c>
      <c r="E40" s="77"/>
      <c r="F40" s="76">
        <f t="shared" si="32"/>
        <v>6</v>
      </c>
      <c r="G40" s="77"/>
      <c r="H40" s="77">
        <v>4.0</v>
      </c>
      <c r="I40" s="77">
        <v>9.0</v>
      </c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0</v>
      </c>
      <c r="R40" s="77">
        <f t="shared" si="45"/>
        <v>6</v>
      </c>
      <c r="S40" s="77">
        <f t="shared" si="45"/>
        <v>13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>
        <v>582.0</v>
      </c>
      <c r="C41" s="77">
        <v>504.0</v>
      </c>
      <c r="D41" s="77">
        <v>779.0</v>
      </c>
      <c r="E41" s="77">
        <v>498.0</v>
      </c>
      <c r="F41" s="76">
        <f t="shared" si="32"/>
        <v>2363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582</v>
      </c>
      <c r="R41" s="77">
        <f t="shared" si="46"/>
        <v>504</v>
      </c>
      <c r="S41" s="77">
        <f t="shared" si="46"/>
        <v>779</v>
      </c>
      <c r="T41" s="77">
        <f t="shared" si="46"/>
        <v>498</v>
      </c>
      <c r="U41" s="78">
        <f t="shared" si="36"/>
        <v>2363</v>
      </c>
      <c r="V41" s="2"/>
    </row>
    <row r="42" ht="15.0" customHeight="1">
      <c r="A42" s="74" t="s">
        <v>79</v>
      </c>
      <c r="B42" s="77"/>
      <c r="C42" s="77">
        <v>82.0</v>
      </c>
      <c r="D42" s="77">
        <v>77.0</v>
      </c>
      <c r="E42" s="77"/>
      <c r="F42" s="76">
        <f t="shared" si="32"/>
        <v>159</v>
      </c>
      <c r="G42" s="77"/>
      <c r="H42" s="77">
        <v>215.0</v>
      </c>
      <c r="I42" s="77">
        <v>42.0</v>
      </c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0</v>
      </c>
      <c r="R42" s="77">
        <f t="shared" si="47"/>
        <v>297</v>
      </c>
      <c r="S42" s="77">
        <f t="shared" si="47"/>
        <v>119</v>
      </c>
      <c r="T42" s="77">
        <f t="shared" si="47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/>
      <c r="C43" s="77"/>
      <c r="D43" s="77">
        <v>837.0</v>
      </c>
      <c r="E43" s="77">
        <v>636.0</v>
      </c>
      <c r="F43" s="76">
        <f t="shared" si="32"/>
        <v>1473</v>
      </c>
      <c r="G43" s="77"/>
      <c r="H43" s="77"/>
      <c r="I43" s="77">
        <v>240.0</v>
      </c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0</v>
      </c>
      <c r="R43" s="77">
        <f t="shared" si="48"/>
        <v>0</v>
      </c>
      <c r="S43" s="77">
        <f t="shared" si="48"/>
        <v>1077</v>
      </c>
      <c r="T43" s="77">
        <f t="shared" si="48"/>
        <v>636</v>
      </c>
      <c r="U43" s="78">
        <f t="shared" si="36"/>
        <v>1713</v>
      </c>
      <c r="V43" s="2"/>
    </row>
    <row r="44" ht="15.75" customHeight="1">
      <c r="A44" s="74" t="s">
        <v>81</v>
      </c>
      <c r="B44" s="77">
        <v>182.0</v>
      </c>
      <c r="C44" s="77">
        <v>2925.0</v>
      </c>
      <c r="D44" s="77">
        <v>1129.0</v>
      </c>
      <c r="E44" s="77"/>
      <c r="F44" s="76">
        <f t="shared" si="32"/>
        <v>4236</v>
      </c>
      <c r="G44" s="77">
        <v>55.0</v>
      </c>
      <c r="H44" s="77">
        <v>507.0</v>
      </c>
      <c r="I44" s="77">
        <v>167.0</v>
      </c>
      <c r="J44" s="77"/>
      <c r="K44" s="76">
        <f t="shared" si="33"/>
        <v>729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237</v>
      </c>
      <c r="R44" s="77">
        <f t="shared" si="49"/>
        <v>3432</v>
      </c>
      <c r="S44" s="77">
        <f t="shared" si="49"/>
        <v>1296</v>
      </c>
      <c r="T44" s="77">
        <f t="shared" si="49"/>
        <v>0</v>
      </c>
      <c r="U44" s="78">
        <f t="shared" si="36"/>
        <v>4965</v>
      </c>
      <c r="V44" s="2"/>
    </row>
    <row r="45" ht="15.75" customHeight="1">
      <c r="A45" s="72" t="s">
        <v>82</v>
      </c>
      <c r="B45" s="73">
        <f t="shared" ref="B45:U45" si="50">SUM(B46:B63)</f>
        <v>1375</v>
      </c>
      <c r="C45" s="73">
        <f t="shared" si="50"/>
        <v>2671</v>
      </c>
      <c r="D45" s="73">
        <f t="shared" si="50"/>
        <v>8709</v>
      </c>
      <c r="E45" s="73">
        <f t="shared" si="50"/>
        <v>8210</v>
      </c>
      <c r="F45" s="81">
        <f t="shared" si="50"/>
        <v>20965</v>
      </c>
      <c r="G45" s="73">
        <f t="shared" si="50"/>
        <v>3124</v>
      </c>
      <c r="H45" s="73">
        <f t="shared" si="50"/>
        <v>4332</v>
      </c>
      <c r="I45" s="73">
        <f t="shared" si="50"/>
        <v>2641</v>
      </c>
      <c r="J45" s="73">
        <f t="shared" si="50"/>
        <v>6258</v>
      </c>
      <c r="K45" s="81">
        <f t="shared" si="50"/>
        <v>16355</v>
      </c>
      <c r="L45" s="73">
        <f t="shared" si="50"/>
        <v>0</v>
      </c>
      <c r="M45" s="73">
        <f t="shared" si="50"/>
        <v>0</v>
      </c>
      <c r="N45" s="73">
        <f t="shared" si="50"/>
        <v>0</v>
      </c>
      <c r="O45" s="73">
        <f t="shared" si="50"/>
        <v>0</v>
      </c>
      <c r="P45" s="81">
        <f t="shared" si="50"/>
        <v>0</v>
      </c>
      <c r="Q45" s="73">
        <f t="shared" si="50"/>
        <v>4499</v>
      </c>
      <c r="R45" s="73">
        <f t="shared" si="50"/>
        <v>7003</v>
      </c>
      <c r="S45" s="73">
        <f t="shared" si="50"/>
        <v>11350</v>
      </c>
      <c r="T45" s="73">
        <f t="shared" si="50"/>
        <v>14468</v>
      </c>
      <c r="U45" s="73">
        <f t="shared" si="50"/>
        <v>37320</v>
      </c>
      <c r="V45" s="2" t="s">
        <v>114</v>
      </c>
    </row>
    <row r="46" ht="15.0" customHeight="1">
      <c r="A46" s="74" t="s">
        <v>83</v>
      </c>
      <c r="B46" s="75">
        <v>80.0</v>
      </c>
      <c r="C46" s="75">
        <v>235.0</v>
      </c>
      <c r="D46" s="75">
        <v>875.0</v>
      </c>
      <c r="E46" s="75">
        <v>500.0</v>
      </c>
      <c r="F46" s="76">
        <f t="shared" ref="F46:F63" si="52">SUM(B46:E46)</f>
        <v>1690</v>
      </c>
      <c r="G46" s="75"/>
      <c r="H46" s="75">
        <v>335.0</v>
      </c>
      <c r="I46" s="75">
        <v>255.0</v>
      </c>
      <c r="J46" s="75">
        <v>90.0</v>
      </c>
      <c r="K46" s="76">
        <f t="shared" ref="K46:K63" si="53">SUM(G46:J46)</f>
        <v>680</v>
      </c>
      <c r="L46" s="75"/>
      <c r="M46" s="75"/>
      <c r="N46" s="75"/>
      <c r="O46" s="75"/>
      <c r="P46" s="76">
        <f t="shared" ref="P46:P63" si="54">SUM(L46:O46)</f>
        <v>0</v>
      </c>
      <c r="Q46" s="75">
        <f t="shared" ref="Q46:T46" si="51">SUM(B46,G46,L46)</f>
        <v>80</v>
      </c>
      <c r="R46" s="75">
        <f t="shared" si="51"/>
        <v>570</v>
      </c>
      <c r="S46" s="75">
        <f t="shared" si="51"/>
        <v>1130</v>
      </c>
      <c r="T46" s="75">
        <f t="shared" si="51"/>
        <v>590</v>
      </c>
      <c r="U46" s="76">
        <f t="shared" ref="U46:U63" si="56">SUM(Q46:T46)</f>
        <v>2370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3.0</v>
      </c>
      <c r="C49" s="77">
        <v>379.0</v>
      </c>
      <c r="D49" s="77">
        <v>516.0</v>
      </c>
      <c r="E49" s="77"/>
      <c r="F49" s="76">
        <f t="shared" si="52"/>
        <v>898</v>
      </c>
      <c r="G49" s="77"/>
      <c r="H49" s="77"/>
      <c r="I49" s="77">
        <v>117.0</v>
      </c>
      <c r="J49" s="77"/>
      <c r="K49" s="76">
        <f t="shared" si="53"/>
        <v>117</v>
      </c>
      <c r="L49" s="77"/>
      <c r="M49" s="77"/>
      <c r="N49" s="77"/>
      <c r="O49" s="77"/>
      <c r="P49" s="76">
        <f t="shared" si="54"/>
        <v>0</v>
      </c>
      <c r="Q49" s="75">
        <f t="shared" ref="Q49:T49" si="58">SUM(B49,G49,L49)</f>
        <v>3</v>
      </c>
      <c r="R49" s="75">
        <f t="shared" si="58"/>
        <v>379</v>
      </c>
      <c r="S49" s="75">
        <f t="shared" si="58"/>
        <v>633</v>
      </c>
      <c r="T49" s="75">
        <f t="shared" si="58"/>
        <v>0</v>
      </c>
      <c r="U49" s="78">
        <f t="shared" si="56"/>
        <v>1015</v>
      </c>
      <c r="V49" s="2"/>
    </row>
    <row r="50" ht="15.0" customHeight="1">
      <c r="A50" s="74" t="s">
        <v>87</v>
      </c>
      <c r="B50" s="77">
        <v>62.0</v>
      </c>
      <c r="C50" s="77">
        <v>214.0</v>
      </c>
      <c r="D50" s="77">
        <v>1450.0</v>
      </c>
      <c r="E50" s="77">
        <v>2142.0</v>
      </c>
      <c r="F50" s="76">
        <f t="shared" si="52"/>
        <v>3868</v>
      </c>
      <c r="G50" s="77"/>
      <c r="H50" s="77"/>
      <c r="I50" s="77">
        <v>574.0</v>
      </c>
      <c r="J50" s="77">
        <v>1288.0</v>
      </c>
      <c r="K50" s="76">
        <f t="shared" si="53"/>
        <v>1862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62</v>
      </c>
      <c r="R50" s="75">
        <f t="shared" si="59"/>
        <v>214</v>
      </c>
      <c r="S50" s="75">
        <f t="shared" si="59"/>
        <v>2024</v>
      </c>
      <c r="T50" s="75">
        <f t="shared" si="59"/>
        <v>3430</v>
      </c>
      <c r="U50" s="78">
        <f t="shared" si="56"/>
        <v>5730</v>
      </c>
      <c r="V50" s="2"/>
    </row>
    <row r="51" ht="15.0" customHeight="1">
      <c r="A51" s="74" t="s">
        <v>88</v>
      </c>
      <c r="B51" s="77">
        <v>10.0</v>
      </c>
      <c r="C51" s="77">
        <v>98.0</v>
      </c>
      <c r="D51" s="77">
        <v>2.0</v>
      </c>
      <c r="E51" s="77"/>
      <c r="F51" s="76">
        <f t="shared" si="52"/>
        <v>110</v>
      </c>
      <c r="G51" s="77">
        <v>7.0</v>
      </c>
      <c r="H51" s="77">
        <v>121.0</v>
      </c>
      <c r="I51" s="77">
        <v>5.0</v>
      </c>
      <c r="J51" s="77">
        <v>3.0</v>
      </c>
      <c r="K51" s="76">
        <f t="shared" si="53"/>
        <v>136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17</v>
      </c>
      <c r="R51" s="75">
        <f t="shared" si="60"/>
        <v>219</v>
      </c>
      <c r="S51" s="75">
        <f t="shared" si="60"/>
        <v>7</v>
      </c>
      <c r="T51" s="75">
        <f t="shared" si="60"/>
        <v>3</v>
      </c>
      <c r="U51" s="78">
        <f t="shared" si="56"/>
        <v>246</v>
      </c>
      <c r="V51" s="2"/>
    </row>
    <row r="52" ht="15.0" customHeight="1">
      <c r="A52" s="83" t="s">
        <v>89</v>
      </c>
      <c r="B52" s="84"/>
      <c r="C52" s="84">
        <v>242.0</v>
      </c>
      <c r="D52" s="84">
        <v>70.0</v>
      </c>
      <c r="E52" s="84"/>
      <c r="F52" s="85">
        <f t="shared" si="52"/>
        <v>312</v>
      </c>
      <c r="G52" s="84"/>
      <c r="H52" s="84">
        <v>161.0</v>
      </c>
      <c r="I52" s="84">
        <v>53.0</v>
      </c>
      <c r="J52" s="84"/>
      <c r="K52" s="85">
        <f t="shared" si="53"/>
        <v>214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0</v>
      </c>
      <c r="R52" s="86">
        <f t="shared" si="61"/>
        <v>403</v>
      </c>
      <c r="S52" s="86">
        <f t="shared" si="61"/>
        <v>123</v>
      </c>
      <c r="T52" s="86">
        <f t="shared" si="61"/>
        <v>0</v>
      </c>
      <c r="U52" s="87">
        <f t="shared" si="56"/>
        <v>526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3.0</v>
      </c>
      <c r="C53" s="77">
        <v>2.0</v>
      </c>
      <c r="D53" s="77">
        <v>11.0</v>
      </c>
      <c r="E53" s="77">
        <v>5.0</v>
      </c>
      <c r="F53" s="76">
        <f t="shared" si="52"/>
        <v>21</v>
      </c>
      <c r="G53" s="77"/>
      <c r="H53" s="77">
        <v>2.0</v>
      </c>
      <c r="I53" s="77">
        <v>7.0</v>
      </c>
      <c r="J53" s="77">
        <v>3.0</v>
      </c>
      <c r="K53" s="76">
        <f t="shared" si="53"/>
        <v>12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3</v>
      </c>
      <c r="R53" s="75">
        <f t="shared" si="62"/>
        <v>4</v>
      </c>
      <c r="S53" s="75">
        <f t="shared" si="62"/>
        <v>18</v>
      </c>
      <c r="T53" s="75">
        <f t="shared" si="62"/>
        <v>8</v>
      </c>
      <c r="U53" s="78">
        <f t="shared" si="56"/>
        <v>33</v>
      </c>
      <c r="V53" s="2"/>
    </row>
    <row r="54" ht="15.0" customHeight="1">
      <c r="A54" s="74" t="s">
        <v>91</v>
      </c>
      <c r="B54" s="77"/>
      <c r="C54" s="77"/>
      <c r="D54" s="77">
        <v>1259.0</v>
      </c>
      <c r="E54" s="77">
        <v>478.0</v>
      </c>
      <c r="F54" s="76">
        <f t="shared" si="52"/>
        <v>1737</v>
      </c>
      <c r="G54" s="77"/>
      <c r="H54" s="77">
        <v>843.0</v>
      </c>
      <c r="I54" s="77">
        <v>260.0</v>
      </c>
      <c r="J54" s="77"/>
      <c r="K54" s="76">
        <f t="shared" si="53"/>
        <v>1103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0</v>
      </c>
      <c r="R54" s="75">
        <f t="shared" si="63"/>
        <v>843</v>
      </c>
      <c r="S54" s="75">
        <f t="shared" si="63"/>
        <v>1519</v>
      </c>
      <c r="T54" s="75">
        <f t="shared" si="63"/>
        <v>478</v>
      </c>
      <c r="U54" s="78">
        <f t="shared" si="56"/>
        <v>2840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/>
      <c r="C56" s="77"/>
      <c r="D56" s="77">
        <v>149.0</v>
      </c>
      <c r="E56" s="77">
        <v>321.0</v>
      </c>
      <c r="F56" s="76">
        <f t="shared" si="52"/>
        <v>470</v>
      </c>
      <c r="G56" s="77"/>
      <c r="H56" s="77"/>
      <c r="I56" s="77">
        <v>226.0</v>
      </c>
      <c r="J56" s="77">
        <v>536.0</v>
      </c>
      <c r="K56" s="76">
        <f t="shared" si="53"/>
        <v>762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0</v>
      </c>
      <c r="R56" s="75">
        <f t="shared" si="65"/>
        <v>0</v>
      </c>
      <c r="S56" s="75">
        <f t="shared" si="65"/>
        <v>375</v>
      </c>
      <c r="T56" s="75">
        <f t="shared" si="65"/>
        <v>857</v>
      </c>
      <c r="U56" s="91">
        <f t="shared" si="56"/>
        <v>1232</v>
      </c>
      <c r="V56" s="2"/>
    </row>
    <row r="57" ht="15.0" customHeight="1">
      <c r="A57" s="74" t="s">
        <v>94</v>
      </c>
      <c r="B57" s="77"/>
      <c r="C57" s="77">
        <v>519.0</v>
      </c>
      <c r="D57" s="77">
        <v>2879.0</v>
      </c>
      <c r="E57" s="2">
        <v>1179.0</v>
      </c>
      <c r="F57" s="76">
        <f t="shared" si="52"/>
        <v>4577</v>
      </c>
      <c r="G57" s="77"/>
      <c r="H57" s="77"/>
      <c r="I57" s="2"/>
      <c r="J57" s="75"/>
      <c r="K57" s="76">
        <f t="shared" si="53"/>
        <v>0</v>
      </c>
      <c r="L57" s="77"/>
      <c r="M57" s="77"/>
      <c r="N57" s="77"/>
      <c r="O57" s="77"/>
      <c r="P57" s="76">
        <f t="shared" si="54"/>
        <v>0</v>
      </c>
      <c r="Q57" s="75">
        <f t="shared" ref="Q57:T57" si="66">SUM(B57,G57,L57)</f>
        <v>0</v>
      </c>
      <c r="R57" s="75">
        <f t="shared" si="66"/>
        <v>519</v>
      </c>
      <c r="S57" s="75">
        <f t="shared" si="66"/>
        <v>2879</v>
      </c>
      <c r="T57" s="75">
        <f t="shared" si="66"/>
        <v>1179</v>
      </c>
      <c r="U57" s="91">
        <f t="shared" si="56"/>
        <v>4577</v>
      </c>
      <c r="V57" s="2"/>
    </row>
    <row r="58" ht="15.0" customHeight="1">
      <c r="A58" s="74" t="s">
        <v>95</v>
      </c>
      <c r="B58" s="77">
        <v>243.0</v>
      </c>
      <c r="C58" s="77">
        <v>68.0</v>
      </c>
      <c r="D58" s="77">
        <v>121.0</v>
      </c>
      <c r="E58" s="77">
        <v>20.0</v>
      </c>
      <c r="F58" s="76">
        <f t="shared" si="52"/>
        <v>452</v>
      </c>
      <c r="G58" s="77">
        <v>12.0</v>
      </c>
      <c r="H58" s="77">
        <v>16.0</v>
      </c>
      <c r="I58" s="77">
        <v>158.0</v>
      </c>
      <c r="J58" s="77">
        <v>111.0</v>
      </c>
      <c r="K58" s="76">
        <f t="shared" si="53"/>
        <v>297</v>
      </c>
      <c r="L58" s="77"/>
      <c r="M58" s="77"/>
      <c r="N58" s="77"/>
      <c r="O58" s="77"/>
      <c r="P58" s="76">
        <f t="shared" si="54"/>
        <v>0</v>
      </c>
      <c r="Q58" s="75">
        <f t="shared" ref="Q58:T58" si="67">SUM(B58,G58,L58)</f>
        <v>255</v>
      </c>
      <c r="R58" s="75">
        <f t="shared" si="67"/>
        <v>84</v>
      </c>
      <c r="S58" s="75">
        <f t="shared" si="67"/>
        <v>279</v>
      </c>
      <c r="T58" s="75">
        <f t="shared" si="67"/>
        <v>131</v>
      </c>
      <c r="U58" s="91">
        <f t="shared" si="56"/>
        <v>749</v>
      </c>
      <c r="V58" s="2"/>
    </row>
    <row r="59" ht="15.0" customHeight="1">
      <c r="A59" s="74" t="s">
        <v>96</v>
      </c>
      <c r="B59" s="77"/>
      <c r="C59" s="77"/>
      <c r="D59" s="77">
        <v>60.0</v>
      </c>
      <c r="E59" s="77">
        <v>452.0</v>
      </c>
      <c r="F59" s="76">
        <f t="shared" si="52"/>
        <v>512</v>
      </c>
      <c r="G59" s="82"/>
      <c r="H59" s="82"/>
      <c r="I59" s="82">
        <v>581.0</v>
      </c>
      <c r="J59" s="77">
        <v>499.0</v>
      </c>
      <c r="K59" s="76">
        <f t="shared" si="53"/>
        <v>1080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0</v>
      </c>
      <c r="R59" s="75">
        <f t="shared" si="68"/>
        <v>0</v>
      </c>
      <c r="S59" s="75">
        <f t="shared" si="68"/>
        <v>641</v>
      </c>
      <c r="T59" s="75">
        <f t="shared" si="68"/>
        <v>951</v>
      </c>
      <c r="U59" s="91">
        <f t="shared" si="56"/>
        <v>1592</v>
      </c>
      <c r="V59" s="2"/>
    </row>
    <row r="60" ht="15.0" customHeight="1">
      <c r="A60" s="74" t="s">
        <v>17</v>
      </c>
      <c r="B60" s="77">
        <v>49.0</v>
      </c>
      <c r="C60" s="77">
        <v>140.0</v>
      </c>
      <c r="D60" s="77">
        <v>756.0</v>
      </c>
      <c r="E60" s="77">
        <v>1008.0</v>
      </c>
      <c r="F60" s="76">
        <f t="shared" si="52"/>
        <v>1953</v>
      </c>
      <c r="G60" s="77"/>
      <c r="H60" s="77">
        <v>403.0</v>
      </c>
      <c r="I60" s="77"/>
      <c r="J60" s="77">
        <v>600.0</v>
      </c>
      <c r="K60" s="76">
        <f t="shared" si="53"/>
        <v>1003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49</v>
      </c>
      <c r="R60" s="75">
        <f t="shared" si="69"/>
        <v>543</v>
      </c>
      <c r="S60" s="75">
        <f t="shared" si="69"/>
        <v>756</v>
      </c>
      <c r="T60" s="75">
        <f t="shared" si="69"/>
        <v>1608</v>
      </c>
      <c r="U60" s="78">
        <f t="shared" si="56"/>
        <v>2956</v>
      </c>
      <c r="V60" s="2"/>
    </row>
    <row r="61" ht="15.0" customHeight="1">
      <c r="A61" s="74" t="s">
        <v>78</v>
      </c>
      <c r="B61" s="80"/>
      <c r="C61" s="80"/>
      <c r="D61" s="80">
        <v>334.0</v>
      </c>
      <c r="E61" s="77">
        <v>856.0</v>
      </c>
      <c r="F61" s="76">
        <f t="shared" si="52"/>
        <v>1190</v>
      </c>
      <c r="G61" s="77"/>
      <c r="H61" s="77">
        <v>531.0</v>
      </c>
      <c r="I61" s="77"/>
      <c r="J61" s="77">
        <v>2468.0</v>
      </c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0</v>
      </c>
      <c r="R61" s="75">
        <f t="shared" si="70"/>
        <v>531</v>
      </c>
      <c r="S61" s="75">
        <f t="shared" si="70"/>
        <v>334</v>
      </c>
      <c r="T61" s="75">
        <f t="shared" si="70"/>
        <v>3324</v>
      </c>
      <c r="U61" s="78">
        <f t="shared" si="56"/>
        <v>4189</v>
      </c>
      <c r="V61" s="2"/>
    </row>
    <row r="62" ht="15.0" customHeight="1">
      <c r="A62" s="74" t="s">
        <v>97</v>
      </c>
      <c r="B62" s="77"/>
      <c r="C62" s="77"/>
      <c r="D62" s="77">
        <v>158.0</v>
      </c>
      <c r="E62" s="77">
        <v>1044.0</v>
      </c>
      <c r="F62" s="76">
        <f t="shared" si="52"/>
        <v>1202</v>
      </c>
      <c r="G62" s="77"/>
      <c r="H62" s="77">
        <v>60.0</v>
      </c>
      <c r="I62" s="77">
        <v>60.0</v>
      </c>
      <c r="J62" s="77">
        <v>250.0</v>
      </c>
      <c r="K62" s="76">
        <f t="shared" si="53"/>
        <v>370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0</v>
      </c>
      <c r="R62" s="75">
        <f t="shared" si="71"/>
        <v>60</v>
      </c>
      <c r="S62" s="75">
        <f t="shared" si="71"/>
        <v>218</v>
      </c>
      <c r="T62" s="75">
        <f t="shared" si="71"/>
        <v>1294</v>
      </c>
      <c r="U62" s="78">
        <f t="shared" si="56"/>
        <v>1572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3">SUM(C65:C78)</f>
        <v>2705</v>
      </c>
      <c r="D64" s="73">
        <f t="shared" si="73"/>
        <v>0</v>
      </c>
      <c r="E64" s="73">
        <f t="shared" si="73"/>
        <v>0</v>
      </c>
      <c r="F64" s="73">
        <f t="shared" si="73"/>
        <v>2705</v>
      </c>
      <c r="G64" s="73">
        <f t="shared" si="73"/>
        <v>0</v>
      </c>
      <c r="H64" s="73">
        <f t="shared" si="73"/>
        <v>1875</v>
      </c>
      <c r="I64" s="73">
        <f t="shared" si="73"/>
        <v>0</v>
      </c>
      <c r="J64" s="73">
        <f t="shared" si="73"/>
        <v>0</v>
      </c>
      <c r="K64" s="73">
        <f t="shared" si="73"/>
        <v>1875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0</v>
      </c>
      <c r="R64" s="73">
        <f t="shared" si="74"/>
        <v>4580</v>
      </c>
      <c r="S64" s="73">
        <f t="shared" si="74"/>
        <v>0</v>
      </c>
      <c r="T64" s="73">
        <f t="shared" si="74"/>
        <v>0</v>
      </c>
      <c r="U64" s="73">
        <f t="shared" si="74"/>
        <v>4580</v>
      </c>
      <c r="V64" s="2" t="s">
        <v>114</v>
      </c>
    </row>
    <row r="65" ht="15.0" customHeight="1">
      <c r="A65" s="74" t="s">
        <v>100</v>
      </c>
      <c r="B65" s="75"/>
      <c r="C65" s="75">
        <v>108.0</v>
      </c>
      <c r="D65" s="75"/>
      <c r="E65" s="75"/>
      <c r="F65" s="76">
        <f t="shared" ref="F65:F79" si="76">SUM(B65:E65)</f>
        <v>108</v>
      </c>
      <c r="G65" s="75"/>
      <c r="H65" s="75">
        <v>195.0</v>
      </c>
      <c r="I65" s="75"/>
      <c r="J65" s="75"/>
      <c r="K65" s="76">
        <f t="shared" ref="K65:K79" si="77">SUM(G65:J65)</f>
        <v>195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0</v>
      </c>
      <c r="R65" s="75">
        <f t="shared" si="75"/>
        <v>303</v>
      </c>
      <c r="S65" s="75">
        <f t="shared" si="75"/>
        <v>0</v>
      </c>
      <c r="T65" s="75">
        <f t="shared" si="75"/>
        <v>0</v>
      </c>
      <c r="U65" s="76">
        <f t="shared" ref="U65:U79" si="80">SUM(Q65:T65)</f>
        <v>303</v>
      </c>
      <c r="V65" s="2"/>
    </row>
    <row r="66" ht="15.0" customHeight="1">
      <c r="A66" s="74" t="s">
        <v>101</v>
      </c>
      <c r="B66" s="77"/>
      <c r="C66" s="77">
        <v>439.0</v>
      </c>
      <c r="D66" s="77"/>
      <c r="E66" s="77"/>
      <c r="F66" s="76">
        <f t="shared" si="76"/>
        <v>439</v>
      </c>
      <c r="G66" s="77"/>
      <c r="H66" s="77">
        <v>70.0</v>
      </c>
      <c r="I66" s="77"/>
      <c r="J66" s="77"/>
      <c r="K66" s="76">
        <f t="shared" si="77"/>
        <v>70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0</v>
      </c>
      <c r="R66" s="75">
        <f t="shared" si="79"/>
        <v>509</v>
      </c>
      <c r="S66" s="75">
        <f t="shared" si="79"/>
        <v>0</v>
      </c>
      <c r="T66" s="75">
        <f t="shared" si="79"/>
        <v>0</v>
      </c>
      <c r="U66" s="76">
        <f t="shared" si="80"/>
        <v>509</v>
      </c>
      <c r="V66" s="2"/>
    </row>
    <row r="67" ht="15.0" customHeight="1">
      <c r="A67" s="74" t="s">
        <v>102</v>
      </c>
      <c r="B67" s="77"/>
      <c r="C67" s="77">
        <v>50.0</v>
      </c>
      <c r="D67" s="77"/>
      <c r="E67" s="77"/>
      <c r="F67" s="76">
        <f t="shared" si="76"/>
        <v>50</v>
      </c>
      <c r="G67" s="77"/>
      <c r="H67" s="77">
        <v>41.0</v>
      </c>
      <c r="I67" s="77"/>
      <c r="J67" s="77"/>
      <c r="K67" s="76">
        <f t="shared" si="77"/>
        <v>41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0</v>
      </c>
      <c r="R67" s="75">
        <f t="shared" si="81"/>
        <v>91</v>
      </c>
      <c r="S67" s="75">
        <f t="shared" si="81"/>
        <v>0</v>
      </c>
      <c r="T67" s="75">
        <f t="shared" si="81"/>
        <v>0</v>
      </c>
      <c r="U67" s="76">
        <f t="shared" si="80"/>
        <v>91</v>
      </c>
      <c r="V67" s="2"/>
    </row>
    <row r="68" ht="15.0" customHeight="1">
      <c r="A68" s="74" t="s">
        <v>103</v>
      </c>
      <c r="B68" s="77"/>
      <c r="C68" s="77">
        <v>58.0</v>
      </c>
      <c r="D68" s="77"/>
      <c r="E68" s="77"/>
      <c r="F68" s="76">
        <f t="shared" si="76"/>
        <v>58</v>
      </c>
      <c r="G68" s="77"/>
      <c r="H68" s="77">
        <v>127.0</v>
      </c>
      <c r="I68" s="77"/>
      <c r="J68" s="77"/>
      <c r="K68" s="76">
        <f t="shared" si="77"/>
        <v>127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0</v>
      </c>
      <c r="R68" s="75">
        <f t="shared" si="82"/>
        <v>185</v>
      </c>
      <c r="S68" s="75">
        <f t="shared" si="82"/>
        <v>0</v>
      </c>
      <c r="T68" s="75">
        <f t="shared" si="82"/>
        <v>0</v>
      </c>
      <c r="U68" s="76">
        <f t="shared" si="80"/>
        <v>185</v>
      </c>
      <c r="V68" s="2"/>
    </row>
    <row r="69" ht="15.0" customHeight="1">
      <c r="A69" s="74" t="s">
        <v>59</v>
      </c>
      <c r="B69" s="77"/>
      <c r="C69" s="77">
        <v>325.0</v>
      </c>
      <c r="D69" s="77"/>
      <c r="E69" s="77"/>
      <c r="F69" s="76">
        <f t="shared" si="76"/>
        <v>325</v>
      </c>
      <c r="G69" s="77"/>
      <c r="H69" s="77">
        <v>324.0</v>
      </c>
      <c r="I69" s="77"/>
      <c r="J69" s="77"/>
      <c r="K69" s="76">
        <f t="shared" si="77"/>
        <v>324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0</v>
      </c>
      <c r="R69" s="75">
        <f t="shared" si="83"/>
        <v>649</v>
      </c>
      <c r="S69" s="75">
        <f t="shared" si="83"/>
        <v>0</v>
      </c>
      <c r="T69" s="75">
        <f t="shared" si="83"/>
        <v>0</v>
      </c>
      <c r="U69" s="76">
        <f t="shared" si="80"/>
        <v>649</v>
      </c>
      <c r="V69" s="2"/>
    </row>
    <row r="70" ht="15.0" customHeight="1">
      <c r="A70" s="74" t="s">
        <v>104</v>
      </c>
      <c r="B70" s="77"/>
      <c r="C70" s="77">
        <v>392.0</v>
      </c>
      <c r="D70" s="77"/>
      <c r="E70" s="77"/>
      <c r="F70" s="76">
        <f t="shared" si="76"/>
        <v>392</v>
      </c>
      <c r="G70" s="77"/>
      <c r="H70" s="77">
        <v>76.0</v>
      </c>
      <c r="I70" s="77"/>
      <c r="J70" s="77"/>
      <c r="K70" s="76">
        <f t="shared" si="77"/>
        <v>76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0</v>
      </c>
      <c r="R70" s="75">
        <f t="shared" si="84"/>
        <v>468</v>
      </c>
      <c r="S70" s="75">
        <f t="shared" si="84"/>
        <v>0</v>
      </c>
      <c r="T70" s="75">
        <f t="shared" si="84"/>
        <v>0</v>
      </c>
      <c r="U70" s="76">
        <f t="shared" si="80"/>
        <v>468</v>
      </c>
      <c r="V70" s="2"/>
    </row>
    <row r="71" ht="15.0" customHeight="1">
      <c r="A71" s="74" t="s">
        <v>105</v>
      </c>
      <c r="B71" s="77"/>
      <c r="C71" s="77">
        <v>243.0</v>
      </c>
      <c r="D71" s="77"/>
      <c r="E71" s="77"/>
      <c r="F71" s="76">
        <f t="shared" si="76"/>
        <v>243</v>
      </c>
      <c r="G71" s="77"/>
      <c r="H71" s="77">
        <v>268.0</v>
      </c>
      <c r="I71" s="77"/>
      <c r="J71" s="77"/>
      <c r="K71" s="76">
        <f t="shared" si="77"/>
        <v>268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0</v>
      </c>
      <c r="R71" s="75">
        <f t="shared" si="85"/>
        <v>511</v>
      </c>
      <c r="S71" s="75">
        <f t="shared" si="85"/>
        <v>0</v>
      </c>
      <c r="T71" s="75">
        <f t="shared" si="85"/>
        <v>0</v>
      </c>
      <c r="U71" s="76">
        <f t="shared" si="80"/>
        <v>511</v>
      </c>
      <c r="V71" s="2"/>
    </row>
    <row r="72" ht="15.0" customHeight="1">
      <c r="A72" s="74" t="s">
        <v>106</v>
      </c>
      <c r="B72" s="90"/>
      <c r="C72" s="90">
        <v>184.0</v>
      </c>
      <c r="D72" s="90"/>
      <c r="E72" s="90"/>
      <c r="F72" s="76">
        <f t="shared" si="76"/>
        <v>184</v>
      </c>
      <c r="G72" s="90"/>
      <c r="H72" s="90">
        <v>4.0</v>
      </c>
      <c r="I72" s="90"/>
      <c r="J72" s="90"/>
      <c r="K72" s="76">
        <f t="shared" si="77"/>
        <v>4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0</v>
      </c>
      <c r="R72" s="75">
        <f t="shared" si="86"/>
        <v>188</v>
      </c>
      <c r="S72" s="75">
        <f t="shared" si="86"/>
        <v>0</v>
      </c>
      <c r="T72" s="75">
        <f t="shared" si="86"/>
        <v>0</v>
      </c>
      <c r="U72" s="76">
        <f t="shared" si="80"/>
        <v>188</v>
      </c>
      <c r="V72" s="2"/>
    </row>
    <row r="73" ht="15.0" customHeight="1">
      <c r="A73" s="74" t="s">
        <v>107</v>
      </c>
      <c r="B73" s="77"/>
      <c r="C73" s="77">
        <v>100.0</v>
      </c>
      <c r="D73" s="77"/>
      <c r="E73" s="77"/>
      <c r="F73" s="76">
        <f t="shared" si="76"/>
        <v>100</v>
      </c>
      <c r="G73" s="77"/>
      <c r="H73" s="77">
        <v>41.0</v>
      </c>
      <c r="I73" s="77"/>
      <c r="J73" s="77"/>
      <c r="K73" s="76">
        <f t="shared" si="77"/>
        <v>41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0</v>
      </c>
      <c r="R73" s="75">
        <f t="shared" si="87"/>
        <v>141</v>
      </c>
      <c r="S73" s="75">
        <f t="shared" si="87"/>
        <v>0</v>
      </c>
      <c r="T73" s="75">
        <f t="shared" si="87"/>
        <v>0</v>
      </c>
      <c r="U73" s="76">
        <f t="shared" si="80"/>
        <v>141</v>
      </c>
      <c r="V73" s="2"/>
    </row>
    <row r="74" ht="15.0" customHeight="1">
      <c r="A74" s="74" t="s">
        <v>108</v>
      </c>
      <c r="B74" s="77"/>
      <c r="C74" s="77">
        <v>264.0</v>
      </c>
      <c r="D74" s="77"/>
      <c r="E74" s="77"/>
      <c r="F74" s="76">
        <f t="shared" si="76"/>
        <v>264</v>
      </c>
      <c r="G74" s="77"/>
      <c r="H74" s="77">
        <v>234.0</v>
      </c>
      <c r="I74" s="77"/>
      <c r="J74" s="77"/>
      <c r="K74" s="76">
        <f t="shared" si="77"/>
        <v>234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0</v>
      </c>
      <c r="R74" s="75">
        <f t="shared" si="88"/>
        <v>498</v>
      </c>
      <c r="S74" s="75">
        <f t="shared" si="88"/>
        <v>0</v>
      </c>
      <c r="T74" s="75">
        <f t="shared" si="88"/>
        <v>0</v>
      </c>
      <c r="U74" s="76">
        <f t="shared" si="80"/>
        <v>498</v>
      </c>
      <c r="V74" s="2"/>
    </row>
    <row r="75" ht="15.0" customHeight="1">
      <c r="A75" s="74" t="s">
        <v>109</v>
      </c>
      <c r="B75" s="77"/>
      <c r="C75" s="77">
        <v>403.0</v>
      </c>
      <c r="D75" s="77"/>
      <c r="E75" s="77"/>
      <c r="F75" s="76">
        <f t="shared" si="76"/>
        <v>403</v>
      </c>
      <c r="G75" s="77"/>
      <c r="H75" s="77">
        <v>14.0</v>
      </c>
      <c r="I75" s="77"/>
      <c r="J75" s="77"/>
      <c r="K75" s="76">
        <f t="shared" si="77"/>
        <v>14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0</v>
      </c>
      <c r="R75" s="75">
        <f t="shared" si="89"/>
        <v>417</v>
      </c>
      <c r="S75" s="75">
        <f t="shared" si="89"/>
        <v>0</v>
      </c>
      <c r="T75" s="75">
        <f t="shared" si="89"/>
        <v>0</v>
      </c>
      <c r="U75" s="76">
        <f t="shared" si="80"/>
        <v>417</v>
      </c>
      <c r="V75" s="2"/>
    </row>
    <row r="76" ht="15.0" customHeight="1">
      <c r="A76" s="74" t="s">
        <v>65</v>
      </c>
      <c r="B76" s="77"/>
      <c r="C76" s="77">
        <v>15.0</v>
      </c>
      <c r="D76" s="77"/>
      <c r="E76" s="77"/>
      <c r="F76" s="76">
        <f t="shared" si="76"/>
        <v>15</v>
      </c>
      <c r="G76" s="77"/>
      <c r="H76" s="77">
        <v>19.0</v>
      </c>
      <c r="I76" s="77"/>
      <c r="J76" s="77"/>
      <c r="K76" s="76">
        <f t="shared" si="77"/>
        <v>19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0</v>
      </c>
      <c r="R76" s="75">
        <f t="shared" si="90"/>
        <v>34</v>
      </c>
      <c r="S76" s="75">
        <f t="shared" si="90"/>
        <v>0</v>
      </c>
      <c r="T76" s="75">
        <f t="shared" si="90"/>
        <v>0</v>
      </c>
      <c r="U76" s="76">
        <f t="shared" si="80"/>
        <v>34</v>
      </c>
      <c r="V76" s="2"/>
    </row>
    <row r="77" ht="15.0" customHeight="1">
      <c r="A77" s="74" t="s">
        <v>110</v>
      </c>
      <c r="B77" s="77"/>
      <c r="C77" s="77">
        <v>80.0</v>
      </c>
      <c r="D77" s="77"/>
      <c r="E77" s="77"/>
      <c r="F77" s="76">
        <f t="shared" si="76"/>
        <v>80</v>
      </c>
      <c r="G77" s="77"/>
      <c r="H77" s="77">
        <v>418.0</v>
      </c>
      <c r="I77" s="77"/>
      <c r="J77" s="77"/>
      <c r="K77" s="76">
        <f t="shared" si="77"/>
        <v>418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0</v>
      </c>
      <c r="R77" s="75">
        <f t="shared" si="91"/>
        <v>498</v>
      </c>
      <c r="S77" s="75">
        <f t="shared" si="91"/>
        <v>0</v>
      </c>
      <c r="T77" s="75">
        <f t="shared" si="91"/>
        <v>0</v>
      </c>
      <c r="U77" s="76">
        <f t="shared" si="80"/>
        <v>498</v>
      </c>
      <c r="V77" s="2"/>
    </row>
    <row r="78" ht="15.0" customHeight="1">
      <c r="A78" s="74" t="s">
        <v>111</v>
      </c>
      <c r="B78" s="77"/>
      <c r="C78" s="77">
        <v>44.0</v>
      </c>
      <c r="D78" s="77"/>
      <c r="E78" s="77"/>
      <c r="F78" s="76">
        <f t="shared" si="76"/>
        <v>44</v>
      </c>
      <c r="G78" s="77"/>
      <c r="H78" s="77">
        <v>44.0</v>
      </c>
      <c r="I78" s="77"/>
      <c r="J78" s="77"/>
      <c r="K78" s="76">
        <f t="shared" si="77"/>
        <v>44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0</v>
      </c>
      <c r="R78" s="75">
        <f t="shared" si="92"/>
        <v>88</v>
      </c>
      <c r="S78" s="75">
        <f t="shared" si="92"/>
        <v>0</v>
      </c>
      <c r="T78" s="75">
        <f t="shared" si="92"/>
        <v>0</v>
      </c>
      <c r="U78" s="76">
        <f t="shared" si="80"/>
        <v>88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21269</v>
      </c>
      <c r="C9" s="70">
        <f t="shared" si="1"/>
        <v>51508</v>
      </c>
      <c r="D9" s="70">
        <f t="shared" si="1"/>
        <v>24660</v>
      </c>
      <c r="E9" s="70">
        <f t="shared" si="1"/>
        <v>13430</v>
      </c>
      <c r="F9" s="71">
        <f t="shared" si="1"/>
        <v>110867</v>
      </c>
      <c r="G9" s="70">
        <f t="shared" si="1"/>
        <v>9321</v>
      </c>
      <c r="H9" s="70">
        <f t="shared" si="1"/>
        <v>8991</v>
      </c>
      <c r="I9" s="70">
        <f t="shared" si="1"/>
        <v>7215</v>
      </c>
      <c r="J9" s="70">
        <f t="shared" si="1"/>
        <v>1736</v>
      </c>
      <c r="K9" s="71">
        <f t="shared" si="1"/>
        <v>27263</v>
      </c>
      <c r="L9" s="70">
        <f t="shared" si="1"/>
        <v>11</v>
      </c>
      <c r="M9" s="70">
        <f t="shared" si="1"/>
        <v>46</v>
      </c>
      <c r="N9" s="70">
        <f t="shared" si="1"/>
        <v>0</v>
      </c>
      <c r="O9" s="70">
        <f t="shared" si="1"/>
        <v>25</v>
      </c>
      <c r="P9" s="71">
        <f t="shared" si="1"/>
        <v>82</v>
      </c>
      <c r="Q9" s="70">
        <f t="shared" si="1"/>
        <v>30601</v>
      </c>
      <c r="R9" s="70">
        <f t="shared" si="1"/>
        <v>60545</v>
      </c>
      <c r="S9" s="70">
        <f t="shared" si="1"/>
        <v>31875</v>
      </c>
      <c r="T9" s="70">
        <f t="shared" si="1"/>
        <v>15191</v>
      </c>
      <c r="U9" s="71">
        <f t="shared" si="1"/>
        <v>138212</v>
      </c>
      <c r="V9" s="2"/>
    </row>
    <row r="10" ht="15.75" customHeight="1">
      <c r="A10" s="72" t="s">
        <v>49</v>
      </c>
      <c r="B10" s="73">
        <f t="shared" ref="B10:U10" si="2">SUM(B11:B16)</f>
        <v>103</v>
      </c>
      <c r="C10" s="73">
        <f t="shared" si="2"/>
        <v>299</v>
      </c>
      <c r="D10" s="73">
        <f t="shared" si="2"/>
        <v>71</v>
      </c>
      <c r="E10" s="73">
        <f t="shared" si="2"/>
        <v>43</v>
      </c>
      <c r="F10" s="73">
        <f t="shared" si="2"/>
        <v>516</v>
      </c>
      <c r="G10" s="73">
        <f t="shared" si="2"/>
        <v>15</v>
      </c>
      <c r="H10" s="73">
        <f t="shared" si="2"/>
        <v>94</v>
      </c>
      <c r="I10" s="73">
        <f t="shared" si="2"/>
        <v>33</v>
      </c>
      <c r="J10" s="73">
        <f t="shared" si="2"/>
        <v>25</v>
      </c>
      <c r="K10" s="73">
        <f t="shared" si="2"/>
        <v>167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118</v>
      </c>
      <c r="R10" s="73">
        <f t="shared" si="2"/>
        <v>393</v>
      </c>
      <c r="S10" s="73">
        <f t="shared" si="2"/>
        <v>104</v>
      </c>
      <c r="T10" s="73">
        <f t="shared" si="2"/>
        <v>68</v>
      </c>
      <c r="U10" s="73">
        <f t="shared" si="2"/>
        <v>683</v>
      </c>
      <c r="V10" s="2" t="s">
        <v>114</v>
      </c>
    </row>
    <row r="11" ht="15.0" customHeight="1">
      <c r="A11" s="74" t="s">
        <v>50</v>
      </c>
      <c r="B11" s="75">
        <v>52.0</v>
      </c>
      <c r="C11" s="75">
        <v>121.0</v>
      </c>
      <c r="D11" s="75">
        <v>10.0</v>
      </c>
      <c r="E11" s="75">
        <v>6.0</v>
      </c>
      <c r="F11" s="76">
        <f t="shared" ref="F11:F16" si="4">SUM(B11:E11)</f>
        <v>189</v>
      </c>
      <c r="G11" s="75">
        <v>2.0</v>
      </c>
      <c r="H11" s="75">
        <v>18.0</v>
      </c>
      <c r="I11" s="75">
        <v>26.0</v>
      </c>
      <c r="J11" s="75">
        <v>7.0</v>
      </c>
      <c r="K11" s="76">
        <f t="shared" ref="K11:K16" si="5">SUM(G11:J11)</f>
        <v>53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54</v>
      </c>
      <c r="R11" s="75">
        <f t="shared" si="3"/>
        <v>139</v>
      </c>
      <c r="S11" s="75">
        <f t="shared" si="3"/>
        <v>36</v>
      </c>
      <c r="T11" s="75">
        <f t="shared" si="3"/>
        <v>13</v>
      </c>
      <c r="U11" s="76">
        <f t="shared" ref="U11:U16" si="8">SUM(Q11:T11)</f>
        <v>242</v>
      </c>
      <c r="V11" s="2"/>
    </row>
    <row r="12" ht="15.0" customHeight="1">
      <c r="A12" s="74" t="s">
        <v>51</v>
      </c>
      <c r="B12" s="77"/>
      <c r="C12" s="77">
        <v>4.0</v>
      </c>
      <c r="D12" s="77">
        <v>12.0</v>
      </c>
      <c r="E12" s="77"/>
      <c r="F12" s="78">
        <f t="shared" si="4"/>
        <v>16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4</v>
      </c>
      <c r="S12" s="77">
        <f t="shared" si="7"/>
        <v>12</v>
      </c>
      <c r="T12" s="77">
        <f t="shared" si="7"/>
        <v>0</v>
      </c>
      <c r="U12" s="78">
        <f t="shared" si="8"/>
        <v>16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>
        <v>156.0</v>
      </c>
      <c r="D14" s="77"/>
      <c r="E14" s="77"/>
      <c r="F14" s="78">
        <f t="shared" si="4"/>
        <v>156</v>
      </c>
      <c r="G14" s="77"/>
      <c r="H14" s="77">
        <v>76.0</v>
      </c>
      <c r="I14" s="77"/>
      <c r="J14" s="77"/>
      <c r="K14" s="78">
        <f t="shared" si="5"/>
        <v>76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232</v>
      </c>
      <c r="S14" s="77">
        <f t="shared" si="10"/>
        <v>0</v>
      </c>
      <c r="T14" s="77">
        <f t="shared" si="10"/>
        <v>0</v>
      </c>
      <c r="U14" s="78">
        <f t="shared" si="8"/>
        <v>232</v>
      </c>
      <c r="V14" s="2"/>
    </row>
    <row r="15" ht="15.0" customHeight="1">
      <c r="A15" s="74" t="s">
        <v>54</v>
      </c>
      <c r="B15" s="77">
        <v>51.0</v>
      </c>
      <c r="C15" s="77">
        <v>18.0</v>
      </c>
      <c r="D15" s="77">
        <v>49.0</v>
      </c>
      <c r="E15" s="77">
        <v>37.0</v>
      </c>
      <c r="F15" s="78">
        <f t="shared" si="4"/>
        <v>155</v>
      </c>
      <c r="G15" s="77">
        <v>13.0</v>
      </c>
      <c r="H15" s="77"/>
      <c r="I15" s="77">
        <v>7.0</v>
      </c>
      <c r="J15" s="77"/>
      <c r="K15" s="78">
        <f t="shared" si="5"/>
        <v>20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64</v>
      </c>
      <c r="R15" s="77">
        <f t="shared" si="11"/>
        <v>18</v>
      </c>
      <c r="S15" s="77">
        <f t="shared" si="11"/>
        <v>56</v>
      </c>
      <c r="T15" s="77">
        <f t="shared" si="11"/>
        <v>37</v>
      </c>
      <c r="U15" s="78">
        <f t="shared" si="8"/>
        <v>175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>
        <v>18.0</v>
      </c>
      <c r="K16" s="78">
        <f t="shared" si="5"/>
        <v>18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18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1725</v>
      </c>
      <c r="C17" s="73">
        <f t="shared" si="13"/>
        <v>13590</v>
      </c>
      <c r="D17" s="73">
        <f t="shared" si="13"/>
        <v>12290</v>
      </c>
      <c r="E17" s="73">
        <f t="shared" si="13"/>
        <v>2195</v>
      </c>
      <c r="F17" s="73">
        <f t="shared" si="13"/>
        <v>29800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1725</v>
      </c>
      <c r="R17" s="73">
        <f>R18+R19+R20+R21+R22+R23+R24+R25+R26+R27+R28</f>
        <v>13590</v>
      </c>
      <c r="S17" s="73">
        <f t="shared" ref="S17:U17" si="14">SUM(S18:S28)</f>
        <v>12290</v>
      </c>
      <c r="T17" s="73">
        <f t="shared" si="14"/>
        <v>2195</v>
      </c>
      <c r="U17" s="73">
        <f t="shared" si="14"/>
        <v>29800</v>
      </c>
      <c r="V17" s="2" t="s">
        <v>114</v>
      </c>
    </row>
    <row r="18" ht="15.0" customHeight="1">
      <c r="A18" s="74" t="s">
        <v>57</v>
      </c>
      <c r="B18" s="75"/>
      <c r="C18" s="75">
        <v>226.0</v>
      </c>
      <c r="D18" s="75">
        <v>369.0</v>
      </c>
      <c r="E18" s="75">
        <v>360.0</v>
      </c>
      <c r="F18" s="76">
        <f t="shared" ref="F18:F28" si="16">SUM(B18:E18)</f>
        <v>955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0</v>
      </c>
      <c r="R18" s="75">
        <f t="shared" si="15"/>
        <v>226</v>
      </c>
      <c r="S18" s="75">
        <f t="shared" si="15"/>
        <v>369</v>
      </c>
      <c r="T18" s="75">
        <f t="shared" si="15"/>
        <v>360</v>
      </c>
      <c r="U18" s="76">
        <f t="shared" ref="U18:U28" si="20">SUM(Q18:T18)</f>
        <v>955</v>
      </c>
      <c r="V18" s="2"/>
    </row>
    <row r="19" ht="15.0" customHeight="1">
      <c r="A19" s="74" t="s">
        <v>58</v>
      </c>
      <c r="B19" s="77">
        <v>30.0</v>
      </c>
      <c r="C19" s="77">
        <v>778.0</v>
      </c>
      <c r="D19" s="75">
        <v>2803.0</v>
      </c>
      <c r="E19" s="75">
        <v>753.0</v>
      </c>
      <c r="F19" s="76">
        <f t="shared" si="16"/>
        <v>4364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30</v>
      </c>
      <c r="R19" s="75">
        <f t="shared" si="19"/>
        <v>778</v>
      </c>
      <c r="S19" s="75">
        <f t="shared" si="19"/>
        <v>2803</v>
      </c>
      <c r="T19" s="75">
        <f t="shared" si="19"/>
        <v>753</v>
      </c>
      <c r="U19" s="78">
        <f t="shared" si="20"/>
        <v>4364</v>
      </c>
      <c r="V19" s="2"/>
    </row>
    <row r="20" ht="15.0" customHeight="1">
      <c r="A20" s="74" t="s">
        <v>59</v>
      </c>
      <c r="B20" s="77"/>
      <c r="C20" s="77">
        <v>162.0</v>
      </c>
      <c r="D20" s="77">
        <v>30.0</v>
      </c>
      <c r="E20" s="77"/>
      <c r="F20" s="76">
        <f t="shared" si="16"/>
        <v>192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162</v>
      </c>
      <c r="S20" s="75">
        <f t="shared" si="21"/>
        <v>30</v>
      </c>
      <c r="T20" s="75">
        <f t="shared" si="21"/>
        <v>0</v>
      </c>
      <c r="U20" s="78">
        <f t="shared" si="20"/>
        <v>192</v>
      </c>
      <c r="V20" s="2"/>
    </row>
    <row r="21" ht="15.0" customHeight="1">
      <c r="A21" s="74" t="s">
        <v>60</v>
      </c>
      <c r="B21" s="77"/>
      <c r="C21" s="77">
        <v>195.0</v>
      </c>
      <c r="D21" s="77">
        <v>139.0</v>
      </c>
      <c r="E21" s="77"/>
      <c r="F21" s="76">
        <f t="shared" si="16"/>
        <v>334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195</v>
      </c>
      <c r="S21" s="75">
        <f t="shared" si="22"/>
        <v>139</v>
      </c>
      <c r="T21" s="75">
        <f t="shared" si="22"/>
        <v>0</v>
      </c>
      <c r="U21" s="78">
        <f t="shared" si="20"/>
        <v>334</v>
      </c>
      <c r="V21" s="2"/>
    </row>
    <row r="22" ht="15.0" customHeight="1">
      <c r="A22" s="74" t="s">
        <v>61</v>
      </c>
      <c r="B22" s="77">
        <v>5.0</v>
      </c>
      <c r="C22" s="77">
        <v>530.0</v>
      </c>
      <c r="D22" s="77">
        <v>309.0</v>
      </c>
      <c r="E22" s="77"/>
      <c r="F22" s="76">
        <f t="shared" si="16"/>
        <v>844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5</v>
      </c>
      <c r="R22" s="75">
        <f t="shared" si="23"/>
        <v>530</v>
      </c>
      <c r="S22" s="75">
        <f t="shared" si="23"/>
        <v>309</v>
      </c>
      <c r="T22" s="75">
        <f t="shared" si="23"/>
        <v>0</v>
      </c>
      <c r="U22" s="78">
        <f t="shared" si="20"/>
        <v>844</v>
      </c>
      <c r="V22" s="2"/>
    </row>
    <row r="23" ht="15.0" customHeight="1">
      <c r="A23" s="74" t="s">
        <v>62</v>
      </c>
      <c r="B23" s="77"/>
      <c r="C23" s="77">
        <v>569.0</v>
      </c>
      <c r="D23" s="77">
        <v>158.0</v>
      </c>
      <c r="E23" s="77"/>
      <c r="F23" s="76">
        <f t="shared" si="16"/>
        <v>727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0</v>
      </c>
      <c r="R23" s="75">
        <f t="shared" si="24"/>
        <v>569</v>
      </c>
      <c r="S23" s="75">
        <f t="shared" si="24"/>
        <v>158</v>
      </c>
      <c r="T23" s="75">
        <f t="shared" si="24"/>
        <v>0</v>
      </c>
      <c r="U23" s="78">
        <f t="shared" si="20"/>
        <v>727</v>
      </c>
      <c r="V23" s="2"/>
    </row>
    <row r="24" ht="15.0" customHeight="1">
      <c r="A24" s="74" t="s">
        <v>63</v>
      </c>
      <c r="B24" s="79"/>
      <c r="C24" s="77">
        <v>511.0</v>
      </c>
      <c r="D24" s="77"/>
      <c r="E24" s="77"/>
      <c r="F24" s="76">
        <f t="shared" si="16"/>
        <v>511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511</v>
      </c>
      <c r="S24" s="75">
        <f t="shared" si="25"/>
        <v>0</v>
      </c>
      <c r="T24" s="75">
        <f t="shared" si="25"/>
        <v>0</v>
      </c>
      <c r="U24" s="78">
        <f t="shared" si="20"/>
        <v>511</v>
      </c>
      <c r="V24" s="2"/>
    </row>
    <row r="25" ht="15.0" customHeight="1">
      <c r="A25" s="74" t="s">
        <v>17</v>
      </c>
      <c r="B25" s="75"/>
      <c r="C25" s="75">
        <v>956.0</v>
      </c>
      <c r="D25" s="77">
        <v>4550.0</v>
      </c>
      <c r="E25" s="77">
        <v>595.0</v>
      </c>
      <c r="F25" s="76">
        <f t="shared" si="16"/>
        <v>6101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956</v>
      </c>
      <c r="S25" s="75">
        <f t="shared" si="26"/>
        <v>4550</v>
      </c>
      <c r="T25" s="75">
        <f t="shared" si="26"/>
        <v>595</v>
      </c>
      <c r="U25" s="76">
        <f t="shared" si="20"/>
        <v>6101</v>
      </c>
      <c r="V25" s="2"/>
    </row>
    <row r="26" ht="15.0" customHeight="1">
      <c r="A26" s="74" t="s">
        <v>64</v>
      </c>
      <c r="B26" s="77">
        <v>955.0</v>
      </c>
      <c r="C26" s="80">
        <v>4677.0</v>
      </c>
      <c r="D26" s="80">
        <v>659.0</v>
      </c>
      <c r="E26" s="75">
        <v>15.0</v>
      </c>
      <c r="F26" s="76">
        <f t="shared" si="16"/>
        <v>6306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955</v>
      </c>
      <c r="R26" s="75">
        <f t="shared" si="27"/>
        <v>4677</v>
      </c>
      <c r="S26" s="75">
        <f t="shared" si="27"/>
        <v>659</v>
      </c>
      <c r="T26" s="75">
        <f t="shared" si="27"/>
        <v>15</v>
      </c>
      <c r="U26" s="78">
        <f t="shared" si="20"/>
        <v>6306</v>
      </c>
      <c r="V26" s="2"/>
    </row>
    <row r="27" ht="15.0" customHeight="1">
      <c r="A27" s="74" t="s">
        <v>65</v>
      </c>
      <c r="B27" s="77">
        <v>735.0</v>
      </c>
      <c r="C27" s="77">
        <v>4886.0</v>
      </c>
      <c r="D27" s="77">
        <v>194.0</v>
      </c>
      <c r="E27" s="77"/>
      <c r="F27" s="76">
        <f t="shared" si="16"/>
        <v>5815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735</v>
      </c>
      <c r="R27" s="75">
        <f t="shared" si="28"/>
        <v>4886</v>
      </c>
      <c r="S27" s="75">
        <f t="shared" si="28"/>
        <v>194</v>
      </c>
      <c r="T27" s="75">
        <f t="shared" si="28"/>
        <v>0</v>
      </c>
      <c r="U27" s="78">
        <f t="shared" si="20"/>
        <v>5815</v>
      </c>
      <c r="V27" s="2"/>
    </row>
    <row r="28" ht="15.75" customHeight="1">
      <c r="A28" s="74" t="s">
        <v>54</v>
      </c>
      <c r="B28" s="77"/>
      <c r="C28" s="77">
        <v>100.0</v>
      </c>
      <c r="D28" s="77">
        <v>3079.0</v>
      </c>
      <c r="E28" s="77">
        <v>472.0</v>
      </c>
      <c r="F28" s="76">
        <f t="shared" si="16"/>
        <v>3651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0</v>
      </c>
      <c r="R28" s="75">
        <f t="shared" si="29"/>
        <v>100</v>
      </c>
      <c r="S28" s="75">
        <f t="shared" si="29"/>
        <v>3079</v>
      </c>
      <c r="T28" s="75">
        <f t="shared" si="29"/>
        <v>472</v>
      </c>
      <c r="U28" s="78">
        <f t="shared" si="20"/>
        <v>3651</v>
      </c>
      <c r="V28" s="2"/>
    </row>
    <row r="29" ht="15.75" customHeight="1">
      <c r="A29" s="72" t="s">
        <v>66</v>
      </c>
      <c r="B29" s="73">
        <f t="shared" ref="B29:U29" si="30">SUM(B30:B44)</f>
        <v>12553</v>
      </c>
      <c r="C29" s="73">
        <f t="shared" si="30"/>
        <v>29159</v>
      </c>
      <c r="D29" s="73">
        <f t="shared" si="30"/>
        <v>5847</v>
      </c>
      <c r="E29" s="73">
        <f t="shared" si="30"/>
        <v>535</v>
      </c>
      <c r="F29" s="81">
        <f t="shared" si="30"/>
        <v>48094</v>
      </c>
      <c r="G29" s="73">
        <f t="shared" si="30"/>
        <v>2882</v>
      </c>
      <c r="H29" s="73">
        <f t="shared" si="30"/>
        <v>2489</v>
      </c>
      <c r="I29" s="73">
        <f t="shared" si="30"/>
        <v>923</v>
      </c>
      <c r="J29" s="73">
        <f t="shared" si="30"/>
        <v>3</v>
      </c>
      <c r="K29" s="81">
        <f t="shared" si="30"/>
        <v>6297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15435</v>
      </c>
      <c r="R29" s="73">
        <f t="shared" si="30"/>
        <v>31694</v>
      </c>
      <c r="S29" s="73">
        <f t="shared" si="30"/>
        <v>6770</v>
      </c>
      <c r="T29" s="73">
        <f t="shared" si="30"/>
        <v>538</v>
      </c>
      <c r="U29" s="81">
        <f t="shared" si="30"/>
        <v>54437</v>
      </c>
      <c r="V29" s="2"/>
    </row>
    <row r="30" ht="15.0" customHeight="1">
      <c r="A30" s="74" t="s">
        <v>67</v>
      </c>
      <c r="B30" s="75">
        <v>742.0</v>
      </c>
      <c r="C30" s="75">
        <v>644.0</v>
      </c>
      <c r="D30" s="75">
        <v>93.0</v>
      </c>
      <c r="E30" s="75"/>
      <c r="F30" s="76">
        <f t="shared" ref="F30:F44" si="32">SUM(B30:E30)</f>
        <v>1479</v>
      </c>
      <c r="G30" s="75">
        <v>819.0</v>
      </c>
      <c r="H30" s="75">
        <v>220.0</v>
      </c>
      <c r="I30" s="75"/>
      <c r="J30" s="75"/>
      <c r="K30" s="76">
        <f t="shared" ref="K30:K44" si="33">SUM(G30:J30)</f>
        <v>1039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1561</v>
      </c>
      <c r="R30" s="75">
        <f t="shared" si="31"/>
        <v>864</v>
      </c>
      <c r="S30" s="75">
        <f t="shared" si="31"/>
        <v>93</v>
      </c>
      <c r="T30" s="75">
        <f t="shared" si="31"/>
        <v>0</v>
      </c>
      <c r="U30" s="76">
        <f t="shared" ref="U30:U44" si="36">SUM(Q30:T30)</f>
        <v>2518</v>
      </c>
      <c r="V30" s="2"/>
    </row>
    <row r="31" ht="15.0" customHeight="1">
      <c r="A31" s="74" t="s">
        <v>68</v>
      </c>
      <c r="B31" s="77">
        <v>465.0</v>
      </c>
      <c r="C31" s="77">
        <v>2611.0</v>
      </c>
      <c r="D31" s="77">
        <v>22.0</v>
      </c>
      <c r="E31" s="77"/>
      <c r="F31" s="76">
        <f t="shared" si="32"/>
        <v>3098</v>
      </c>
      <c r="G31" s="77"/>
      <c r="H31" s="77">
        <v>61.0</v>
      </c>
      <c r="I31" s="77">
        <v>53.0</v>
      </c>
      <c r="J31" s="77"/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465</v>
      </c>
      <c r="R31" s="77">
        <f t="shared" si="35"/>
        <v>2718</v>
      </c>
      <c r="S31" s="77">
        <f t="shared" si="35"/>
        <v>75</v>
      </c>
      <c r="T31" s="77">
        <f t="shared" si="35"/>
        <v>0</v>
      </c>
      <c r="U31" s="78">
        <f t="shared" si="36"/>
        <v>3258</v>
      </c>
      <c r="V31" s="2"/>
    </row>
    <row r="32" ht="15.0" customHeight="1">
      <c r="A32" s="74" t="s">
        <v>69</v>
      </c>
      <c r="B32" s="77">
        <v>1848.0</v>
      </c>
      <c r="C32" s="77">
        <v>2321.0</v>
      </c>
      <c r="D32" s="77"/>
      <c r="E32" s="77"/>
      <c r="F32" s="76">
        <f t="shared" si="32"/>
        <v>4169</v>
      </c>
      <c r="G32" s="77">
        <v>247.0</v>
      </c>
      <c r="H32" s="77">
        <v>352.0</v>
      </c>
      <c r="I32" s="77"/>
      <c r="J32" s="77"/>
      <c r="K32" s="76">
        <f t="shared" si="33"/>
        <v>599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2095</v>
      </c>
      <c r="R32" s="77">
        <f t="shared" si="37"/>
        <v>2673</v>
      </c>
      <c r="S32" s="77">
        <f t="shared" si="37"/>
        <v>0</v>
      </c>
      <c r="T32" s="77">
        <f t="shared" si="37"/>
        <v>0</v>
      </c>
      <c r="U32" s="78">
        <f t="shared" si="36"/>
        <v>4768</v>
      </c>
      <c r="V32" s="2"/>
    </row>
    <row r="33" ht="15.0" customHeight="1">
      <c r="A33" s="74" t="s">
        <v>70</v>
      </c>
      <c r="B33" s="77"/>
      <c r="C33" s="77">
        <v>127.0</v>
      </c>
      <c r="D33" s="77">
        <v>483.0</v>
      </c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127</v>
      </c>
      <c r="S33" s="77">
        <f t="shared" si="38"/>
        <v>483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>
        <v>1099.0</v>
      </c>
      <c r="C34" s="77">
        <v>5058.0</v>
      </c>
      <c r="D34" s="77">
        <v>1510.0</v>
      </c>
      <c r="E34" s="77">
        <v>37.0</v>
      </c>
      <c r="F34" s="76">
        <f t="shared" si="32"/>
        <v>7704</v>
      </c>
      <c r="G34" s="77">
        <v>91.0</v>
      </c>
      <c r="H34" s="77">
        <v>116.0</v>
      </c>
      <c r="I34" s="77">
        <v>43.0</v>
      </c>
      <c r="J34" s="77">
        <v>3.0</v>
      </c>
      <c r="K34" s="76">
        <f t="shared" si="33"/>
        <v>253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1190</v>
      </c>
      <c r="R34" s="77">
        <f t="shared" si="39"/>
        <v>5174</v>
      </c>
      <c r="S34" s="77">
        <f t="shared" si="39"/>
        <v>1553</v>
      </c>
      <c r="T34" s="77">
        <f t="shared" si="39"/>
        <v>40</v>
      </c>
      <c r="U34" s="78">
        <f t="shared" si="36"/>
        <v>7957</v>
      </c>
      <c r="V34" s="2"/>
    </row>
    <row r="35" ht="15.0" customHeight="1">
      <c r="A35" s="74" t="s">
        <v>72</v>
      </c>
      <c r="B35" s="77">
        <v>735.0</v>
      </c>
      <c r="C35" s="77">
        <v>1765.0</v>
      </c>
      <c r="D35" s="77"/>
      <c r="E35" s="77"/>
      <c r="F35" s="76">
        <f t="shared" si="32"/>
        <v>2500</v>
      </c>
      <c r="G35" s="77">
        <v>89.0</v>
      </c>
      <c r="H35" s="77">
        <v>80.0</v>
      </c>
      <c r="I35" s="77"/>
      <c r="J35" s="77"/>
      <c r="K35" s="76">
        <f t="shared" si="33"/>
        <v>169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824</v>
      </c>
      <c r="R35" s="77">
        <f t="shared" si="40"/>
        <v>1845</v>
      </c>
      <c r="S35" s="77">
        <f t="shared" si="40"/>
        <v>0</v>
      </c>
      <c r="T35" s="77">
        <f t="shared" si="40"/>
        <v>0</v>
      </c>
      <c r="U35" s="78">
        <f t="shared" si="36"/>
        <v>2669</v>
      </c>
      <c r="V35" s="2"/>
    </row>
    <row r="36" ht="15.0" customHeight="1">
      <c r="A36" s="74" t="s">
        <v>73</v>
      </c>
      <c r="B36" s="77">
        <v>30.0</v>
      </c>
      <c r="C36" s="77">
        <v>1580.0</v>
      </c>
      <c r="D36" s="77">
        <v>262.0</v>
      </c>
      <c r="E36" s="77"/>
      <c r="F36" s="76">
        <f t="shared" si="32"/>
        <v>1872</v>
      </c>
      <c r="G36" s="77">
        <v>86.0</v>
      </c>
      <c r="H36" s="77">
        <v>13.0</v>
      </c>
      <c r="I36" s="77"/>
      <c r="J36" s="77"/>
      <c r="K36" s="76">
        <f t="shared" si="33"/>
        <v>99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116</v>
      </c>
      <c r="R36" s="77">
        <f t="shared" si="41"/>
        <v>1593</v>
      </c>
      <c r="S36" s="77">
        <f t="shared" si="41"/>
        <v>262</v>
      </c>
      <c r="T36" s="77">
        <f t="shared" si="41"/>
        <v>0</v>
      </c>
      <c r="U36" s="78">
        <f t="shared" si="36"/>
        <v>1971</v>
      </c>
      <c r="V36" s="2"/>
    </row>
    <row r="37" ht="15.0" customHeight="1">
      <c r="A37" s="74" t="s">
        <v>74</v>
      </c>
      <c r="B37" s="77">
        <v>3202.0</v>
      </c>
      <c r="C37" s="77">
        <v>8927.0</v>
      </c>
      <c r="D37" s="77">
        <v>1023.0</v>
      </c>
      <c r="E37" s="77"/>
      <c r="F37" s="76">
        <f t="shared" si="32"/>
        <v>13152</v>
      </c>
      <c r="G37" s="77">
        <v>786.0</v>
      </c>
      <c r="H37" s="77">
        <v>747.0</v>
      </c>
      <c r="I37" s="77">
        <v>567.0</v>
      </c>
      <c r="J37" s="77"/>
      <c r="K37" s="76">
        <f t="shared" si="33"/>
        <v>2100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3988</v>
      </c>
      <c r="R37" s="77">
        <f t="shared" si="42"/>
        <v>9674</v>
      </c>
      <c r="S37" s="77">
        <f t="shared" si="42"/>
        <v>1590</v>
      </c>
      <c r="T37" s="77">
        <f t="shared" si="42"/>
        <v>0</v>
      </c>
      <c r="U37" s="78">
        <f t="shared" si="36"/>
        <v>15252</v>
      </c>
      <c r="V37" s="2"/>
    </row>
    <row r="38" ht="15.0" customHeight="1">
      <c r="A38" s="74" t="s">
        <v>75</v>
      </c>
      <c r="B38" s="77">
        <v>2815.0</v>
      </c>
      <c r="C38" s="77">
        <v>801.0</v>
      </c>
      <c r="D38" s="77"/>
      <c r="E38" s="77"/>
      <c r="F38" s="76">
        <f t="shared" si="32"/>
        <v>3616</v>
      </c>
      <c r="G38" s="77">
        <v>373.0</v>
      </c>
      <c r="H38" s="77">
        <v>88.0</v>
      </c>
      <c r="I38" s="77"/>
      <c r="J38" s="77"/>
      <c r="K38" s="76">
        <f t="shared" si="33"/>
        <v>461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3188</v>
      </c>
      <c r="R38" s="77">
        <f t="shared" si="43"/>
        <v>889</v>
      </c>
      <c r="S38" s="77">
        <f t="shared" si="43"/>
        <v>0</v>
      </c>
      <c r="T38" s="77">
        <f t="shared" si="43"/>
        <v>0</v>
      </c>
      <c r="U38" s="78">
        <f t="shared" si="36"/>
        <v>4077</v>
      </c>
      <c r="V38" s="2"/>
    </row>
    <row r="39" ht="15.0" customHeight="1">
      <c r="A39" s="74" t="s">
        <v>76</v>
      </c>
      <c r="B39" s="77"/>
      <c r="C39" s="77">
        <v>731.0</v>
      </c>
      <c r="D39" s="77">
        <v>546.0</v>
      </c>
      <c r="E39" s="77"/>
      <c r="F39" s="76">
        <f t="shared" si="32"/>
        <v>1277</v>
      </c>
      <c r="G39" s="77"/>
      <c r="H39" s="77">
        <v>131.0</v>
      </c>
      <c r="I39" s="77">
        <v>93.0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862</v>
      </c>
      <c r="S39" s="77">
        <f t="shared" si="44"/>
        <v>639</v>
      </c>
      <c r="T39" s="77">
        <f t="shared" si="44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>
        <v>2.0</v>
      </c>
      <c r="C40" s="77">
        <v>4.0</v>
      </c>
      <c r="D40" s="77"/>
      <c r="E40" s="77"/>
      <c r="F40" s="76">
        <f t="shared" si="32"/>
        <v>6</v>
      </c>
      <c r="G40" s="77">
        <v>4.0</v>
      </c>
      <c r="H40" s="77">
        <v>9.0</v>
      </c>
      <c r="I40" s="77"/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6</v>
      </c>
      <c r="R40" s="77">
        <f t="shared" si="45"/>
        <v>13</v>
      </c>
      <c r="S40" s="77">
        <f t="shared" si="45"/>
        <v>0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>
        <v>582.0</v>
      </c>
      <c r="C41" s="77">
        <v>504.0</v>
      </c>
      <c r="D41" s="77">
        <v>779.0</v>
      </c>
      <c r="E41" s="77">
        <v>498.0</v>
      </c>
      <c r="F41" s="76">
        <f t="shared" si="32"/>
        <v>2363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582</v>
      </c>
      <c r="R41" s="77">
        <f t="shared" si="46"/>
        <v>504</v>
      </c>
      <c r="S41" s="77">
        <f t="shared" si="46"/>
        <v>779</v>
      </c>
      <c r="T41" s="77">
        <f t="shared" si="46"/>
        <v>498</v>
      </c>
      <c r="U41" s="78">
        <f t="shared" si="36"/>
        <v>2363</v>
      </c>
      <c r="V41" s="2"/>
    </row>
    <row r="42" ht="15.0" customHeight="1">
      <c r="A42" s="74" t="s">
        <v>79</v>
      </c>
      <c r="B42" s="77">
        <v>14.0</v>
      </c>
      <c r="C42" s="77">
        <v>145.0</v>
      </c>
      <c r="D42" s="77"/>
      <c r="E42" s="77"/>
      <c r="F42" s="76">
        <f t="shared" si="32"/>
        <v>159</v>
      </c>
      <c r="G42" s="77">
        <v>92.0</v>
      </c>
      <c r="H42" s="77">
        <v>165.0</v>
      </c>
      <c r="I42" s="77"/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106</v>
      </c>
      <c r="R42" s="77">
        <f t="shared" si="47"/>
        <v>310</v>
      </c>
      <c r="S42" s="77">
        <f t="shared" si="47"/>
        <v>0</v>
      </c>
      <c r="T42" s="77">
        <f t="shared" si="47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>
        <v>837.0</v>
      </c>
      <c r="C43" s="77">
        <v>1016.0</v>
      </c>
      <c r="D43" s="77"/>
      <c r="E43" s="77"/>
      <c r="F43" s="76">
        <f t="shared" si="32"/>
        <v>1853</v>
      </c>
      <c r="G43" s="77">
        <v>240.0</v>
      </c>
      <c r="H43" s="77"/>
      <c r="I43" s="77"/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1077</v>
      </c>
      <c r="R43" s="77">
        <f t="shared" si="48"/>
        <v>1016</v>
      </c>
      <c r="S43" s="77">
        <f t="shared" si="48"/>
        <v>0</v>
      </c>
      <c r="T43" s="77">
        <f t="shared" si="48"/>
        <v>0</v>
      </c>
      <c r="U43" s="78">
        <f t="shared" si="36"/>
        <v>2093</v>
      </c>
      <c r="V43" s="2"/>
    </row>
    <row r="44" ht="15.75" customHeight="1">
      <c r="A44" s="74" t="s">
        <v>81</v>
      </c>
      <c r="B44" s="77">
        <v>182.0</v>
      </c>
      <c r="C44" s="77">
        <v>2925.0</v>
      </c>
      <c r="D44" s="77">
        <v>1129.0</v>
      </c>
      <c r="E44" s="77"/>
      <c r="F44" s="76">
        <f t="shared" si="32"/>
        <v>4236</v>
      </c>
      <c r="G44" s="77">
        <v>55.0</v>
      </c>
      <c r="H44" s="77">
        <v>507.0</v>
      </c>
      <c r="I44" s="77">
        <v>167.0</v>
      </c>
      <c r="J44" s="77"/>
      <c r="K44" s="76">
        <f t="shared" si="33"/>
        <v>729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237</v>
      </c>
      <c r="R44" s="77">
        <f t="shared" si="49"/>
        <v>3432</v>
      </c>
      <c r="S44" s="77">
        <f t="shared" si="49"/>
        <v>1296</v>
      </c>
      <c r="T44" s="77">
        <f t="shared" si="49"/>
        <v>0</v>
      </c>
      <c r="U44" s="78">
        <f t="shared" si="36"/>
        <v>4965</v>
      </c>
      <c r="V44" s="2"/>
    </row>
    <row r="45" ht="15.75" customHeight="1">
      <c r="A45" s="72" t="s">
        <v>82</v>
      </c>
      <c r="B45" s="73">
        <f t="shared" ref="B45:U45" si="50">SUM(B46:B63)</f>
        <v>4183</v>
      </c>
      <c r="C45" s="73">
        <f t="shared" si="50"/>
        <v>8460</v>
      </c>
      <c r="D45" s="73">
        <f t="shared" si="50"/>
        <v>6452</v>
      </c>
      <c r="E45" s="73">
        <f t="shared" si="50"/>
        <v>10410</v>
      </c>
      <c r="F45" s="81">
        <f t="shared" si="50"/>
        <v>29505</v>
      </c>
      <c r="G45" s="73">
        <f t="shared" si="50"/>
        <v>4549</v>
      </c>
      <c r="H45" s="73">
        <f t="shared" si="50"/>
        <v>6408</v>
      </c>
      <c r="I45" s="73">
        <f t="shared" si="50"/>
        <v>6259</v>
      </c>
      <c r="J45" s="73">
        <f t="shared" si="50"/>
        <v>1598</v>
      </c>
      <c r="K45" s="81">
        <f t="shared" si="50"/>
        <v>18814</v>
      </c>
      <c r="L45" s="73">
        <f t="shared" si="50"/>
        <v>11</v>
      </c>
      <c r="M45" s="73">
        <f t="shared" si="50"/>
        <v>0</v>
      </c>
      <c r="N45" s="73">
        <f t="shared" si="50"/>
        <v>0</v>
      </c>
      <c r="O45" s="73">
        <f t="shared" si="50"/>
        <v>25</v>
      </c>
      <c r="P45" s="81">
        <f t="shared" si="50"/>
        <v>36</v>
      </c>
      <c r="Q45" s="73">
        <f t="shared" si="50"/>
        <v>8743</v>
      </c>
      <c r="R45" s="73">
        <f t="shared" si="50"/>
        <v>14868</v>
      </c>
      <c r="S45" s="73">
        <f t="shared" si="50"/>
        <v>12711</v>
      </c>
      <c r="T45" s="73">
        <f t="shared" si="50"/>
        <v>12033</v>
      </c>
      <c r="U45" s="73">
        <f t="shared" si="50"/>
        <v>48355</v>
      </c>
      <c r="V45" s="2"/>
    </row>
    <row r="46" ht="15.0" customHeight="1">
      <c r="A46" s="74" t="s">
        <v>83</v>
      </c>
      <c r="B46" s="75">
        <v>235.0</v>
      </c>
      <c r="C46" s="75">
        <v>875.0</v>
      </c>
      <c r="D46" s="75">
        <v>500.0</v>
      </c>
      <c r="E46" s="75">
        <v>430.0</v>
      </c>
      <c r="F46" s="76">
        <f t="shared" ref="F46:F63" si="52">SUM(B46:E46)</f>
        <v>2040</v>
      </c>
      <c r="G46" s="75">
        <v>335.0</v>
      </c>
      <c r="H46" s="75">
        <v>255.0</v>
      </c>
      <c r="I46" s="75">
        <v>90.0</v>
      </c>
      <c r="J46" s="75"/>
      <c r="K46" s="76">
        <f t="shared" ref="K46:K63" si="53">SUM(G46:J46)</f>
        <v>680</v>
      </c>
      <c r="L46" s="75"/>
      <c r="M46" s="75"/>
      <c r="N46" s="75"/>
      <c r="O46" s="75"/>
      <c r="P46" s="76">
        <f t="shared" ref="P46:P63" si="54">SUM(L46:O46)</f>
        <v>0</v>
      </c>
      <c r="Q46" s="75">
        <f t="shared" ref="Q46:T46" si="51">SUM(B46,G46,L46)</f>
        <v>570</v>
      </c>
      <c r="R46" s="75">
        <f t="shared" si="51"/>
        <v>1130</v>
      </c>
      <c r="S46" s="75">
        <f t="shared" si="51"/>
        <v>590</v>
      </c>
      <c r="T46" s="75">
        <f t="shared" si="51"/>
        <v>430</v>
      </c>
      <c r="U46" s="76">
        <f t="shared" ref="U46:U63" si="56">SUM(Q46:T46)</f>
        <v>2720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379.0</v>
      </c>
      <c r="C49" s="77">
        <v>516.0</v>
      </c>
      <c r="D49" s="77">
        <v>389.0</v>
      </c>
      <c r="E49" s="77"/>
      <c r="F49" s="76">
        <f t="shared" si="52"/>
        <v>1284</v>
      </c>
      <c r="G49" s="77"/>
      <c r="H49" s="77">
        <v>117.0</v>
      </c>
      <c r="I49" s="77">
        <v>231.0</v>
      </c>
      <c r="J49" s="77"/>
      <c r="K49" s="76">
        <f t="shared" si="53"/>
        <v>348</v>
      </c>
      <c r="L49" s="77">
        <v>11.0</v>
      </c>
      <c r="M49" s="77"/>
      <c r="N49" s="77"/>
      <c r="O49" s="77"/>
      <c r="P49" s="76">
        <f t="shared" si="54"/>
        <v>11</v>
      </c>
      <c r="Q49" s="75">
        <f t="shared" ref="Q49:T49" si="58">SUM(B49,G49,L49)</f>
        <v>390</v>
      </c>
      <c r="R49" s="75">
        <f t="shared" si="58"/>
        <v>633</v>
      </c>
      <c r="S49" s="75">
        <f t="shared" si="58"/>
        <v>620</v>
      </c>
      <c r="T49" s="75">
        <f t="shared" si="58"/>
        <v>0</v>
      </c>
      <c r="U49" s="78">
        <f t="shared" si="56"/>
        <v>1643</v>
      </c>
      <c r="V49" s="2"/>
    </row>
    <row r="50" ht="15.0" customHeight="1">
      <c r="A50" s="74" t="s">
        <v>87</v>
      </c>
      <c r="B50" s="77">
        <v>1450.0</v>
      </c>
      <c r="C50" s="77">
        <v>1052.0</v>
      </c>
      <c r="D50" s="77">
        <v>524.0</v>
      </c>
      <c r="E50" s="77">
        <v>566.0</v>
      </c>
      <c r="F50" s="76">
        <f t="shared" si="52"/>
        <v>3592</v>
      </c>
      <c r="G50" s="77">
        <v>574.0</v>
      </c>
      <c r="H50" s="77">
        <v>934.0</v>
      </c>
      <c r="I50" s="77">
        <v>223.0</v>
      </c>
      <c r="J50" s="77">
        <v>132.0</v>
      </c>
      <c r="K50" s="76">
        <f t="shared" si="53"/>
        <v>1863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2024</v>
      </c>
      <c r="R50" s="75">
        <f t="shared" si="59"/>
        <v>1986</v>
      </c>
      <c r="S50" s="75">
        <f t="shared" si="59"/>
        <v>747</v>
      </c>
      <c r="T50" s="75">
        <f t="shared" si="59"/>
        <v>698</v>
      </c>
      <c r="U50" s="78">
        <f t="shared" si="56"/>
        <v>5455</v>
      </c>
      <c r="V50" s="2"/>
    </row>
    <row r="51" ht="15.0" customHeight="1">
      <c r="A51" s="74" t="s">
        <v>88</v>
      </c>
      <c r="B51" s="77">
        <v>3.0</v>
      </c>
      <c r="C51" s="77">
        <v>82.0</v>
      </c>
      <c r="D51" s="77"/>
      <c r="E51" s="77"/>
      <c r="F51" s="76">
        <f t="shared" si="52"/>
        <v>85</v>
      </c>
      <c r="G51" s="77">
        <v>7.0</v>
      </c>
      <c r="H51" s="77">
        <v>117.0</v>
      </c>
      <c r="I51" s="77">
        <v>7.0</v>
      </c>
      <c r="J51" s="77"/>
      <c r="K51" s="76">
        <f t="shared" si="53"/>
        <v>131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10</v>
      </c>
      <c r="R51" s="75">
        <f t="shared" si="60"/>
        <v>199</v>
      </c>
      <c r="S51" s="75">
        <f t="shared" si="60"/>
        <v>7</v>
      </c>
      <c r="T51" s="75">
        <f t="shared" si="60"/>
        <v>0</v>
      </c>
      <c r="U51" s="78">
        <f t="shared" si="56"/>
        <v>216</v>
      </c>
      <c r="V51" s="2"/>
    </row>
    <row r="52" ht="15.0" customHeight="1">
      <c r="A52" s="83" t="s">
        <v>89</v>
      </c>
      <c r="B52" s="84">
        <v>14.0</v>
      </c>
      <c r="C52" s="84">
        <v>289.0</v>
      </c>
      <c r="D52" s="84"/>
      <c r="E52" s="84"/>
      <c r="F52" s="85">
        <f t="shared" si="52"/>
        <v>303</v>
      </c>
      <c r="G52" s="84">
        <v>12.0</v>
      </c>
      <c r="H52" s="84">
        <v>211.0</v>
      </c>
      <c r="I52" s="84"/>
      <c r="J52" s="84"/>
      <c r="K52" s="85">
        <f t="shared" si="53"/>
        <v>223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26</v>
      </c>
      <c r="R52" s="86">
        <f t="shared" si="61"/>
        <v>500</v>
      </c>
      <c r="S52" s="86">
        <f t="shared" si="61"/>
        <v>0</v>
      </c>
      <c r="T52" s="86">
        <f t="shared" si="61"/>
        <v>0</v>
      </c>
      <c r="U52" s="87">
        <f t="shared" si="56"/>
        <v>526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7.0</v>
      </c>
      <c r="D53" s="77">
        <v>5.0</v>
      </c>
      <c r="E53" s="77">
        <v>3.0</v>
      </c>
      <c r="F53" s="76">
        <f t="shared" si="52"/>
        <v>17</v>
      </c>
      <c r="G53" s="77">
        <v>1.0</v>
      </c>
      <c r="H53" s="77"/>
      <c r="I53" s="77">
        <v>19.0</v>
      </c>
      <c r="J53" s="77">
        <v>12.0</v>
      </c>
      <c r="K53" s="76">
        <f t="shared" si="53"/>
        <v>32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3</v>
      </c>
      <c r="R53" s="75">
        <f t="shared" si="62"/>
        <v>7</v>
      </c>
      <c r="S53" s="75">
        <f t="shared" si="62"/>
        <v>24</v>
      </c>
      <c r="T53" s="75">
        <f t="shared" si="62"/>
        <v>15</v>
      </c>
      <c r="U53" s="78">
        <f t="shared" si="56"/>
        <v>49</v>
      </c>
      <c r="V53" s="2"/>
    </row>
    <row r="54" ht="15.0" customHeight="1">
      <c r="A54" s="74" t="s">
        <v>91</v>
      </c>
      <c r="B54" s="77"/>
      <c r="C54" s="77"/>
      <c r="D54" s="77">
        <v>1259.0</v>
      </c>
      <c r="E54" s="77">
        <v>478.0</v>
      </c>
      <c r="F54" s="76">
        <f t="shared" si="52"/>
        <v>1737</v>
      </c>
      <c r="G54" s="77"/>
      <c r="H54" s="77">
        <v>843.0</v>
      </c>
      <c r="I54" s="77">
        <v>260.0</v>
      </c>
      <c r="J54" s="77">
        <v>55.0</v>
      </c>
      <c r="K54" s="76">
        <f t="shared" si="53"/>
        <v>1158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0</v>
      </c>
      <c r="R54" s="75">
        <f t="shared" si="63"/>
        <v>843</v>
      </c>
      <c r="S54" s="75">
        <f t="shared" si="63"/>
        <v>1519</v>
      </c>
      <c r="T54" s="75">
        <f t="shared" si="63"/>
        <v>533</v>
      </c>
      <c r="U54" s="78">
        <f t="shared" si="56"/>
        <v>2895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/>
      <c r="C56" s="77">
        <v>339.0</v>
      </c>
      <c r="D56" s="77">
        <v>324.0</v>
      </c>
      <c r="E56" s="77">
        <v>146.0</v>
      </c>
      <c r="F56" s="76">
        <f t="shared" si="52"/>
        <v>809</v>
      </c>
      <c r="G56" s="77"/>
      <c r="H56" s="77">
        <v>604.0</v>
      </c>
      <c r="I56" s="77">
        <v>796.0</v>
      </c>
      <c r="J56" s="77">
        <v>393.0</v>
      </c>
      <c r="K56" s="76">
        <f t="shared" si="53"/>
        <v>1793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0</v>
      </c>
      <c r="R56" s="75">
        <f t="shared" si="65"/>
        <v>943</v>
      </c>
      <c r="S56" s="75">
        <f t="shared" si="65"/>
        <v>1120</v>
      </c>
      <c r="T56" s="75">
        <f t="shared" si="65"/>
        <v>539</v>
      </c>
      <c r="U56" s="91">
        <f t="shared" si="56"/>
        <v>2602</v>
      </c>
      <c r="V56" s="2"/>
    </row>
    <row r="57" ht="15.0" customHeight="1">
      <c r="A57" s="74" t="s">
        <v>94</v>
      </c>
      <c r="B57" s="77">
        <v>519.0</v>
      </c>
      <c r="C57" s="77">
        <v>2879.0</v>
      </c>
      <c r="D57" s="77">
        <v>1179.0</v>
      </c>
      <c r="E57" s="2">
        <v>6428.0</v>
      </c>
      <c r="F57" s="76">
        <f t="shared" si="52"/>
        <v>11005</v>
      </c>
      <c r="G57" s="77"/>
      <c r="H57" s="77"/>
      <c r="I57" s="2"/>
      <c r="J57" s="75">
        <v>15.0</v>
      </c>
      <c r="K57" s="76">
        <f t="shared" si="53"/>
        <v>15</v>
      </c>
      <c r="L57" s="77"/>
      <c r="M57" s="77"/>
      <c r="N57" s="77"/>
      <c r="O57" s="77">
        <v>25.0</v>
      </c>
      <c r="P57" s="76">
        <f t="shared" si="54"/>
        <v>25</v>
      </c>
      <c r="Q57" s="75">
        <f t="shared" ref="Q57:T57" si="66">SUM(B57,G57,L57)</f>
        <v>519</v>
      </c>
      <c r="R57" s="75">
        <f t="shared" si="66"/>
        <v>2879</v>
      </c>
      <c r="S57" s="75">
        <f t="shared" si="66"/>
        <v>1179</v>
      </c>
      <c r="T57" s="75">
        <f t="shared" si="66"/>
        <v>6468</v>
      </c>
      <c r="U57" s="91">
        <f t="shared" si="56"/>
        <v>11045</v>
      </c>
      <c r="V57" s="2"/>
    </row>
    <row r="58" ht="15.0" customHeight="1">
      <c r="A58" s="74" t="s">
        <v>95</v>
      </c>
      <c r="B58" s="77">
        <v>243.0</v>
      </c>
      <c r="C58" s="77">
        <v>68.0</v>
      </c>
      <c r="D58" s="77">
        <v>121.0</v>
      </c>
      <c r="E58" s="77">
        <v>20.0</v>
      </c>
      <c r="F58" s="76">
        <f t="shared" si="52"/>
        <v>452</v>
      </c>
      <c r="G58" s="77">
        <v>12.0</v>
      </c>
      <c r="H58" s="77">
        <v>16.0</v>
      </c>
      <c r="I58" s="77">
        <v>158.0</v>
      </c>
      <c r="J58" s="77">
        <v>111.0</v>
      </c>
      <c r="K58" s="76">
        <f t="shared" si="53"/>
        <v>297</v>
      </c>
      <c r="L58" s="77"/>
      <c r="M58" s="77"/>
      <c r="N58" s="77"/>
      <c r="O58" s="77"/>
      <c r="P58" s="76">
        <f t="shared" si="54"/>
        <v>0</v>
      </c>
      <c r="Q58" s="75">
        <f t="shared" ref="Q58:T58" si="67">SUM(B58,G58,L58)</f>
        <v>255</v>
      </c>
      <c r="R58" s="75">
        <f t="shared" si="67"/>
        <v>84</v>
      </c>
      <c r="S58" s="75">
        <f t="shared" si="67"/>
        <v>279</v>
      </c>
      <c r="T58" s="75">
        <f t="shared" si="67"/>
        <v>131</v>
      </c>
      <c r="U58" s="91">
        <f t="shared" si="56"/>
        <v>749</v>
      </c>
      <c r="V58" s="2"/>
    </row>
    <row r="59" ht="15.0" customHeight="1">
      <c r="A59" s="74" t="s">
        <v>96</v>
      </c>
      <c r="B59" s="77">
        <v>273.0</v>
      </c>
      <c r="C59" s="77">
        <v>489.0</v>
      </c>
      <c r="D59" s="77">
        <v>60.0</v>
      </c>
      <c r="E59" s="77">
        <v>105.0</v>
      </c>
      <c r="F59" s="76">
        <f t="shared" si="52"/>
        <v>927</v>
      </c>
      <c r="G59" s="82">
        <v>100.0</v>
      </c>
      <c r="H59" s="82">
        <v>860.0</v>
      </c>
      <c r="I59" s="82">
        <v>1002.0</v>
      </c>
      <c r="J59" s="77">
        <v>200.0</v>
      </c>
      <c r="K59" s="76">
        <f t="shared" si="53"/>
        <v>2162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373</v>
      </c>
      <c r="R59" s="75">
        <f t="shared" si="68"/>
        <v>1349</v>
      </c>
      <c r="S59" s="75">
        <f t="shared" si="68"/>
        <v>1062</v>
      </c>
      <c r="T59" s="75">
        <f t="shared" si="68"/>
        <v>305</v>
      </c>
      <c r="U59" s="91">
        <f t="shared" si="56"/>
        <v>3089</v>
      </c>
      <c r="V59" s="2"/>
    </row>
    <row r="60" ht="15.0" customHeight="1">
      <c r="A60" s="74" t="s">
        <v>17</v>
      </c>
      <c r="B60" s="77">
        <v>140.0</v>
      </c>
      <c r="C60" s="77">
        <v>756.0</v>
      </c>
      <c r="D60" s="77">
        <v>1008.0</v>
      </c>
      <c r="E60" s="77">
        <v>985.0</v>
      </c>
      <c r="F60" s="76">
        <f t="shared" si="52"/>
        <v>2889</v>
      </c>
      <c r="G60" s="77">
        <v>403.0</v>
      </c>
      <c r="H60" s="77"/>
      <c r="I60" s="77">
        <v>600.0</v>
      </c>
      <c r="J60" s="77">
        <v>20.0</v>
      </c>
      <c r="K60" s="76">
        <f t="shared" si="53"/>
        <v>1023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543</v>
      </c>
      <c r="R60" s="75">
        <f t="shared" si="69"/>
        <v>756</v>
      </c>
      <c r="S60" s="75">
        <f t="shared" si="69"/>
        <v>1608</v>
      </c>
      <c r="T60" s="75">
        <f t="shared" si="69"/>
        <v>1005</v>
      </c>
      <c r="U60" s="78">
        <f t="shared" si="56"/>
        <v>3912</v>
      </c>
      <c r="V60" s="2"/>
    </row>
    <row r="61" ht="15.0" customHeight="1">
      <c r="A61" s="74" t="s">
        <v>78</v>
      </c>
      <c r="B61" s="80"/>
      <c r="C61" s="80">
        <v>334.0</v>
      </c>
      <c r="D61" s="80">
        <v>856.0</v>
      </c>
      <c r="E61" s="77"/>
      <c r="F61" s="76">
        <f t="shared" si="52"/>
        <v>1190</v>
      </c>
      <c r="G61" s="77"/>
      <c r="H61" s="77">
        <v>531.0</v>
      </c>
      <c r="I61" s="77">
        <v>2468.0</v>
      </c>
      <c r="J61" s="77"/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0</v>
      </c>
      <c r="R61" s="75">
        <f t="shared" si="70"/>
        <v>865</v>
      </c>
      <c r="S61" s="75">
        <f t="shared" si="70"/>
        <v>3324</v>
      </c>
      <c r="T61" s="75">
        <f t="shared" si="70"/>
        <v>0</v>
      </c>
      <c r="U61" s="78">
        <f t="shared" si="56"/>
        <v>4189</v>
      </c>
      <c r="V61" s="2"/>
    </row>
    <row r="62" ht="15.0" customHeight="1">
      <c r="A62" s="74" t="s">
        <v>97</v>
      </c>
      <c r="B62" s="77"/>
      <c r="C62" s="77"/>
      <c r="D62" s="77">
        <v>158.0</v>
      </c>
      <c r="E62" s="77">
        <v>1044.0</v>
      </c>
      <c r="F62" s="76">
        <f t="shared" si="52"/>
        <v>1202</v>
      </c>
      <c r="G62" s="77"/>
      <c r="H62" s="77">
        <v>60.0</v>
      </c>
      <c r="I62" s="77">
        <v>60.0</v>
      </c>
      <c r="J62" s="77">
        <v>250.0</v>
      </c>
      <c r="K62" s="76">
        <f t="shared" si="53"/>
        <v>370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0</v>
      </c>
      <c r="R62" s="75">
        <f t="shared" si="71"/>
        <v>60</v>
      </c>
      <c r="S62" s="75">
        <f t="shared" si="71"/>
        <v>218</v>
      </c>
      <c r="T62" s="75">
        <f t="shared" si="71"/>
        <v>1294</v>
      </c>
      <c r="U62" s="78">
        <f t="shared" si="56"/>
        <v>1572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2705</v>
      </c>
      <c r="C64" s="73">
        <f t="shared" ref="C64:K64" si="73">SUM(C65:C78)</f>
        <v>0</v>
      </c>
      <c r="D64" s="73">
        <f t="shared" si="73"/>
        <v>0</v>
      </c>
      <c r="E64" s="73">
        <f t="shared" si="73"/>
        <v>247</v>
      </c>
      <c r="F64" s="73">
        <f t="shared" si="73"/>
        <v>2952</v>
      </c>
      <c r="G64" s="73">
        <f t="shared" si="73"/>
        <v>1875</v>
      </c>
      <c r="H64" s="73">
        <f t="shared" si="73"/>
        <v>0</v>
      </c>
      <c r="I64" s="73">
        <f t="shared" si="73"/>
        <v>0</v>
      </c>
      <c r="J64" s="73">
        <f t="shared" si="73"/>
        <v>110</v>
      </c>
      <c r="K64" s="73">
        <f t="shared" si="73"/>
        <v>1985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4580</v>
      </c>
      <c r="R64" s="73">
        <f t="shared" si="74"/>
        <v>0</v>
      </c>
      <c r="S64" s="73">
        <f t="shared" si="74"/>
        <v>0</v>
      </c>
      <c r="T64" s="73">
        <f t="shared" si="74"/>
        <v>357</v>
      </c>
      <c r="U64" s="73">
        <f t="shared" si="74"/>
        <v>4937</v>
      </c>
      <c r="V64" s="2"/>
    </row>
    <row r="65" ht="15.0" customHeight="1">
      <c r="A65" s="74" t="s">
        <v>100</v>
      </c>
      <c r="B65" s="75">
        <v>108.0</v>
      </c>
      <c r="C65" s="75"/>
      <c r="D65" s="75"/>
      <c r="E65" s="75">
        <v>5.0</v>
      </c>
      <c r="F65" s="76">
        <f t="shared" ref="F65:F79" si="76">SUM(B65:E65)</f>
        <v>113</v>
      </c>
      <c r="G65" s="75">
        <v>195.0</v>
      </c>
      <c r="H65" s="75"/>
      <c r="I65" s="75"/>
      <c r="J65" s="75">
        <v>3.0</v>
      </c>
      <c r="K65" s="76">
        <f t="shared" ref="K65:K79" si="77">SUM(G65:J65)</f>
        <v>198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303</v>
      </c>
      <c r="R65" s="75">
        <f t="shared" si="75"/>
        <v>0</v>
      </c>
      <c r="S65" s="75">
        <f t="shared" si="75"/>
        <v>0</v>
      </c>
      <c r="T65" s="75">
        <f t="shared" si="75"/>
        <v>8</v>
      </c>
      <c r="U65" s="76">
        <f t="shared" ref="U65:U79" si="80">SUM(Q65:T65)</f>
        <v>311</v>
      </c>
      <c r="V65" s="2"/>
    </row>
    <row r="66" ht="15.0" customHeight="1">
      <c r="A66" s="74" t="s">
        <v>101</v>
      </c>
      <c r="B66" s="77">
        <v>439.0</v>
      </c>
      <c r="C66" s="77"/>
      <c r="D66" s="77"/>
      <c r="E66" s="77">
        <v>40.0</v>
      </c>
      <c r="F66" s="76">
        <f t="shared" si="76"/>
        <v>479</v>
      </c>
      <c r="G66" s="77">
        <v>70.0</v>
      </c>
      <c r="H66" s="77"/>
      <c r="I66" s="77"/>
      <c r="J66" s="77">
        <v>5.0</v>
      </c>
      <c r="K66" s="76">
        <f t="shared" si="77"/>
        <v>75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509</v>
      </c>
      <c r="R66" s="75">
        <f t="shared" si="79"/>
        <v>0</v>
      </c>
      <c r="S66" s="75">
        <f t="shared" si="79"/>
        <v>0</v>
      </c>
      <c r="T66" s="75">
        <f t="shared" si="79"/>
        <v>45</v>
      </c>
      <c r="U66" s="76">
        <f t="shared" si="80"/>
        <v>554</v>
      </c>
      <c r="V66" s="2"/>
    </row>
    <row r="67" ht="15.0" customHeight="1">
      <c r="A67" s="74" t="s">
        <v>102</v>
      </c>
      <c r="B67" s="77">
        <v>50.0</v>
      </c>
      <c r="C67" s="77"/>
      <c r="D67" s="77"/>
      <c r="E67" s="77">
        <v>12.0</v>
      </c>
      <c r="F67" s="76">
        <f t="shared" si="76"/>
        <v>62</v>
      </c>
      <c r="G67" s="77">
        <v>41.0</v>
      </c>
      <c r="H67" s="77"/>
      <c r="I67" s="77"/>
      <c r="J67" s="77">
        <v>5.0</v>
      </c>
      <c r="K67" s="76">
        <f t="shared" si="77"/>
        <v>46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91</v>
      </c>
      <c r="R67" s="75">
        <f t="shared" si="81"/>
        <v>0</v>
      </c>
      <c r="S67" s="75">
        <f t="shared" si="81"/>
        <v>0</v>
      </c>
      <c r="T67" s="75">
        <f t="shared" si="81"/>
        <v>17</v>
      </c>
      <c r="U67" s="76">
        <f t="shared" si="80"/>
        <v>108</v>
      </c>
      <c r="V67" s="2"/>
    </row>
    <row r="68" ht="15.0" customHeight="1">
      <c r="A68" s="74" t="s">
        <v>103</v>
      </c>
      <c r="B68" s="77">
        <v>58.0</v>
      </c>
      <c r="C68" s="77"/>
      <c r="D68" s="77"/>
      <c r="E68" s="77">
        <v>2.0</v>
      </c>
      <c r="F68" s="76">
        <f t="shared" si="76"/>
        <v>60</v>
      </c>
      <c r="G68" s="77">
        <v>127.0</v>
      </c>
      <c r="H68" s="77"/>
      <c r="I68" s="77"/>
      <c r="J68" s="77">
        <v>2.0</v>
      </c>
      <c r="K68" s="76">
        <f t="shared" si="77"/>
        <v>129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185</v>
      </c>
      <c r="R68" s="75">
        <f t="shared" si="82"/>
        <v>0</v>
      </c>
      <c r="S68" s="75">
        <f t="shared" si="82"/>
        <v>0</v>
      </c>
      <c r="T68" s="75">
        <f t="shared" si="82"/>
        <v>4</v>
      </c>
      <c r="U68" s="76">
        <f t="shared" si="80"/>
        <v>189</v>
      </c>
      <c r="V68" s="2"/>
    </row>
    <row r="69" ht="15.0" customHeight="1">
      <c r="A69" s="74" t="s">
        <v>59</v>
      </c>
      <c r="B69" s="77">
        <v>325.0</v>
      </c>
      <c r="C69" s="77"/>
      <c r="D69" s="77"/>
      <c r="E69" s="77">
        <v>36.0</v>
      </c>
      <c r="F69" s="76">
        <f t="shared" si="76"/>
        <v>361</v>
      </c>
      <c r="G69" s="77">
        <v>324.0</v>
      </c>
      <c r="H69" s="77"/>
      <c r="I69" s="77"/>
      <c r="J69" s="77">
        <v>11.0</v>
      </c>
      <c r="K69" s="76">
        <f t="shared" si="77"/>
        <v>335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649</v>
      </c>
      <c r="R69" s="75">
        <f t="shared" si="83"/>
        <v>0</v>
      </c>
      <c r="S69" s="75">
        <f t="shared" si="83"/>
        <v>0</v>
      </c>
      <c r="T69" s="75">
        <f t="shared" si="83"/>
        <v>47</v>
      </c>
      <c r="U69" s="76">
        <f t="shared" si="80"/>
        <v>696</v>
      </c>
      <c r="V69" s="2"/>
    </row>
    <row r="70" ht="15.0" customHeight="1">
      <c r="A70" s="74" t="s">
        <v>104</v>
      </c>
      <c r="B70" s="77">
        <v>392.0</v>
      </c>
      <c r="C70" s="77"/>
      <c r="D70" s="77"/>
      <c r="E70" s="77">
        <v>15.0</v>
      </c>
      <c r="F70" s="76">
        <f t="shared" si="76"/>
        <v>407</v>
      </c>
      <c r="G70" s="77">
        <v>76.0</v>
      </c>
      <c r="H70" s="77"/>
      <c r="I70" s="77"/>
      <c r="J70" s="77">
        <v>8.0</v>
      </c>
      <c r="K70" s="76">
        <f t="shared" si="77"/>
        <v>84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468</v>
      </c>
      <c r="R70" s="75">
        <f t="shared" si="84"/>
        <v>0</v>
      </c>
      <c r="S70" s="75">
        <f t="shared" si="84"/>
        <v>0</v>
      </c>
      <c r="T70" s="75">
        <f t="shared" si="84"/>
        <v>23</v>
      </c>
      <c r="U70" s="76">
        <f t="shared" si="80"/>
        <v>491</v>
      </c>
      <c r="V70" s="2"/>
    </row>
    <row r="71" ht="15.0" customHeight="1">
      <c r="A71" s="74" t="s">
        <v>105</v>
      </c>
      <c r="B71" s="77">
        <v>243.0</v>
      </c>
      <c r="C71" s="77"/>
      <c r="D71" s="77"/>
      <c r="E71" s="77">
        <v>61.0</v>
      </c>
      <c r="F71" s="76">
        <f t="shared" si="76"/>
        <v>304</v>
      </c>
      <c r="G71" s="77">
        <v>268.0</v>
      </c>
      <c r="H71" s="77"/>
      <c r="I71" s="77"/>
      <c r="J71" s="77">
        <v>24.0</v>
      </c>
      <c r="K71" s="76">
        <f t="shared" si="77"/>
        <v>292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511</v>
      </c>
      <c r="R71" s="75">
        <f t="shared" si="85"/>
        <v>0</v>
      </c>
      <c r="S71" s="75">
        <f t="shared" si="85"/>
        <v>0</v>
      </c>
      <c r="T71" s="75">
        <f t="shared" si="85"/>
        <v>85</v>
      </c>
      <c r="U71" s="76">
        <f t="shared" si="80"/>
        <v>596</v>
      </c>
      <c r="V71" s="2"/>
    </row>
    <row r="72" ht="15.0" customHeight="1">
      <c r="A72" s="74" t="s">
        <v>106</v>
      </c>
      <c r="B72" s="90">
        <v>184.0</v>
      </c>
      <c r="C72" s="90"/>
      <c r="D72" s="90"/>
      <c r="E72" s="90">
        <v>5.0</v>
      </c>
      <c r="F72" s="76">
        <f t="shared" si="76"/>
        <v>189</v>
      </c>
      <c r="G72" s="90">
        <v>4.0</v>
      </c>
      <c r="H72" s="90"/>
      <c r="I72" s="90"/>
      <c r="J72" s="90">
        <v>15.0</v>
      </c>
      <c r="K72" s="76">
        <f t="shared" si="77"/>
        <v>19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188</v>
      </c>
      <c r="R72" s="75">
        <f t="shared" si="86"/>
        <v>0</v>
      </c>
      <c r="S72" s="75">
        <f t="shared" si="86"/>
        <v>0</v>
      </c>
      <c r="T72" s="75">
        <f t="shared" si="86"/>
        <v>20</v>
      </c>
      <c r="U72" s="76">
        <f t="shared" si="80"/>
        <v>208</v>
      </c>
      <c r="V72" s="2"/>
    </row>
    <row r="73" ht="15.0" customHeight="1">
      <c r="A73" s="74" t="s">
        <v>107</v>
      </c>
      <c r="B73" s="77">
        <v>100.0</v>
      </c>
      <c r="C73" s="77"/>
      <c r="D73" s="77"/>
      <c r="E73" s="77">
        <v>5.0</v>
      </c>
      <c r="F73" s="76">
        <f t="shared" si="76"/>
        <v>105</v>
      </c>
      <c r="G73" s="77">
        <v>41.0</v>
      </c>
      <c r="H73" s="77"/>
      <c r="I73" s="77"/>
      <c r="J73" s="77">
        <v>2.0</v>
      </c>
      <c r="K73" s="76">
        <f t="shared" si="77"/>
        <v>43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141</v>
      </c>
      <c r="R73" s="75">
        <f t="shared" si="87"/>
        <v>0</v>
      </c>
      <c r="S73" s="75">
        <f t="shared" si="87"/>
        <v>0</v>
      </c>
      <c r="T73" s="75">
        <f t="shared" si="87"/>
        <v>7</v>
      </c>
      <c r="U73" s="76">
        <f t="shared" si="80"/>
        <v>148</v>
      </c>
      <c r="V73" s="2"/>
    </row>
    <row r="74" ht="15.0" customHeight="1">
      <c r="A74" s="74" t="s">
        <v>108</v>
      </c>
      <c r="B74" s="77">
        <v>264.0</v>
      </c>
      <c r="C74" s="77"/>
      <c r="D74" s="77"/>
      <c r="E74" s="77">
        <v>28.0</v>
      </c>
      <c r="F74" s="76">
        <f t="shared" si="76"/>
        <v>292</v>
      </c>
      <c r="G74" s="77">
        <v>234.0</v>
      </c>
      <c r="H74" s="77"/>
      <c r="I74" s="77"/>
      <c r="J74" s="77">
        <v>5.0</v>
      </c>
      <c r="K74" s="76">
        <f t="shared" si="77"/>
        <v>239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498</v>
      </c>
      <c r="R74" s="75">
        <f t="shared" si="88"/>
        <v>0</v>
      </c>
      <c r="S74" s="75">
        <f t="shared" si="88"/>
        <v>0</v>
      </c>
      <c r="T74" s="75">
        <f t="shared" si="88"/>
        <v>33</v>
      </c>
      <c r="U74" s="76">
        <f t="shared" si="80"/>
        <v>531</v>
      </c>
      <c r="V74" s="2"/>
    </row>
    <row r="75" ht="15.0" customHeight="1">
      <c r="A75" s="74" t="s">
        <v>109</v>
      </c>
      <c r="B75" s="77">
        <v>403.0</v>
      </c>
      <c r="C75" s="77"/>
      <c r="D75" s="77"/>
      <c r="E75" s="77">
        <v>17.0</v>
      </c>
      <c r="F75" s="76">
        <f t="shared" si="76"/>
        <v>420</v>
      </c>
      <c r="G75" s="77">
        <v>14.0</v>
      </c>
      <c r="H75" s="77"/>
      <c r="I75" s="77"/>
      <c r="J75" s="77">
        <v>2.0</v>
      </c>
      <c r="K75" s="76">
        <f t="shared" si="77"/>
        <v>16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417</v>
      </c>
      <c r="R75" s="75">
        <f t="shared" si="89"/>
        <v>0</v>
      </c>
      <c r="S75" s="75">
        <f t="shared" si="89"/>
        <v>0</v>
      </c>
      <c r="T75" s="75">
        <f t="shared" si="89"/>
        <v>19</v>
      </c>
      <c r="U75" s="76">
        <f t="shared" si="80"/>
        <v>436</v>
      </c>
      <c r="V75" s="2"/>
    </row>
    <row r="76" ht="15.0" customHeight="1">
      <c r="A76" s="74" t="s">
        <v>65</v>
      </c>
      <c r="B76" s="77">
        <v>15.0</v>
      </c>
      <c r="C76" s="77"/>
      <c r="D76" s="77"/>
      <c r="E76" s="77">
        <v>3.0</v>
      </c>
      <c r="F76" s="76">
        <f t="shared" si="76"/>
        <v>18</v>
      </c>
      <c r="G76" s="77">
        <v>19.0</v>
      </c>
      <c r="H76" s="77"/>
      <c r="I76" s="77"/>
      <c r="J76" s="77">
        <v>2.0</v>
      </c>
      <c r="K76" s="76">
        <f t="shared" si="77"/>
        <v>21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34</v>
      </c>
      <c r="R76" s="75">
        <f t="shared" si="90"/>
        <v>0</v>
      </c>
      <c r="S76" s="75">
        <f t="shared" si="90"/>
        <v>0</v>
      </c>
      <c r="T76" s="75">
        <f t="shared" si="90"/>
        <v>5</v>
      </c>
      <c r="U76" s="76">
        <f t="shared" si="80"/>
        <v>39</v>
      </c>
      <c r="V76" s="2"/>
    </row>
    <row r="77" ht="15.0" customHeight="1">
      <c r="A77" s="74" t="s">
        <v>110</v>
      </c>
      <c r="B77" s="77">
        <v>80.0</v>
      </c>
      <c r="C77" s="77"/>
      <c r="D77" s="77"/>
      <c r="E77" s="77">
        <v>16.0</v>
      </c>
      <c r="F77" s="76">
        <f t="shared" si="76"/>
        <v>96</v>
      </c>
      <c r="G77" s="77">
        <v>418.0</v>
      </c>
      <c r="H77" s="77"/>
      <c r="I77" s="77"/>
      <c r="J77" s="77">
        <v>24.0</v>
      </c>
      <c r="K77" s="76">
        <f t="shared" si="77"/>
        <v>442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498</v>
      </c>
      <c r="R77" s="75">
        <f t="shared" si="91"/>
        <v>0</v>
      </c>
      <c r="S77" s="75">
        <f t="shared" si="91"/>
        <v>0</v>
      </c>
      <c r="T77" s="75">
        <f t="shared" si="91"/>
        <v>40</v>
      </c>
      <c r="U77" s="76">
        <f t="shared" si="80"/>
        <v>538</v>
      </c>
      <c r="V77" s="2"/>
    </row>
    <row r="78" ht="15.0" customHeight="1">
      <c r="A78" s="74" t="s">
        <v>111</v>
      </c>
      <c r="B78" s="77">
        <v>44.0</v>
      </c>
      <c r="C78" s="77"/>
      <c r="D78" s="77"/>
      <c r="E78" s="77">
        <v>2.0</v>
      </c>
      <c r="F78" s="76">
        <f t="shared" si="76"/>
        <v>46</v>
      </c>
      <c r="G78" s="77">
        <v>44.0</v>
      </c>
      <c r="H78" s="77"/>
      <c r="I78" s="77"/>
      <c r="J78" s="77">
        <v>2.0</v>
      </c>
      <c r="K78" s="76">
        <f t="shared" si="77"/>
        <v>46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88</v>
      </c>
      <c r="R78" s="75">
        <f t="shared" si="92"/>
        <v>0</v>
      </c>
      <c r="S78" s="75">
        <f t="shared" si="92"/>
        <v>0</v>
      </c>
      <c r="T78" s="75">
        <f t="shared" si="92"/>
        <v>4</v>
      </c>
      <c r="U78" s="76">
        <f t="shared" si="80"/>
        <v>92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31193</v>
      </c>
      <c r="C9" s="70">
        <f t="shared" si="1"/>
        <v>43455</v>
      </c>
      <c r="D9" s="70">
        <f t="shared" si="1"/>
        <v>13175</v>
      </c>
      <c r="E9" s="70">
        <f t="shared" si="1"/>
        <v>11377</v>
      </c>
      <c r="F9" s="71">
        <f t="shared" si="1"/>
        <v>99200</v>
      </c>
      <c r="G9" s="70">
        <f t="shared" si="1"/>
        <v>9323</v>
      </c>
      <c r="H9" s="70">
        <f t="shared" si="1"/>
        <v>8935</v>
      </c>
      <c r="I9" s="70">
        <f t="shared" si="1"/>
        <v>7196</v>
      </c>
      <c r="J9" s="70">
        <f t="shared" si="1"/>
        <v>1750</v>
      </c>
      <c r="K9" s="71">
        <f t="shared" si="1"/>
        <v>27204</v>
      </c>
      <c r="L9" s="70">
        <f t="shared" si="1"/>
        <v>11</v>
      </c>
      <c r="M9" s="70">
        <f t="shared" si="1"/>
        <v>46</v>
      </c>
      <c r="N9" s="70">
        <f t="shared" si="1"/>
        <v>0</v>
      </c>
      <c r="O9" s="70">
        <f t="shared" si="1"/>
        <v>25</v>
      </c>
      <c r="P9" s="71">
        <f t="shared" si="1"/>
        <v>82</v>
      </c>
      <c r="Q9" s="70">
        <f t="shared" si="1"/>
        <v>40527</v>
      </c>
      <c r="R9" s="70">
        <f t="shared" si="1"/>
        <v>52436</v>
      </c>
      <c r="S9" s="70">
        <f t="shared" si="1"/>
        <v>20371</v>
      </c>
      <c r="T9" s="70">
        <f t="shared" si="1"/>
        <v>13152</v>
      </c>
      <c r="U9" s="71">
        <f t="shared" si="1"/>
        <v>126486</v>
      </c>
      <c r="V9" s="2"/>
    </row>
    <row r="10" ht="15.75" customHeight="1">
      <c r="A10" s="72" t="s">
        <v>49</v>
      </c>
      <c r="B10" s="73">
        <f t="shared" ref="B10:U10" si="2">SUM(B11:B16)</f>
        <v>73</v>
      </c>
      <c r="C10" s="73">
        <f t="shared" si="2"/>
        <v>70</v>
      </c>
      <c r="D10" s="73">
        <f t="shared" si="2"/>
        <v>66</v>
      </c>
      <c r="E10" s="73">
        <f t="shared" si="2"/>
        <v>139</v>
      </c>
      <c r="F10" s="73">
        <f t="shared" si="2"/>
        <v>348</v>
      </c>
      <c r="G10" s="73">
        <f t="shared" si="2"/>
        <v>17</v>
      </c>
      <c r="H10" s="73">
        <f t="shared" si="2"/>
        <v>38</v>
      </c>
      <c r="I10" s="73">
        <f t="shared" si="2"/>
        <v>14</v>
      </c>
      <c r="J10" s="73">
        <f t="shared" si="2"/>
        <v>39</v>
      </c>
      <c r="K10" s="73">
        <f t="shared" si="2"/>
        <v>108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90</v>
      </c>
      <c r="R10" s="73">
        <f t="shared" si="2"/>
        <v>108</v>
      </c>
      <c r="S10" s="73">
        <f t="shared" si="2"/>
        <v>80</v>
      </c>
      <c r="T10" s="73">
        <f t="shared" si="2"/>
        <v>178</v>
      </c>
      <c r="U10" s="73">
        <f t="shared" si="2"/>
        <v>456</v>
      </c>
      <c r="V10" s="2" t="s">
        <v>114</v>
      </c>
    </row>
    <row r="11" ht="15.0" customHeight="1">
      <c r="A11" s="74" t="s">
        <v>50</v>
      </c>
      <c r="B11" s="75">
        <v>18.0</v>
      </c>
      <c r="C11" s="75">
        <v>40.0</v>
      </c>
      <c r="D11" s="75">
        <v>6.0</v>
      </c>
      <c r="E11" s="75">
        <v>19.0</v>
      </c>
      <c r="F11" s="76">
        <f t="shared" ref="F11:F16" si="4">SUM(B11:E11)</f>
        <v>83</v>
      </c>
      <c r="G11" s="75">
        <v>4.0</v>
      </c>
      <c r="H11" s="75">
        <v>34.0</v>
      </c>
      <c r="I11" s="75">
        <v>7.0</v>
      </c>
      <c r="J11" s="75">
        <v>21.0</v>
      </c>
      <c r="K11" s="76">
        <f t="shared" ref="K11:K16" si="5">SUM(G11:J11)</f>
        <v>66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22</v>
      </c>
      <c r="R11" s="75">
        <f t="shared" si="3"/>
        <v>74</v>
      </c>
      <c r="S11" s="75">
        <f t="shared" si="3"/>
        <v>13</v>
      </c>
      <c r="T11" s="75">
        <f t="shared" si="3"/>
        <v>40</v>
      </c>
      <c r="U11" s="76">
        <f t="shared" ref="U11:U16" si="8">SUM(Q11:T11)</f>
        <v>149</v>
      </c>
      <c r="V11" s="2"/>
    </row>
    <row r="12" ht="15.0" customHeight="1">
      <c r="A12" s="74" t="s">
        <v>51</v>
      </c>
      <c r="B12" s="77">
        <v>4.0</v>
      </c>
      <c r="C12" s="77">
        <v>12.0</v>
      </c>
      <c r="D12" s="77"/>
      <c r="E12" s="77">
        <v>2.0</v>
      </c>
      <c r="F12" s="78">
        <f t="shared" si="4"/>
        <v>18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4</v>
      </c>
      <c r="R12" s="77">
        <f t="shared" si="7"/>
        <v>12</v>
      </c>
      <c r="S12" s="77">
        <f t="shared" si="7"/>
        <v>0</v>
      </c>
      <c r="T12" s="77">
        <f t="shared" si="7"/>
        <v>2</v>
      </c>
      <c r="U12" s="78">
        <f t="shared" si="8"/>
        <v>18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/>
      <c r="D14" s="77">
        <v>11.0</v>
      </c>
      <c r="E14" s="77">
        <v>81.0</v>
      </c>
      <c r="F14" s="78">
        <f t="shared" si="4"/>
        <v>92</v>
      </c>
      <c r="G14" s="77"/>
      <c r="H14" s="77">
        <v>4.0</v>
      </c>
      <c r="I14" s="77"/>
      <c r="J14" s="77"/>
      <c r="K14" s="78">
        <f t="shared" si="5"/>
        <v>4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4</v>
      </c>
      <c r="S14" s="77">
        <f t="shared" si="10"/>
        <v>11</v>
      </c>
      <c r="T14" s="77">
        <f t="shared" si="10"/>
        <v>81</v>
      </c>
      <c r="U14" s="78">
        <f t="shared" si="8"/>
        <v>96</v>
      </c>
      <c r="V14" s="2"/>
    </row>
    <row r="15" ht="15.0" customHeight="1">
      <c r="A15" s="74" t="s">
        <v>54</v>
      </c>
      <c r="B15" s="77">
        <v>51.0</v>
      </c>
      <c r="C15" s="77">
        <v>18.0</v>
      </c>
      <c r="D15" s="77">
        <v>49.0</v>
      </c>
      <c r="E15" s="77">
        <v>37.0</v>
      </c>
      <c r="F15" s="78">
        <f t="shared" si="4"/>
        <v>155</v>
      </c>
      <c r="G15" s="77">
        <v>13.0</v>
      </c>
      <c r="H15" s="77"/>
      <c r="I15" s="77">
        <v>7.0</v>
      </c>
      <c r="J15" s="77"/>
      <c r="K15" s="78">
        <f t="shared" si="5"/>
        <v>20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64</v>
      </c>
      <c r="R15" s="77">
        <f t="shared" si="11"/>
        <v>18</v>
      </c>
      <c r="S15" s="77">
        <f t="shared" si="11"/>
        <v>56</v>
      </c>
      <c r="T15" s="77">
        <f t="shared" si="11"/>
        <v>37</v>
      </c>
      <c r="U15" s="78">
        <f t="shared" si="8"/>
        <v>175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>
        <v>18.0</v>
      </c>
      <c r="K16" s="78">
        <f t="shared" si="5"/>
        <v>18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18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11679</v>
      </c>
      <c r="C17" s="73">
        <f t="shared" si="13"/>
        <v>5766</v>
      </c>
      <c r="D17" s="73">
        <f t="shared" si="13"/>
        <v>810</v>
      </c>
      <c r="E17" s="73">
        <f t="shared" si="13"/>
        <v>46</v>
      </c>
      <c r="F17" s="73">
        <f t="shared" si="13"/>
        <v>18301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11679</v>
      </c>
      <c r="R17" s="73">
        <f>R18+R19+R20+R21+R22+R23+R24+R25+R26+R27+R28</f>
        <v>5766</v>
      </c>
      <c r="S17" s="73">
        <f t="shared" ref="S17:U17" si="14">SUM(S18:S28)</f>
        <v>810</v>
      </c>
      <c r="T17" s="73">
        <f t="shared" si="14"/>
        <v>46</v>
      </c>
      <c r="U17" s="73">
        <f t="shared" si="14"/>
        <v>18301</v>
      </c>
      <c r="V17" s="2"/>
    </row>
    <row r="18" ht="15.0" customHeight="1">
      <c r="A18" s="74" t="s">
        <v>57</v>
      </c>
      <c r="B18" s="75">
        <v>107.0</v>
      </c>
      <c r="C18" s="75">
        <v>369.0</v>
      </c>
      <c r="D18" s="75">
        <v>360.0</v>
      </c>
      <c r="E18" s="75">
        <v>46.0</v>
      </c>
      <c r="F18" s="76">
        <f t="shared" ref="F18:F28" si="16">SUM(B18:E18)</f>
        <v>882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107</v>
      </c>
      <c r="R18" s="75">
        <f t="shared" si="15"/>
        <v>369</v>
      </c>
      <c r="S18" s="75">
        <f t="shared" si="15"/>
        <v>360</v>
      </c>
      <c r="T18" s="75">
        <f t="shared" si="15"/>
        <v>46</v>
      </c>
      <c r="U18" s="76">
        <f t="shared" ref="U18:U28" si="20">SUM(Q18:T18)</f>
        <v>882</v>
      </c>
      <c r="V18" s="2"/>
    </row>
    <row r="19" ht="15.0" customHeight="1">
      <c r="A19" s="74" t="s">
        <v>58</v>
      </c>
      <c r="B19" s="77">
        <v>932.0</v>
      </c>
      <c r="C19" s="77">
        <v>3054.0</v>
      </c>
      <c r="D19" s="75">
        <v>262.0</v>
      </c>
      <c r="E19" s="75"/>
      <c r="F19" s="76">
        <f t="shared" si="16"/>
        <v>4248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932</v>
      </c>
      <c r="R19" s="75">
        <f t="shared" si="19"/>
        <v>3054</v>
      </c>
      <c r="S19" s="75">
        <f t="shared" si="19"/>
        <v>262</v>
      </c>
      <c r="T19" s="75">
        <f t="shared" si="19"/>
        <v>0</v>
      </c>
      <c r="U19" s="78">
        <f t="shared" si="20"/>
        <v>4248</v>
      </c>
      <c r="V19" s="2"/>
    </row>
    <row r="20" ht="15.0" customHeight="1">
      <c r="A20" s="74" t="s">
        <v>59</v>
      </c>
      <c r="B20" s="77"/>
      <c r="C20" s="77">
        <v>162.0</v>
      </c>
      <c r="D20" s="77">
        <v>30.0</v>
      </c>
      <c r="E20" s="77"/>
      <c r="F20" s="76">
        <f t="shared" si="16"/>
        <v>192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162</v>
      </c>
      <c r="S20" s="75">
        <f t="shared" si="21"/>
        <v>30</v>
      </c>
      <c r="T20" s="75">
        <f t="shared" si="21"/>
        <v>0</v>
      </c>
      <c r="U20" s="78">
        <f t="shared" si="20"/>
        <v>192</v>
      </c>
      <c r="V20" s="2"/>
    </row>
    <row r="21" ht="15.0" customHeight="1">
      <c r="A21" s="74" t="s">
        <v>60</v>
      </c>
      <c r="B21" s="77">
        <v>135.0</v>
      </c>
      <c r="C21" s="77">
        <v>156.0</v>
      </c>
      <c r="D21" s="77"/>
      <c r="E21" s="77"/>
      <c r="F21" s="76">
        <f t="shared" si="16"/>
        <v>291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135</v>
      </c>
      <c r="R21" s="75">
        <f t="shared" si="22"/>
        <v>156</v>
      </c>
      <c r="S21" s="75">
        <f t="shared" si="22"/>
        <v>0</v>
      </c>
      <c r="T21" s="75">
        <f t="shared" si="22"/>
        <v>0</v>
      </c>
      <c r="U21" s="78">
        <f t="shared" si="20"/>
        <v>291</v>
      </c>
      <c r="V21" s="2"/>
    </row>
    <row r="22" ht="15.0" customHeight="1">
      <c r="A22" s="74" t="s">
        <v>61</v>
      </c>
      <c r="B22" s="77">
        <v>81.0</v>
      </c>
      <c r="C22" s="77"/>
      <c r="D22" s="77"/>
      <c r="E22" s="77"/>
      <c r="F22" s="76">
        <f t="shared" si="16"/>
        <v>81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81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81</v>
      </c>
      <c r="V22" s="2"/>
    </row>
    <row r="23" ht="15.0" customHeight="1">
      <c r="A23" s="74" t="s">
        <v>62</v>
      </c>
      <c r="B23" s="77">
        <v>57.0</v>
      </c>
      <c r="C23" s="77">
        <v>511.0</v>
      </c>
      <c r="D23" s="77">
        <v>158.0</v>
      </c>
      <c r="E23" s="77"/>
      <c r="F23" s="76">
        <f t="shared" si="16"/>
        <v>726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57</v>
      </c>
      <c r="R23" s="75">
        <f t="shared" si="24"/>
        <v>511</v>
      </c>
      <c r="S23" s="75">
        <f t="shared" si="24"/>
        <v>158</v>
      </c>
      <c r="T23" s="75">
        <f t="shared" si="24"/>
        <v>0</v>
      </c>
      <c r="U23" s="78">
        <f t="shared" si="20"/>
        <v>726</v>
      </c>
      <c r="V23" s="2"/>
    </row>
    <row r="24" ht="15.0" customHeight="1">
      <c r="A24" s="74" t="s">
        <v>63</v>
      </c>
      <c r="B24" s="79">
        <v>186.0</v>
      </c>
      <c r="C24" s="77"/>
      <c r="D24" s="77"/>
      <c r="E24" s="77"/>
      <c r="F24" s="76">
        <f t="shared" si="16"/>
        <v>186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186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186</v>
      </c>
      <c r="V24" s="2"/>
    </row>
    <row r="25" ht="15.0" customHeight="1">
      <c r="A25" s="74" t="s">
        <v>17</v>
      </c>
      <c r="B25" s="75">
        <v>496.0</v>
      </c>
      <c r="C25" s="75"/>
      <c r="D25" s="77"/>
      <c r="E25" s="77"/>
      <c r="F25" s="76">
        <f t="shared" si="16"/>
        <v>496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496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496</v>
      </c>
      <c r="V25" s="2"/>
    </row>
    <row r="26" ht="15.0" customHeight="1">
      <c r="A26" s="74" t="s">
        <v>64</v>
      </c>
      <c r="B26" s="77">
        <v>5488.0</v>
      </c>
      <c r="C26" s="80"/>
      <c r="D26" s="80"/>
      <c r="E26" s="75"/>
      <c r="F26" s="76">
        <f t="shared" si="16"/>
        <v>5488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5488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5488</v>
      </c>
      <c r="V26" s="2"/>
    </row>
    <row r="27" ht="15.0" customHeight="1">
      <c r="A27" s="74" t="s">
        <v>65</v>
      </c>
      <c r="B27" s="77">
        <v>1118.0</v>
      </c>
      <c r="C27" s="77">
        <v>1042.0</v>
      </c>
      <c r="D27" s="77"/>
      <c r="E27" s="77"/>
      <c r="F27" s="76">
        <f t="shared" si="16"/>
        <v>2160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1118</v>
      </c>
      <c r="R27" s="75">
        <f t="shared" si="28"/>
        <v>1042</v>
      </c>
      <c r="S27" s="75">
        <f t="shared" si="28"/>
        <v>0</v>
      </c>
      <c r="T27" s="75">
        <f t="shared" si="28"/>
        <v>0</v>
      </c>
      <c r="U27" s="78">
        <f t="shared" si="20"/>
        <v>2160</v>
      </c>
      <c r="V27" s="2"/>
    </row>
    <row r="28" ht="15.75" customHeight="1">
      <c r="A28" s="74" t="s">
        <v>54</v>
      </c>
      <c r="B28" s="77">
        <v>3079.0</v>
      </c>
      <c r="C28" s="77">
        <v>472.0</v>
      </c>
      <c r="D28" s="77"/>
      <c r="E28" s="77"/>
      <c r="F28" s="76">
        <f t="shared" si="16"/>
        <v>3551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3079</v>
      </c>
      <c r="R28" s="75">
        <f t="shared" si="29"/>
        <v>472</v>
      </c>
      <c r="S28" s="75">
        <f t="shared" si="29"/>
        <v>0</v>
      </c>
      <c r="T28" s="75">
        <f t="shared" si="29"/>
        <v>0</v>
      </c>
      <c r="U28" s="78">
        <f t="shared" si="20"/>
        <v>3551</v>
      </c>
      <c r="V28" s="2"/>
    </row>
    <row r="29" ht="15.75" customHeight="1">
      <c r="A29" s="72" t="s">
        <v>66</v>
      </c>
      <c r="B29" s="73">
        <f t="shared" ref="B29:U29" si="30">SUM(B30:B44)</f>
        <v>12553</v>
      </c>
      <c r="C29" s="73">
        <f t="shared" si="30"/>
        <v>29159</v>
      </c>
      <c r="D29" s="73">
        <f t="shared" si="30"/>
        <v>5847</v>
      </c>
      <c r="E29" s="73">
        <f t="shared" si="30"/>
        <v>535</v>
      </c>
      <c r="F29" s="81">
        <f t="shared" si="30"/>
        <v>48094</v>
      </c>
      <c r="G29" s="73">
        <f t="shared" si="30"/>
        <v>2882</v>
      </c>
      <c r="H29" s="73">
        <f t="shared" si="30"/>
        <v>2489</v>
      </c>
      <c r="I29" s="73">
        <f t="shared" si="30"/>
        <v>923</v>
      </c>
      <c r="J29" s="73">
        <f t="shared" si="30"/>
        <v>3</v>
      </c>
      <c r="K29" s="81">
        <f t="shared" si="30"/>
        <v>6297</v>
      </c>
      <c r="L29" s="73">
        <f t="shared" si="30"/>
        <v>0</v>
      </c>
      <c r="M29" s="73">
        <f t="shared" si="30"/>
        <v>46</v>
      </c>
      <c r="N29" s="73">
        <f t="shared" si="30"/>
        <v>0</v>
      </c>
      <c r="O29" s="73">
        <f t="shared" si="30"/>
        <v>0</v>
      </c>
      <c r="P29" s="81">
        <f t="shared" si="30"/>
        <v>46</v>
      </c>
      <c r="Q29" s="73">
        <f t="shared" si="30"/>
        <v>15435</v>
      </c>
      <c r="R29" s="73">
        <f t="shared" si="30"/>
        <v>31694</v>
      </c>
      <c r="S29" s="73">
        <f t="shared" si="30"/>
        <v>6770</v>
      </c>
      <c r="T29" s="73">
        <f t="shared" si="30"/>
        <v>538</v>
      </c>
      <c r="U29" s="81">
        <f t="shared" si="30"/>
        <v>54437</v>
      </c>
      <c r="V29" s="2" t="s">
        <v>114</v>
      </c>
    </row>
    <row r="30" ht="15.0" customHeight="1">
      <c r="A30" s="74" t="s">
        <v>67</v>
      </c>
      <c r="B30" s="75">
        <v>742.0</v>
      </c>
      <c r="C30" s="75">
        <v>644.0</v>
      </c>
      <c r="D30" s="75">
        <v>93.0</v>
      </c>
      <c r="E30" s="75"/>
      <c r="F30" s="76">
        <f t="shared" ref="F30:F44" si="32">SUM(B30:E30)</f>
        <v>1479</v>
      </c>
      <c r="G30" s="75">
        <v>819.0</v>
      </c>
      <c r="H30" s="75">
        <v>220.0</v>
      </c>
      <c r="I30" s="75"/>
      <c r="J30" s="75"/>
      <c r="K30" s="76">
        <f t="shared" ref="K30:K44" si="33">SUM(G30:J30)</f>
        <v>1039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1561</v>
      </c>
      <c r="R30" s="75">
        <f t="shared" si="31"/>
        <v>864</v>
      </c>
      <c r="S30" s="75">
        <f t="shared" si="31"/>
        <v>93</v>
      </c>
      <c r="T30" s="75">
        <f t="shared" si="31"/>
        <v>0</v>
      </c>
      <c r="U30" s="76">
        <f t="shared" ref="U30:U44" si="36">SUM(Q30:T30)</f>
        <v>2518</v>
      </c>
      <c r="V30" s="2"/>
    </row>
    <row r="31" ht="15.0" customHeight="1">
      <c r="A31" s="74" t="s">
        <v>68</v>
      </c>
      <c r="B31" s="77">
        <v>465.0</v>
      </c>
      <c r="C31" s="77">
        <v>2611.0</v>
      </c>
      <c r="D31" s="77">
        <v>22.0</v>
      </c>
      <c r="E31" s="77"/>
      <c r="F31" s="76">
        <f t="shared" si="32"/>
        <v>3098</v>
      </c>
      <c r="G31" s="77"/>
      <c r="H31" s="77">
        <v>61.0</v>
      </c>
      <c r="I31" s="77">
        <v>53.0</v>
      </c>
      <c r="J31" s="77"/>
      <c r="K31" s="76">
        <f t="shared" si="33"/>
        <v>114</v>
      </c>
      <c r="L31" s="77"/>
      <c r="M31" s="77">
        <v>46.0</v>
      </c>
      <c r="N31" s="77"/>
      <c r="O31" s="77"/>
      <c r="P31" s="78">
        <f t="shared" si="34"/>
        <v>46</v>
      </c>
      <c r="Q31" s="77">
        <f t="shared" ref="Q31:T31" si="35">SUM(B31,G31,L31)</f>
        <v>465</v>
      </c>
      <c r="R31" s="77">
        <f t="shared" si="35"/>
        <v>2718</v>
      </c>
      <c r="S31" s="77">
        <f t="shared" si="35"/>
        <v>75</v>
      </c>
      <c r="T31" s="77">
        <f t="shared" si="35"/>
        <v>0</v>
      </c>
      <c r="U31" s="78">
        <f t="shared" si="36"/>
        <v>3258</v>
      </c>
      <c r="V31" s="2"/>
    </row>
    <row r="32" ht="15.0" customHeight="1">
      <c r="A32" s="74" t="s">
        <v>69</v>
      </c>
      <c r="B32" s="77">
        <v>1848.0</v>
      </c>
      <c r="C32" s="77">
        <v>2321.0</v>
      </c>
      <c r="D32" s="77"/>
      <c r="E32" s="77"/>
      <c r="F32" s="76">
        <f t="shared" si="32"/>
        <v>4169</v>
      </c>
      <c r="G32" s="77">
        <v>247.0</v>
      </c>
      <c r="H32" s="77">
        <v>352.0</v>
      </c>
      <c r="I32" s="77"/>
      <c r="J32" s="77"/>
      <c r="K32" s="76">
        <f t="shared" si="33"/>
        <v>599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2095</v>
      </c>
      <c r="R32" s="77">
        <f t="shared" si="37"/>
        <v>2673</v>
      </c>
      <c r="S32" s="77">
        <f t="shared" si="37"/>
        <v>0</v>
      </c>
      <c r="T32" s="77">
        <f t="shared" si="37"/>
        <v>0</v>
      </c>
      <c r="U32" s="78">
        <f t="shared" si="36"/>
        <v>4768</v>
      </c>
      <c r="V32" s="2"/>
    </row>
    <row r="33" ht="15.0" customHeight="1">
      <c r="A33" s="74" t="s">
        <v>70</v>
      </c>
      <c r="B33" s="77"/>
      <c r="C33" s="77">
        <v>127.0</v>
      </c>
      <c r="D33" s="77">
        <v>483.0</v>
      </c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127</v>
      </c>
      <c r="S33" s="77">
        <f t="shared" si="38"/>
        <v>483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>
        <v>1099.0</v>
      </c>
      <c r="C34" s="77">
        <v>5058.0</v>
      </c>
      <c r="D34" s="77">
        <v>1510.0</v>
      </c>
      <c r="E34" s="77">
        <v>37.0</v>
      </c>
      <c r="F34" s="76">
        <f t="shared" si="32"/>
        <v>7704</v>
      </c>
      <c r="G34" s="77">
        <v>91.0</v>
      </c>
      <c r="H34" s="77">
        <v>116.0</v>
      </c>
      <c r="I34" s="77">
        <v>43.0</v>
      </c>
      <c r="J34" s="77">
        <v>3.0</v>
      </c>
      <c r="K34" s="76">
        <f t="shared" si="33"/>
        <v>253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1190</v>
      </c>
      <c r="R34" s="77">
        <f t="shared" si="39"/>
        <v>5174</v>
      </c>
      <c r="S34" s="77">
        <f t="shared" si="39"/>
        <v>1553</v>
      </c>
      <c r="T34" s="77">
        <f t="shared" si="39"/>
        <v>40</v>
      </c>
      <c r="U34" s="78">
        <f t="shared" si="36"/>
        <v>7957</v>
      </c>
      <c r="V34" s="2"/>
    </row>
    <row r="35" ht="15.0" customHeight="1">
      <c r="A35" s="74" t="s">
        <v>72</v>
      </c>
      <c r="B35" s="77">
        <v>735.0</v>
      </c>
      <c r="C35" s="77">
        <v>1765.0</v>
      </c>
      <c r="D35" s="77"/>
      <c r="E35" s="77"/>
      <c r="F35" s="76">
        <f t="shared" si="32"/>
        <v>2500</v>
      </c>
      <c r="G35" s="77">
        <v>89.0</v>
      </c>
      <c r="H35" s="77">
        <v>80.0</v>
      </c>
      <c r="I35" s="77"/>
      <c r="J35" s="77"/>
      <c r="K35" s="76">
        <f t="shared" si="33"/>
        <v>169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824</v>
      </c>
      <c r="R35" s="77">
        <f t="shared" si="40"/>
        <v>1845</v>
      </c>
      <c r="S35" s="77">
        <f t="shared" si="40"/>
        <v>0</v>
      </c>
      <c r="T35" s="77">
        <f t="shared" si="40"/>
        <v>0</v>
      </c>
      <c r="U35" s="78">
        <f t="shared" si="36"/>
        <v>2669</v>
      </c>
      <c r="V35" s="2"/>
    </row>
    <row r="36" ht="15.0" customHeight="1">
      <c r="A36" s="74" t="s">
        <v>73</v>
      </c>
      <c r="B36" s="77">
        <v>30.0</v>
      </c>
      <c r="C36" s="77">
        <v>1580.0</v>
      </c>
      <c r="D36" s="77">
        <v>262.0</v>
      </c>
      <c r="E36" s="77"/>
      <c r="F36" s="76">
        <f t="shared" si="32"/>
        <v>1872</v>
      </c>
      <c r="G36" s="77">
        <v>86.0</v>
      </c>
      <c r="H36" s="77">
        <v>13.0</v>
      </c>
      <c r="I36" s="77"/>
      <c r="J36" s="77"/>
      <c r="K36" s="76">
        <f t="shared" si="33"/>
        <v>99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116</v>
      </c>
      <c r="R36" s="77">
        <f t="shared" si="41"/>
        <v>1593</v>
      </c>
      <c r="S36" s="77">
        <f t="shared" si="41"/>
        <v>262</v>
      </c>
      <c r="T36" s="77">
        <f t="shared" si="41"/>
        <v>0</v>
      </c>
      <c r="U36" s="78">
        <f t="shared" si="36"/>
        <v>1971</v>
      </c>
      <c r="V36" s="2"/>
    </row>
    <row r="37" ht="15.0" customHeight="1">
      <c r="A37" s="74" t="s">
        <v>74</v>
      </c>
      <c r="B37" s="77">
        <v>3202.0</v>
      </c>
      <c r="C37" s="77">
        <v>8927.0</v>
      </c>
      <c r="D37" s="77">
        <v>1023.0</v>
      </c>
      <c r="E37" s="77"/>
      <c r="F37" s="76">
        <f t="shared" si="32"/>
        <v>13152</v>
      </c>
      <c r="G37" s="77">
        <v>786.0</v>
      </c>
      <c r="H37" s="77">
        <v>747.0</v>
      </c>
      <c r="I37" s="77">
        <v>567.0</v>
      </c>
      <c r="J37" s="77"/>
      <c r="K37" s="76">
        <f t="shared" si="33"/>
        <v>2100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3988</v>
      </c>
      <c r="R37" s="77">
        <f t="shared" si="42"/>
        <v>9674</v>
      </c>
      <c r="S37" s="77">
        <f t="shared" si="42"/>
        <v>1590</v>
      </c>
      <c r="T37" s="77">
        <f t="shared" si="42"/>
        <v>0</v>
      </c>
      <c r="U37" s="78">
        <f t="shared" si="36"/>
        <v>15252</v>
      </c>
      <c r="V37" s="2"/>
    </row>
    <row r="38" ht="15.0" customHeight="1">
      <c r="A38" s="74" t="s">
        <v>75</v>
      </c>
      <c r="B38" s="77">
        <v>2815.0</v>
      </c>
      <c r="C38" s="77">
        <v>801.0</v>
      </c>
      <c r="D38" s="77"/>
      <c r="E38" s="77"/>
      <c r="F38" s="76">
        <f t="shared" si="32"/>
        <v>3616</v>
      </c>
      <c r="G38" s="77">
        <v>373.0</v>
      </c>
      <c r="H38" s="77">
        <v>88.0</v>
      </c>
      <c r="I38" s="77"/>
      <c r="J38" s="77"/>
      <c r="K38" s="76">
        <f t="shared" si="33"/>
        <v>461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3188</v>
      </c>
      <c r="R38" s="77">
        <f t="shared" si="43"/>
        <v>889</v>
      </c>
      <c r="S38" s="77">
        <f t="shared" si="43"/>
        <v>0</v>
      </c>
      <c r="T38" s="77">
        <f t="shared" si="43"/>
        <v>0</v>
      </c>
      <c r="U38" s="78">
        <f t="shared" si="36"/>
        <v>4077</v>
      </c>
      <c r="V38" s="2"/>
    </row>
    <row r="39" ht="15.0" customHeight="1">
      <c r="A39" s="74" t="s">
        <v>76</v>
      </c>
      <c r="B39" s="77"/>
      <c r="C39" s="77">
        <v>731.0</v>
      </c>
      <c r="D39" s="77">
        <v>546.0</v>
      </c>
      <c r="E39" s="77"/>
      <c r="F39" s="76">
        <f t="shared" si="32"/>
        <v>1277</v>
      </c>
      <c r="G39" s="77"/>
      <c r="H39" s="77">
        <v>131.0</v>
      </c>
      <c r="I39" s="77">
        <v>93.0</v>
      </c>
      <c r="J39" s="77"/>
      <c r="K39" s="76">
        <f t="shared" si="33"/>
        <v>224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862</v>
      </c>
      <c r="S39" s="77">
        <f t="shared" si="44"/>
        <v>639</v>
      </c>
      <c r="T39" s="77">
        <f t="shared" si="44"/>
        <v>0</v>
      </c>
      <c r="U39" s="78">
        <f t="shared" si="36"/>
        <v>1501</v>
      </c>
      <c r="V39" s="2"/>
    </row>
    <row r="40" ht="15.0" customHeight="1">
      <c r="A40" s="74" t="s">
        <v>77</v>
      </c>
      <c r="B40" s="77">
        <v>2.0</v>
      </c>
      <c r="C40" s="77">
        <v>4.0</v>
      </c>
      <c r="D40" s="77"/>
      <c r="E40" s="77"/>
      <c r="F40" s="76">
        <f t="shared" si="32"/>
        <v>6</v>
      </c>
      <c r="G40" s="77">
        <v>4.0</v>
      </c>
      <c r="H40" s="77">
        <v>9.0</v>
      </c>
      <c r="I40" s="77"/>
      <c r="J40" s="77"/>
      <c r="K40" s="76">
        <f t="shared" si="33"/>
        <v>13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6</v>
      </c>
      <c r="R40" s="77">
        <f t="shared" si="45"/>
        <v>13</v>
      </c>
      <c r="S40" s="77">
        <f t="shared" si="45"/>
        <v>0</v>
      </c>
      <c r="T40" s="77">
        <f t="shared" si="45"/>
        <v>0</v>
      </c>
      <c r="U40" s="78">
        <f t="shared" si="36"/>
        <v>19</v>
      </c>
      <c r="V40" s="2"/>
    </row>
    <row r="41" ht="15.0" customHeight="1">
      <c r="A41" s="74" t="s">
        <v>78</v>
      </c>
      <c r="B41" s="77">
        <v>582.0</v>
      </c>
      <c r="C41" s="77">
        <v>504.0</v>
      </c>
      <c r="D41" s="77">
        <v>779.0</v>
      </c>
      <c r="E41" s="77">
        <v>498.0</v>
      </c>
      <c r="F41" s="76">
        <f t="shared" si="32"/>
        <v>2363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582</v>
      </c>
      <c r="R41" s="77">
        <f t="shared" si="46"/>
        <v>504</v>
      </c>
      <c r="S41" s="77">
        <f t="shared" si="46"/>
        <v>779</v>
      </c>
      <c r="T41" s="77">
        <f t="shared" si="46"/>
        <v>498</v>
      </c>
      <c r="U41" s="78">
        <f t="shared" si="36"/>
        <v>2363</v>
      </c>
      <c r="V41" s="2"/>
    </row>
    <row r="42" ht="15.0" customHeight="1">
      <c r="A42" s="74" t="s">
        <v>79</v>
      </c>
      <c r="B42" s="77">
        <v>14.0</v>
      </c>
      <c r="C42" s="77">
        <v>145.0</v>
      </c>
      <c r="D42" s="77"/>
      <c r="E42" s="77"/>
      <c r="F42" s="76">
        <f t="shared" si="32"/>
        <v>159</v>
      </c>
      <c r="G42" s="77">
        <v>92.0</v>
      </c>
      <c r="H42" s="77">
        <v>165.0</v>
      </c>
      <c r="I42" s="77"/>
      <c r="J42" s="77"/>
      <c r="K42" s="76">
        <f t="shared" si="33"/>
        <v>257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106</v>
      </c>
      <c r="R42" s="77">
        <f t="shared" si="47"/>
        <v>310</v>
      </c>
      <c r="S42" s="77">
        <f t="shared" si="47"/>
        <v>0</v>
      </c>
      <c r="T42" s="77">
        <f t="shared" si="47"/>
        <v>0</v>
      </c>
      <c r="U42" s="78">
        <f t="shared" si="36"/>
        <v>416</v>
      </c>
      <c r="V42" s="2"/>
    </row>
    <row r="43" ht="15.0" customHeight="1">
      <c r="A43" s="74" t="s">
        <v>80</v>
      </c>
      <c r="B43" s="77">
        <v>837.0</v>
      </c>
      <c r="C43" s="77">
        <v>1016.0</v>
      </c>
      <c r="D43" s="77"/>
      <c r="E43" s="77"/>
      <c r="F43" s="76">
        <f t="shared" si="32"/>
        <v>1853</v>
      </c>
      <c r="G43" s="77">
        <v>240.0</v>
      </c>
      <c r="H43" s="77"/>
      <c r="I43" s="77"/>
      <c r="J43" s="77"/>
      <c r="K43" s="76">
        <f t="shared" si="33"/>
        <v>240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1077</v>
      </c>
      <c r="R43" s="77">
        <f t="shared" si="48"/>
        <v>1016</v>
      </c>
      <c r="S43" s="77">
        <f t="shared" si="48"/>
        <v>0</v>
      </c>
      <c r="T43" s="77">
        <f t="shared" si="48"/>
        <v>0</v>
      </c>
      <c r="U43" s="78">
        <f t="shared" si="36"/>
        <v>2093</v>
      </c>
      <c r="V43" s="2"/>
    </row>
    <row r="44" ht="15.75" customHeight="1">
      <c r="A44" s="74" t="s">
        <v>81</v>
      </c>
      <c r="B44" s="77">
        <v>182.0</v>
      </c>
      <c r="C44" s="77">
        <v>2925.0</v>
      </c>
      <c r="D44" s="77">
        <v>1129.0</v>
      </c>
      <c r="E44" s="77"/>
      <c r="F44" s="76">
        <f t="shared" si="32"/>
        <v>4236</v>
      </c>
      <c r="G44" s="77">
        <v>55.0</v>
      </c>
      <c r="H44" s="77">
        <v>507.0</v>
      </c>
      <c r="I44" s="77">
        <v>167.0</v>
      </c>
      <c r="J44" s="77"/>
      <c r="K44" s="76">
        <f t="shared" si="33"/>
        <v>729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237</v>
      </c>
      <c r="R44" s="77">
        <f t="shared" si="49"/>
        <v>3432</v>
      </c>
      <c r="S44" s="77">
        <f t="shared" si="49"/>
        <v>1296</v>
      </c>
      <c r="T44" s="77">
        <f t="shared" si="49"/>
        <v>0</v>
      </c>
      <c r="U44" s="78">
        <f t="shared" si="36"/>
        <v>4965</v>
      </c>
      <c r="V44" s="2"/>
    </row>
    <row r="45" ht="15.75" customHeight="1">
      <c r="A45" s="72" t="s">
        <v>82</v>
      </c>
      <c r="B45" s="73">
        <f t="shared" ref="B45:U45" si="50">SUM(B46:B63)</f>
        <v>4183</v>
      </c>
      <c r="C45" s="73">
        <f t="shared" si="50"/>
        <v>8460</v>
      </c>
      <c r="D45" s="73">
        <f t="shared" si="50"/>
        <v>6452</v>
      </c>
      <c r="E45" s="73">
        <f t="shared" si="50"/>
        <v>10410</v>
      </c>
      <c r="F45" s="81">
        <f t="shared" si="50"/>
        <v>29505</v>
      </c>
      <c r="G45" s="73">
        <f t="shared" si="50"/>
        <v>4549</v>
      </c>
      <c r="H45" s="73">
        <f t="shared" si="50"/>
        <v>6408</v>
      </c>
      <c r="I45" s="73">
        <f t="shared" si="50"/>
        <v>6259</v>
      </c>
      <c r="J45" s="73">
        <f t="shared" si="50"/>
        <v>1598</v>
      </c>
      <c r="K45" s="81">
        <f t="shared" si="50"/>
        <v>18814</v>
      </c>
      <c r="L45" s="73">
        <f t="shared" si="50"/>
        <v>11</v>
      </c>
      <c r="M45" s="73">
        <f t="shared" si="50"/>
        <v>0</v>
      </c>
      <c r="N45" s="73">
        <f t="shared" si="50"/>
        <v>0</v>
      </c>
      <c r="O45" s="73">
        <f t="shared" si="50"/>
        <v>25</v>
      </c>
      <c r="P45" s="81">
        <f t="shared" si="50"/>
        <v>36</v>
      </c>
      <c r="Q45" s="73">
        <f t="shared" si="50"/>
        <v>8743</v>
      </c>
      <c r="R45" s="73">
        <f t="shared" si="50"/>
        <v>14868</v>
      </c>
      <c r="S45" s="73">
        <f t="shared" si="50"/>
        <v>12711</v>
      </c>
      <c r="T45" s="73">
        <f t="shared" si="50"/>
        <v>12033</v>
      </c>
      <c r="U45" s="73">
        <f t="shared" si="50"/>
        <v>48355</v>
      </c>
      <c r="V45" s="2" t="s">
        <v>114</v>
      </c>
    </row>
    <row r="46" ht="15.0" customHeight="1">
      <c r="A46" s="74" t="s">
        <v>83</v>
      </c>
      <c r="B46" s="75">
        <v>235.0</v>
      </c>
      <c r="C46" s="75">
        <v>875.0</v>
      </c>
      <c r="D46" s="75">
        <v>500.0</v>
      </c>
      <c r="E46" s="75">
        <v>430.0</v>
      </c>
      <c r="F46" s="76">
        <f t="shared" ref="F46:F63" si="52">SUM(B46:E46)</f>
        <v>2040</v>
      </c>
      <c r="G46" s="75">
        <v>335.0</v>
      </c>
      <c r="H46" s="75">
        <v>255.0</v>
      </c>
      <c r="I46" s="75">
        <v>90.0</v>
      </c>
      <c r="J46" s="75"/>
      <c r="K46" s="76">
        <f t="shared" ref="K46:K63" si="53">SUM(G46:J46)</f>
        <v>680</v>
      </c>
      <c r="L46" s="75"/>
      <c r="M46" s="75"/>
      <c r="N46" s="75"/>
      <c r="O46" s="75"/>
      <c r="P46" s="76">
        <f t="shared" ref="P46:P63" si="54">SUM(L46:O46)</f>
        <v>0</v>
      </c>
      <c r="Q46" s="75">
        <f t="shared" ref="Q46:T46" si="51">SUM(B46,G46,L46)</f>
        <v>570</v>
      </c>
      <c r="R46" s="75">
        <f t="shared" si="51"/>
        <v>1130</v>
      </c>
      <c r="S46" s="75">
        <f t="shared" si="51"/>
        <v>590</v>
      </c>
      <c r="T46" s="75">
        <f t="shared" si="51"/>
        <v>430</v>
      </c>
      <c r="U46" s="76">
        <f t="shared" ref="U46:U63" si="56">SUM(Q46:T46)</f>
        <v>2720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379.0</v>
      </c>
      <c r="C49" s="77">
        <v>516.0</v>
      </c>
      <c r="D49" s="77">
        <v>389.0</v>
      </c>
      <c r="E49" s="77"/>
      <c r="F49" s="76">
        <f t="shared" si="52"/>
        <v>1284</v>
      </c>
      <c r="G49" s="77"/>
      <c r="H49" s="77">
        <v>117.0</v>
      </c>
      <c r="I49" s="77">
        <v>231.0</v>
      </c>
      <c r="J49" s="77"/>
      <c r="K49" s="76">
        <f t="shared" si="53"/>
        <v>348</v>
      </c>
      <c r="L49" s="77">
        <v>11.0</v>
      </c>
      <c r="M49" s="77"/>
      <c r="N49" s="77"/>
      <c r="O49" s="77"/>
      <c r="P49" s="76">
        <f t="shared" si="54"/>
        <v>11</v>
      </c>
      <c r="Q49" s="75">
        <f t="shared" ref="Q49:T49" si="58">SUM(B49,G49,L49)</f>
        <v>390</v>
      </c>
      <c r="R49" s="75">
        <f t="shared" si="58"/>
        <v>633</v>
      </c>
      <c r="S49" s="75">
        <f t="shared" si="58"/>
        <v>620</v>
      </c>
      <c r="T49" s="75">
        <f t="shared" si="58"/>
        <v>0</v>
      </c>
      <c r="U49" s="78">
        <f t="shared" si="56"/>
        <v>1643</v>
      </c>
      <c r="V49" s="2"/>
    </row>
    <row r="50" ht="15.0" customHeight="1">
      <c r="A50" s="74" t="s">
        <v>87</v>
      </c>
      <c r="B50" s="77">
        <v>1450.0</v>
      </c>
      <c r="C50" s="77">
        <v>1052.0</v>
      </c>
      <c r="D50" s="77">
        <v>524.0</v>
      </c>
      <c r="E50" s="77">
        <v>566.0</v>
      </c>
      <c r="F50" s="76">
        <f t="shared" si="52"/>
        <v>3592</v>
      </c>
      <c r="G50" s="77">
        <v>574.0</v>
      </c>
      <c r="H50" s="77">
        <v>934.0</v>
      </c>
      <c r="I50" s="77">
        <v>223.0</v>
      </c>
      <c r="J50" s="77">
        <v>132.0</v>
      </c>
      <c r="K50" s="76">
        <f t="shared" si="53"/>
        <v>1863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2024</v>
      </c>
      <c r="R50" s="75">
        <f t="shared" si="59"/>
        <v>1986</v>
      </c>
      <c r="S50" s="75">
        <f t="shared" si="59"/>
        <v>747</v>
      </c>
      <c r="T50" s="75">
        <f t="shared" si="59"/>
        <v>698</v>
      </c>
      <c r="U50" s="78">
        <f t="shared" si="56"/>
        <v>5455</v>
      </c>
      <c r="V50" s="2"/>
    </row>
    <row r="51" ht="15.0" customHeight="1">
      <c r="A51" s="74" t="s">
        <v>88</v>
      </c>
      <c r="B51" s="77">
        <v>3.0</v>
      </c>
      <c r="C51" s="77">
        <v>82.0</v>
      </c>
      <c r="D51" s="77"/>
      <c r="E51" s="77"/>
      <c r="F51" s="76">
        <f t="shared" si="52"/>
        <v>85</v>
      </c>
      <c r="G51" s="77">
        <v>7.0</v>
      </c>
      <c r="H51" s="77">
        <v>117.0</v>
      </c>
      <c r="I51" s="77">
        <v>7.0</v>
      </c>
      <c r="J51" s="77"/>
      <c r="K51" s="76">
        <f t="shared" si="53"/>
        <v>131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10</v>
      </c>
      <c r="R51" s="75">
        <f t="shared" si="60"/>
        <v>199</v>
      </c>
      <c r="S51" s="75">
        <f t="shared" si="60"/>
        <v>7</v>
      </c>
      <c r="T51" s="75">
        <f t="shared" si="60"/>
        <v>0</v>
      </c>
      <c r="U51" s="78">
        <f t="shared" si="56"/>
        <v>216</v>
      </c>
      <c r="V51" s="2"/>
    </row>
    <row r="52" ht="15.0" customHeight="1">
      <c r="A52" s="83" t="s">
        <v>89</v>
      </c>
      <c r="B52" s="84">
        <v>14.0</v>
      </c>
      <c r="C52" s="84">
        <v>289.0</v>
      </c>
      <c r="D52" s="84"/>
      <c r="E52" s="84"/>
      <c r="F52" s="85">
        <f t="shared" si="52"/>
        <v>303</v>
      </c>
      <c r="G52" s="84">
        <v>12.0</v>
      </c>
      <c r="H52" s="84">
        <v>211.0</v>
      </c>
      <c r="I52" s="84"/>
      <c r="J52" s="84"/>
      <c r="K52" s="85">
        <f t="shared" si="53"/>
        <v>223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26</v>
      </c>
      <c r="R52" s="86">
        <f t="shared" si="61"/>
        <v>500</v>
      </c>
      <c r="S52" s="86">
        <f t="shared" si="61"/>
        <v>0</v>
      </c>
      <c r="T52" s="86">
        <f t="shared" si="61"/>
        <v>0</v>
      </c>
      <c r="U52" s="87">
        <f t="shared" si="56"/>
        <v>526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7.0</v>
      </c>
      <c r="D53" s="77">
        <v>5.0</v>
      </c>
      <c r="E53" s="77">
        <v>3.0</v>
      </c>
      <c r="F53" s="76">
        <f t="shared" si="52"/>
        <v>17</v>
      </c>
      <c r="G53" s="77">
        <v>1.0</v>
      </c>
      <c r="H53" s="77"/>
      <c r="I53" s="77">
        <v>19.0</v>
      </c>
      <c r="J53" s="77">
        <v>12.0</v>
      </c>
      <c r="K53" s="76">
        <f t="shared" si="53"/>
        <v>32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3</v>
      </c>
      <c r="R53" s="75">
        <f t="shared" si="62"/>
        <v>7</v>
      </c>
      <c r="S53" s="75">
        <f t="shared" si="62"/>
        <v>24</v>
      </c>
      <c r="T53" s="75">
        <f t="shared" si="62"/>
        <v>15</v>
      </c>
      <c r="U53" s="78">
        <f t="shared" si="56"/>
        <v>49</v>
      </c>
      <c r="V53" s="2"/>
    </row>
    <row r="54" ht="15.0" customHeight="1">
      <c r="A54" s="74" t="s">
        <v>91</v>
      </c>
      <c r="B54" s="77"/>
      <c r="C54" s="77"/>
      <c r="D54" s="77">
        <v>1259.0</v>
      </c>
      <c r="E54" s="77">
        <v>478.0</v>
      </c>
      <c r="F54" s="76">
        <f t="shared" si="52"/>
        <v>1737</v>
      </c>
      <c r="G54" s="77"/>
      <c r="H54" s="77">
        <v>843.0</v>
      </c>
      <c r="I54" s="77">
        <v>260.0</v>
      </c>
      <c r="J54" s="77">
        <v>55.0</v>
      </c>
      <c r="K54" s="76">
        <f t="shared" si="53"/>
        <v>1158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0</v>
      </c>
      <c r="R54" s="75">
        <f t="shared" si="63"/>
        <v>843</v>
      </c>
      <c r="S54" s="75">
        <f t="shared" si="63"/>
        <v>1519</v>
      </c>
      <c r="T54" s="75">
        <f t="shared" si="63"/>
        <v>533</v>
      </c>
      <c r="U54" s="78">
        <f t="shared" si="56"/>
        <v>2895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/>
      <c r="C56" s="77">
        <v>339.0</v>
      </c>
      <c r="D56" s="77">
        <v>324.0</v>
      </c>
      <c r="E56" s="77">
        <v>146.0</v>
      </c>
      <c r="F56" s="76">
        <f t="shared" si="52"/>
        <v>809</v>
      </c>
      <c r="G56" s="77"/>
      <c r="H56" s="77">
        <v>604.0</v>
      </c>
      <c r="I56" s="77">
        <v>796.0</v>
      </c>
      <c r="J56" s="77">
        <v>393.0</v>
      </c>
      <c r="K56" s="76">
        <f t="shared" si="53"/>
        <v>1793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0</v>
      </c>
      <c r="R56" s="75">
        <f t="shared" si="65"/>
        <v>943</v>
      </c>
      <c r="S56" s="75">
        <f t="shared" si="65"/>
        <v>1120</v>
      </c>
      <c r="T56" s="75">
        <f t="shared" si="65"/>
        <v>539</v>
      </c>
      <c r="U56" s="91">
        <f t="shared" si="56"/>
        <v>2602</v>
      </c>
      <c r="V56" s="2"/>
    </row>
    <row r="57" ht="15.0" customHeight="1">
      <c r="A57" s="74" t="s">
        <v>94</v>
      </c>
      <c r="B57" s="77">
        <v>519.0</v>
      </c>
      <c r="C57" s="77">
        <v>2879.0</v>
      </c>
      <c r="D57" s="77">
        <v>1179.0</v>
      </c>
      <c r="E57" s="2">
        <v>6428.0</v>
      </c>
      <c r="F57" s="76">
        <f t="shared" si="52"/>
        <v>11005</v>
      </c>
      <c r="G57" s="77"/>
      <c r="H57" s="77"/>
      <c r="I57" s="2"/>
      <c r="J57" s="75">
        <v>15.0</v>
      </c>
      <c r="K57" s="76">
        <f t="shared" si="53"/>
        <v>15</v>
      </c>
      <c r="L57" s="77"/>
      <c r="M57" s="77"/>
      <c r="N57" s="77"/>
      <c r="O57" s="77">
        <v>25.0</v>
      </c>
      <c r="P57" s="76">
        <f t="shared" si="54"/>
        <v>25</v>
      </c>
      <c r="Q57" s="75">
        <f t="shared" ref="Q57:T57" si="66">SUM(B57,G57,L57)</f>
        <v>519</v>
      </c>
      <c r="R57" s="75">
        <f t="shared" si="66"/>
        <v>2879</v>
      </c>
      <c r="S57" s="75">
        <f t="shared" si="66"/>
        <v>1179</v>
      </c>
      <c r="T57" s="75">
        <f t="shared" si="66"/>
        <v>6468</v>
      </c>
      <c r="U57" s="91">
        <f t="shared" si="56"/>
        <v>11045</v>
      </c>
      <c r="V57" s="2"/>
    </row>
    <row r="58" ht="15.0" customHeight="1">
      <c r="A58" s="74" t="s">
        <v>95</v>
      </c>
      <c r="B58" s="77">
        <v>243.0</v>
      </c>
      <c r="C58" s="77">
        <v>68.0</v>
      </c>
      <c r="D58" s="77">
        <v>121.0</v>
      </c>
      <c r="E58" s="77">
        <v>20.0</v>
      </c>
      <c r="F58" s="76">
        <f t="shared" si="52"/>
        <v>452</v>
      </c>
      <c r="G58" s="77">
        <v>12.0</v>
      </c>
      <c r="H58" s="77">
        <v>16.0</v>
      </c>
      <c r="I58" s="77">
        <v>158.0</v>
      </c>
      <c r="J58" s="77">
        <v>111.0</v>
      </c>
      <c r="K58" s="76">
        <f t="shared" si="53"/>
        <v>297</v>
      </c>
      <c r="L58" s="77"/>
      <c r="M58" s="77"/>
      <c r="N58" s="77"/>
      <c r="O58" s="77"/>
      <c r="P58" s="76">
        <f t="shared" si="54"/>
        <v>0</v>
      </c>
      <c r="Q58" s="75">
        <f t="shared" ref="Q58:T58" si="67">SUM(B58,G58,L58)</f>
        <v>255</v>
      </c>
      <c r="R58" s="75">
        <f t="shared" si="67"/>
        <v>84</v>
      </c>
      <c r="S58" s="75">
        <f t="shared" si="67"/>
        <v>279</v>
      </c>
      <c r="T58" s="75">
        <f t="shared" si="67"/>
        <v>131</v>
      </c>
      <c r="U58" s="91">
        <f t="shared" si="56"/>
        <v>749</v>
      </c>
      <c r="V58" s="2"/>
    </row>
    <row r="59" ht="15.0" customHeight="1">
      <c r="A59" s="74" t="s">
        <v>96</v>
      </c>
      <c r="B59" s="77">
        <v>273.0</v>
      </c>
      <c r="C59" s="77">
        <v>489.0</v>
      </c>
      <c r="D59" s="77">
        <v>60.0</v>
      </c>
      <c r="E59" s="77">
        <v>105.0</v>
      </c>
      <c r="F59" s="76">
        <f t="shared" si="52"/>
        <v>927</v>
      </c>
      <c r="G59" s="82">
        <v>100.0</v>
      </c>
      <c r="H59" s="82">
        <v>860.0</v>
      </c>
      <c r="I59" s="82">
        <v>1002.0</v>
      </c>
      <c r="J59" s="77">
        <v>200.0</v>
      </c>
      <c r="K59" s="76">
        <f t="shared" si="53"/>
        <v>2162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373</v>
      </c>
      <c r="R59" s="75">
        <f t="shared" si="68"/>
        <v>1349</v>
      </c>
      <c r="S59" s="75">
        <f t="shared" si="68"/>
        <v>1062</v>
      </c>
      <c r="T59" s="75">
        <f t="shared" si="68"/>
        <v>305</v>
      </c>
      <c r="U59" s="91">
        <f t="shared" si="56"/>
        <v>3089</v>
      </c>
      <c r="V59" s="2"/>
    </row>
    <row r="60" ht="15.0" customHeight="1">
      <c r="A60" s="74" t="s">
        <v>17</v>
      </c>
      <c r="B60" s="77">
        <v>140.0</v>
      </c>
      <c r="C60" s="77">
        <v>756.0</v>
      </c>
      <c r="D60" s="77">
        <v>1008.0</v>
      </c>
      <c r="E60" s="77">
        <v>985.0</v>
      </c>
      <c r="F60" s="76">
        <f t="shared" si="52"/>
        <v>2889</v>
      </c>
      <c r="G60" s="77">
        <v>403.0</v>
      </c>
      <c r="H60" s="77"/>
      <c r="I60" s="77">
        <v>600.0</v>
      </c>
      <c r="J60" s="77">
        <v>20.0</v>
      </c>
      <c r="K60" s="76">
        <f t="shared" si="53"/>
        <v>1023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543</v>
      </c>
      <c r="R60" s="75">
        <f t="shared" si="69"/>
        <v>756</v>
      </c>
      <c r="S60" s="75">
        <f t="shared" si="69"/>
        <v>1608</v>
      </c>
      <c r="T60" s="75">
        <f t="shared" si="69"/>
        <v>1005</v>
      </c>
      <c r="U60" s="78">
        <f t="shared" si="56"/>
        <v>3912</v>
      </c>
      <c r="V60" s="2"/>
    </row>
    <row r="61" ht="15.0" customHeight="1">
      <c r="A61" s="74" t="s">
        <v>78</v>
      </c>
      <c r="B61" s="80"/>
      <c r="C61" s="80">
        <v>334.0</v>
      </c>
      <c r="D61" s="80">
        <v>856.0</v>
      </c>
      <c r="E61" s="77"/>
      <c r="F61" s="76">
        <f t="shared" si="52"/>
        <v>1190</v>
      </c>
      <c r="G61" s="77"/>
      <c r="H61" s="77">
        <v>531.0</v>
      </c>
      <c r="I61" s="77">
        <v>2468.0</v>
      </c>
      <c r="J61" s="77"/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0</v>
      </c>
      <c r="R61" s="75">
        <f t="shared" si="70"/>
        <v>865</v>
      </c>
      <c r="S61" s="75">
        <f t="shared" si="70"/>
        <v>3324</v>
      </c>
      <c r="T61" s="75">
        <f t="shared" si="70"/>
        <v>0</v>
      </c>
      <c r="U61" s="78">
        <f t="shared" si="56"/>
        <v>4189</v>
      </c>
      <c r="V61" s="2"/>
    </row>
    <row r="62" ht="15.0" customHeight="1">
      <c r="A62" s="74" t="s">
        <v>97</v>
      </c>
      <c r="B62" s="77"/>
      <c r="C62" s="77"/>
      <c r="D62" s="77">
        <v>158.0</v>
      </c>
      <c r="E62" s="77">
        <v>1044.0</v>
      </c>
      <c r="F62" s="76">
        <f t="shared" si="52"/>
        <v>1202</v>
      </c>
      <c r="G62" s="77"/>
      <c r="H62" s="77">
        <v>60.0</v>
      </c>
      <c r="I62" s="77">
        <v>60.0</v>
      </c>
      <c r="J62" s="77">
        <v>250.0</v>
      </c>
      <c r="K62" s="76">
        <f t="shared" si="53"/>
        <v>370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0</v>
      </c>
      <c r="R62" s="75">
        <f t="shared" si="71"/>
        <v>60</v>
      </c>
      <c r="S62" s="75">
        <f t="shared" si="71"/>
        <v>218</v>
      </c>
      <c r="T62" s="75">
        <f t="shared" si="71"/>
        <v>1294</v>
      </c>
      <c r="U62" s="78">
        <f t="shared" si="56"/>
        <v>1572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2705</v>
      </c>
      <c r="C64" s="73">
        <f t="shared" ref="C64:K64" si="73">SUM(C65:C78)</f>
        <v>0</v>
      </c>
      <c r="D64" s="73">
        <f t="shared" si="73"/>
        <v>0</v>
      </c>
      <c r="E64" s="73">
        <f t="shared" si="73"/>
        <v>247</v>
      </c>
      <c r="F64" s="73">
        <f t="shared" si="73"/>
        <v>2952</v>
      </c>
      <c r="G64" s="73">
        <f t="shared" si="73"/>
        <v>1875</v>
      </c>
      <c r="H64" s="73">
        <f t="shared" si="73"/>
        <v>0</v>
      </c>
      <c r="I64" s="73">
        <f t="shared" si="73"/>
        <v>0</v>
      </c>
      <c r="J64" s="73">
        <f t="shared" si="73"/>
        <v>110</v>
      </c>
      <c r="K64" s="73">
        <f t="shared" si="73"/>
        <v>1985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4580</v>
      </c>
      <c r="R64" s="73">
        <f t="shared" si="74"/>
        <v>0</v>
      </c>
      <c r="S64" s="73">
        <f t="shared" si="74"/>
        <v>0</v>
      </c>
      <c r="T64" s="73">
        <f t="shared" si="74"/>
        <v>357</v>
      </c>
      <c r="U64" s="73">
        <f t="shared" si="74"/>
        <v>4937</v>
      </c>
      <c r="V64" s="2" t="s">
        <v>114</v>
      </c>
    </row>
    <row r="65" ht="15.0" customHeight="1">
      <c r="A65" s="74" t="s">
        <v>100</v>
      </c>
      <c r="B65" s="75">
        <v>108.0</v>
      </c>
      <c r="C65" s="75"/>
      <c r="D65" s="75"/>
      <c r="E65" s="75">
        <v>5.0</v>
      </c>
      <c r="F65" s="76">
        <f t="shared" ref="F65:F79" si="76">SUM(B65:E65)</f>
        <v>113</v>
      </c>
      <c r="G65" s="75">
        <v>195.0</v>
      </c>
      <c r="H65" s="75"/>
      <c r="I65" s="75"/>
      <c r="J65" s="75">
        <v>3.0</v>
      </c>
      <c r="K65" s="76">
        <f t="shared" ref="K65:K79" si="77">SUM(G65:J65)</f>
        <v>198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303</v>
      </c>
      <c r="R65" s="75">
        <f t="shared" si="75"/>
        <v>0</v>
      </c>
      <c r="S65" s="75">
        <f t="shared" si="75"/>
        <v>0</v>
      </c>
      <c r="T65" s="75">
        <f t="shared" si="75"/>
        <v>8</v>
      </c>
      <c r="U65" s="76">
        <f t="shared" ref="U65:U79" si="80">SUM(Q65:T65)</f>
        <v>311</v>
      </c>
      <c r="V65" s="2"/>
    </row>
    <row r="66" ht="15.0" customHeight="1">
      <c r="A66" s="74" t="s">
        <v>101</v>
      </c>
      <c r="B66" s="77">
        <v>439.0</v>
      </c>
      <c r="C66" s="77"/>
      <c r="D66" s="77"/>
      <c r="E66" s="77">
        <v>40.0</v>
      </c>
      <c r="F66" s="76">
        <f t="shared" si="76"/>
        <v>479</v>
      </c>
      <c r="G66" s="77">
        <v>70.0</v>
      </c>
      <c r="H66" s="77"/>
      <c r="I66" s="77"/>
      <c r="J66" s="77">
        <v>5.0</v>
      </c>
      <c r="K66" s="76">
        <f t="shared" si="77"/>
        <v>75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509</v>
      </c>
      <c r="R66" s="75">
        <f t="shared" si="79"/>
        <v>0</v>
      </c>
      <c r="S66" s="75">
        <f t="shared" si="79"/>
        <v>0</v>
      </c>
      <c r="T66" s="75">
        <f t="shared" si="79"/>
        <v>45</v>
      </c>
      <c r="U66" s="76">
        <f t="shared" si="80"/>
        <v>554</v>
      </c>
      <c r="V66" s="2"/>
    </row>
    <row r="67" ht="15.0" customHeight="1">
      <c r="A67" s="74" t="s">
        <v>102</v>
      </c>
      <c r="B67" s="77">
        <v>50.0</v>
      </c>
      <c r="C67" s="77"/>
      <c r="D67" s="77"/>
      <c r="E67" s="77">
        <v>12.0</v>
      </c>
      <c r="F67" s="76">
        <f t="shared" si="76"/>
        <v>62</v>
      </c>
      <c r="G67" s="77">
        <v>41.0</v>
      </c>
      <c r="H67" s="77"/>
      <c r="I67" s="77"/>
      <c r="J67" s="77">
        <v>5.0</v>
      </c>
      <c r="K67" s="76">
        <f t="shared" si="77"/>
        <v>46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91</v>
      </c>
      <c r="R67" s="75">
        <f t="shared" si="81"/>
        <v>0</v>
      </c>
      <c r="S67" s="75">
        <f t="shared" si="81"/>
        <v>0</v>
      </c>
      <c r="T67" s="75">
        <f t="shared" si="81"/>
        <v>17</v>
      </c>
      <c r="U67" s="76">
        <f t="shared" si="80"/>
        <v>108</v>
      </c>
      <c r="V67" s="2"/>
    </row>
    <row r="68" ht="15.0" customHeight="1">
      <c r="A68" s="74" t="s">
        <v>103</v>
      </c>
      <c r="B68" s="77">
        <v>58.0</v>
      </c>
      <c r="C68" s="77"/>
      <c r="D68" s="77"/>
      <c r="E68" s="77">
        <v>2.0</v>
      </c>
      <c r="F68" s="76">
        <f t="shared" si="76"/>
        <v>60</v>
      </c>
      <c r="G68" s="77">
        <v>127.0</v>
      </c>
      <c r="H68" s="77"/>
      <c r="I68" s="77"/>
      <c r="J68" s="77">
        <v>2.0</v>
      </c>
      <c r="K68" s="76">
        <f t="shared" si="77"/>
        <v>129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185</v>
      </c>
      <c r="R68" s="75">
        <f t="shared" si="82"/>
        <v>0</v>
      </c>
      <c r="S68" s="75">
        <f t="shared" si="82"/>
        <v>0</v>
      </c>
      <c r="T68" s="75">
        <f t="shared" si="82"/>
        <v>4</v>
      </c>
      <c r="U68" s="76">
        <f t="shared" si="80"/>
        <v>189</v>
      </c>
      <c r="V68" s="2"/>
    </row>
    <row r="69" ht="15.0" customHeight="1">
      <c r="A69" s="74" t="s">
        <v>59</v>
      </c>
      <c r="B69" s="77">
        <v>325.0</v>
      </c>
      <c r="C69" s="77"/>
      <c r="D69" s="77"/>
      <c r="E69" s="77">
        <v>36.0</v>
      </c>
      <c r="F69" s="76">
        <f t="shared" si="76"/>
        <v>361</v>
      </c>
      <c r="G69" s="77">
        <v>324.0</v>
      </c>
      <c r="H69" s="77"/>
      <c r="I69" s="77"/>
      <c r="J69" s="77">
        <v>11.0</v>
      </c>
      <c r="K69" s="76">
        <f t="shared" si="77"/>
        <v>335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649</v>
      </c>
      <c r="R69" s="75">
        <f t="shared" si="83"/>
        <v>0</v>
      </c>
      <c r="S69" s="75">
        <f t="shared" si="83"/>
        <v>0</v>
      </c>
      <c r="T69" s="75">
        <f t="shared" si="83"/>
        <v>47</v>
      </c>
      <c r="U69" s="76">
        <f t="shared" si="80"/>
        <v>696</v>
      </c>
      <c r="V69" s="2"/>
    </row>
    <row r="70" ht="15.0" customHeight="1">
      <c r="A70" s="74" t="s">
        <v>104</v>
      </c>
      <c r="B70" s="77">
        <v>392.0</v>
      </c>
      <c r="C70" s="77"/>
      <c r="D70" s="77"/>
      <c r="E70" s="77">
        <v>15.0</v>
      </c>
      <c r="F70" s="76">
        <f t="shared" si="76"/>
        <v>407</v>
      </c>
      <c r="G70" s="77">
        <v>76.0</v>
      </c>
      <c r="H70" s="77"/>
      <c r="I70" s="77"/>
      <c r="J70" s="77">
        <v>8.0</v>
      </c>
      <c r="K70" s="76">
        <f t="shared" si="77"/>
        <v>84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468</v>
      </c>
      <c r="R70" s="75">
        <f t="shared" si="84"/>
        <v>0</v>
      </c>
      <c r="S70" s="75">
        <f t="shared" si="84"/>
        <v>0</v>
      </c>
      <c r="T70" s="75">
        <f t="shared" si="84"/>
        <v>23</v>
      </c>
      <c r="U70" s="76">
        <f t="shared" si="80"/>
        <v>491</v>
      </c>
      <c r="V70" s="2"/>
    </row>
    <row r="71" ht="15.0" customHeight="1">
      <c r="A71" s="74" t="s">
        <v>105</v>
      </c>
      <c r="B71" s="77">
        <v>243.0</v>
      </c>
      <c r="C71" s="77"/>
      <c r="D71" s="77"/>
      <c r="E71" s="77">
        <v>61.0</v>
      </c>
      <c r="F71" s="76">
        <f t="shared" si="76"/>
        <v>304</v>
      </c>
      <c r="G71" s="77">
        <v>268.0</v>
      </c>
      <c r="H71" s="77"/>
      <c r="I71" s="77"/>
      <c r="J71" s="77">
        <v>24.0</v>
      </c>
      <c r="K71" s="76">
        <f t="shared" si="77"/>
        <v>292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511</v>
      </c>
      <c r="R71" s="75">
        <f t="shared" si="85"/>
        <v>0</v>
      </c>
      <c r="S71" s="75">
        <f t="shared" si="85"/>
        <v>0</v>
      </c>
      <c r="T71" s="75">
        <f t="shared" si="85"/>
        <v>85</v>
      </c>
      <c r="U71" s="76">
        <f t="shared" si="80"/>
        <v>596</v>
      </c>
      <c r="V71" s="2"/>
    </row>
    <row r="72" ht="15.0" customHeight="1">
      <c r="A72" s="74" t="s">
        <v>106</v>
      </c>
      <c r="B72" s="90">
        <v>184.0</v>
      </c>
      <c r="C72" s="90"/>
      <c r="D72" s="90"/>
      <c r="E72" s="90">
        <v>5.0</v>
      </c>
      <c r="F72" s="76">
        <f t="shared" si="76"/>
        <v>189</v>
      </c>
      <c r="G72" s="90">
        <v>4.0</v>
      </c>
      <c r="H72" s="90"/>
      <c r="I72" s="90"/>
      <c r="J72" s="90">
        <v>15.0</v>
      </c>
      <c r="K72" s="76">
        <f t="shared" si="77"/>
        <v>19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188</v>
      </c>
      <c r="R72" s="75">
        <f t="shared" si="86"/>
        <v>0</v>
      </c>
      <c r="S72" s="75">
        <f t="shared" si="86"/>
        <v>0</v>
      </c>
      <c r="T72" s="75">
        <f t="shared" si="86"/>
        <v>20</v>
      </c>
      <c r="U72" s="76">
        <f t="shared" si="80"/>
        <v>208</v>
      </c>
      <c r="V72" s="2"/>
    </row>
    <row r="73" ht="15.0" customHeight="1">
      <c r="A73" s="74" t="s">
        <v>107</v>
      </c>
      <c r="B73" s="77">
        <v>100.0</v>
      </c>
      <c r="C73" s="77"/>
      <c r="D73" s="77"/>
      <c r="E73" s="77">
        <v>5.0</v>
      </c>
      <c r="F73" s="76">
        <f t="shared" si="76"/>
        <v>105</v>
      </c>
      <c r="G73" s="77">
        <v>41.0</v>
      </c>
      <c r="H73" s="77"/>
      <c r="I73" s="77"/>
      <c r="J73" s="77">
        <v>2.0</v>
      </c>
      <c r="K73" s="76">
        <f t="shared" si="77"/>
        <v>43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141</v>
      </c>
      <c r="R73" s="75">
        <f t="shared" si="87"/>
        <v>0</v>
      </c>
      <c r="S73" s="75">
        <f t="shared" si="87"/>
        <v>0</v>
      </c>
      <c r="T73" s="75">
        <f t="shared" si="87"/>
        <v>7</v>
      </c>
      <c r="U73" s="76">
        <f t="shared" si="80"/>
        <v>148</v>
      </c>
      <c r="V73" s="2"/>
    </row>
    <row r="74" ht="15.0" customHeight="1">
      <c r="A74" s="74" t="s">
        <v>108</v>
      </c>
      <c r="B74" s="77">
        <v>264.0</v>
      </c>
      <c r="C74" s="77"/>
      <c r="D74" s="77"/>
      <c r="E74" s="77">
        <v>28.0</v>
      </c>
      <c r="F74" s="76">
        <f t="shared" si="76"/>
        <v>292</v>
      </c>
      <c r="G74" s="77">
        <v>234.0</v>
      </c>
      <c r="H74" s="77"/>
      <c r="I74" s="77"/>
      <c r="J74" s="77">
        <v>5.0</v>
      </c>
      <c r="K74" s="76">
        <f t="shared" si="77"/>
        <v>239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498</v>
      </c>
      <c r="R74" s="75">
        <f t="shared" si="88"/>
        <v>0</v>
      </c>
      <c r="S74" s="75">
        <f t="shared" si="88"/>
        <v>0</v>
      </c>
      <c r="T74" s="75">
        <f t="shared" si="88"/>
        <v>33</v>
      </c>
      <c r="U74" s="76">
        <f t="shared" si="80"/>
        <v>531</v>
      </c>
      <c r="V74" s="2"/>
    </row>
    <row r="75" ht="15.0" customHeight="1">
      <c r="A75" s="74" t="s">
        <v>109</v>
      </c>
      <c r="B75" s="77">
        <v>403.0</v>
      </c>
      <c r="C75" s="77"/>
      <c r="D75" s="77"/>
      <c r="E75" s="77">
        <v>17.0</v>
      </c>
      <c r="F75" s="76">
        <f t="shared" si="76"/>
        <v>420</v>
      </c>
      <c r="G75" s="77">
        <v>14.0</v>
      </c>
      <c r="H75" s="77"/>
      <c r="I75" s="77"/>
      <c r="J75" s="77">
        <v>2.0</v>
      </c>
      <c r="K75" s="76">
        <f t="shared" si="77"/>
        <v>16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417</v>
      </c>
      <c r="R75" s="75">
        <f t="shared" si="89"/>
        <v>0</v>
      </c>
      <c r="S75" s="75">
        <f t="shared" si="89"/>
        <v>0</v>
      </c>
      <c r="T75" s="75">
        <f t="shared" si="89"/>
        <v>19</v>
      </c>
      <c r="U75" s="76">
        <f t="shared" si="80"/>
        <v>436</v>
      </c>
      <c r="V75" s="2"/>
    </row>
    <row r="76" ht="15.0" customHeight="1">
      <c r="A76" s="74" t="s">
        <v>65</v>
      </c>
      <c r="B76" s="77">
        <v>15.0</v>
      </c>
      <c r="C76" s="77"/>
      <c r="D76" s="77"/>
      <c r="E76" s="77">
        <v>3.0</v>
      </c>
      <c r="F76" s="76">
        <f t="shared" si="76"/>
        <v>18</v>
      </c>
      <c r="G76" s="77">
        <v>19.0</v>
      </c>
      <c r="H76" s="77"/>
      <c r="I76" s="77"/>
      <c r="J76" s="77">
        <v>2.0</v>
      </c>
      <c r="K76" s="76">
        <f t="shared" si="77"/>
        <v>21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34</v>
      </c>
      <c r="R76" s="75">
        <f t="shared" si="90"/>
        <v>0</v>
      </c>
      <c r="S76" s="75">
        <f t="shared" si="90"/>
        <v>0</v>
      </c>
      <c r="T76" s="75">
        <f t="shared" si="90"/>
        <v>5</v>
      </c>
      <c r="U76" s="76">
        <f t="shared" si="80"/>
        <v>39</v>
      </c>
      <c r="V76" s="2"/>
    </row>
    <row r="77" ht="15.0" customHeight="1">
      <c r="A77" s="74" t="s">
        <v>110</v>
      </c>
      <c r="B77" s="77">
        <v>80.0</v>
      </c>
      <c r="C77" s="77"/>
      <c r="D77" s="77"/>
      <c r="E77" s="77">
        <v>16.0</v>
      </c>
      <c r="F77" s="76">
        <f t="shared" si="76"/>
        <v>96</v>
      </c>
      <c r="G77" s="77">
        <v>418.0</v>
      </c>
      <c r="H77" s="77"/>
      <c r="I77" s="77"/>
      <c r="J77" s="77">
        <v>24.0</v>
      </c>
      <c r="K77" s="76">
        <f t="shared" si="77"/>
        <v>442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498</v>
      </c>
      <c r="R77" s="75">
        <f t="shared" si="91"/>
        <v>0</v>
      </c>
      <c r="S77" s="75">
        <f t="shared" si="91"/>
        <v>0</v>
      </c>
      <c r="T77" s="75">
        <f t="shared" si="91"/>
        <v>40</v>
      </c>
      <c r="U77" s="76">
        <f t="shared" si="80"/>
        <v>538</v>
      </c>
      <c r="V77" s="2"/>
    </row>
    <row r="78" ht="15.0" customHeight="1">
      <c r="A78" s="74" t="s">
        <v>111</v>
      </c>
      <c r="B78" s="77">
        <v>44.0</v>
      </c>
      <c r="C78" s="77"/>
      <c r="D78" s="77"/>
      <c r="E78" s="77">
        <v>2.0</v>
      </c>
      <c r="F78" s="76">
        <f t="shared" si="76"/>
        <v>46</v>
      </c>
      <c r="G78" s="77">
        <v>44.0</v>
      </c>
      <c r="H78" s="77"/>
      <c r="I78" s="77"/>
      <c r="J78" s="77">
        <v>2.0</v>
      </c>
      <c r="K78" s="76">
        <f t="shared" si="77"/>
        <v>46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88</v>
      </c>
      <c r="R78" s="75">
        <f t="shared" si="92"/>
        <v>0</v>
      </c>
      <c r="S78" s="75">
        <f t="shared" si="92"/>
        <v>0</v>
      </c>
      <c r="T78" s="75">
        <f t="shared" si="92"/>
        <v>4</v>
      </c>
      <c r="U78" s="76">
        <f t="shared" si="80"/>
        <v>92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20799</v>
      </c>
      <c r="C9" s="70">
        <f t="shared" si="1"/>
        <v>27575</v>
      </c>
      <c r="D9" s="70">
        <f t="shared" si="1"/>
        <v>9234</v>
      </c>
      <c r="E9" s="70">
        <f t="shared" si="1"/>
        <v>6360</v>
      </c>
      <c r="F9" s="71">
        <f t="shared" si="1"/>
        <v>63968</v>
      </c>
      <c r="G9" s="70">
        <f t="shared" si="1"/>
        <v>5985</v>
      </c>
      <c r="H9" s="70">
        <f t="shared" si="1"/>
        <v>8574</v>
      </c>
      <c r="I9" s="70">
        <f t="shared" si="1"/>
        <v>1776</v>
      </c>
      <c r="J9" s="70">
        <f t="shared" si="1"/>
        <v>2863</v>
      </c>
      <c r="K9" s="71">
        <f t="shared" si="1"/>
        <v>19198</v>
      </c>
      <c r="L9" s="70">
        <f t="shared" si="1"/>
        <v>80</v>
      </c>
      <c r="M9" s="70">
        <f t="shared" si="1"/>
        <v>11</v>
      </c>
      <c r="N9" s="70">
        <f t="shared" si="1"/>
        <v>48</v>
      </c>
      <c r="O9" s="70">
        <f t="shared" si="1"/>
        <v>73</v>
      </c>
      <c r="P9" s="71">
        <f t="shared" si="1"/>
        <v>212</v>
      </c>
      <c r="Q9" s="70">
        <f t="shared" si="1"/>
        <v>26864</v>
      </c>
      <c r="R9" s="70">
        <f t="shared" si="1"/>
        <v>36160</v>
      </c>
      <c r="S9" s="70">
        <f t="shared" si="1"/>
        <v>11058</v>
      </c>
      <c r="T9" s="70">
        <f t="shared" si="1"/>
        <v>9296</v>
      </c>
      <c r="U9" s="71">
        <f t="shared" si="1"/>
        <v>83378</v>
      </c>
      <c r="V9" s="2"/>
    </row>
    <row r="10" ht="15.75" customHeight="1">
      <c r="A10" s="72" t="s">
        <v>49</v>
      </c>
      <c r="B10" s="73">
        <f t="shared" ref="B10:U10" si="2">SUM(B11:B16)</f>
        <v>22</v>
      </c>
      <c r="C10" s="73">
        <f t="shared" si="2"/>
        <v>66</v>
      </c>
      <c r="D10" s="73">
        <f t="shared" si="2"/>
        <v>130</v>
      </c>
      <c r="E10" s="73">
        <f t="shared" si="2"/>
        <v>215</v>
      </c>
      <c r="F10" s="73">
        <f t="shared" si="2"/>
        <v>433</v>
      </c>
      <c r="G10" s="73">
        <f t="shared" si="2"/>
        <v>4</v>
      </c>
      <c r="H10" s="73">
        <f t="shared" si="2"/>
        <v>38</v>
      </c>
      <c r="I10" s="73">
        <f t="shared" si="2"/>
        <v>7</v>
      </c>
      <c r="J10" s="73">
        <f t="shared" si="2"/>
        <v>39</v>
      </c>
      <c r="K10" s="73">
        <f t="shared" si="2"/>
        <v>88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26</v>
      </c>
      <c r="R10" s="73">
        <f t="shared" si="2"/>
        <v>104</v>
      </c>
      <c r="S10" s="73">
        <f t="shared" si="2"/>
        <v>137</v>
      </c>
      <c r="T10" s="73">
        <f t="shared" si="2"/>
        <v>254</v>
      </c>
      <c r="U10" s="73">
        <f t="shared" si="2"/>
        <v>521</v>
      </c>
      <c r="V10" s="2" t="s">
        <v>114</v>
      </c>
    </row>
    <row r="11" ht="15.0" customHeight="1">
      <c r="A11" s="74" t="s">
        <v>50</v>
      </c>
      <c r="B11" s="75">
        <v>18.0</v>
      </c>
      <c r="C11" s="75">
        <v>40.0</v>
      </c>
      <c r="D11" s="75">
        <v>6.0</v>
      </c>
      <c r="E11" s="75">
        <v>19.0</v>
      </c>
      <c r="F11" s="76">
        <f t="shared" ref="F11:F16" si="4">SUM(B11:E11)</f>
        <v>83</v>
      </c>
      <c r="G11" s="75">
        <v>4.0</v>
      </c>
      <c r="H11" s="75">
        <v>34.0</v>
      </c>
      <c r="I11" s="75">
        <v>7.0</v>
      </c>
      <c r="J11" s="75">
        <v>21.0</v>
      </c>
      <c r="K11" s="76">
        <f t="shared" ref="K11:K16" si="5">SUM(G11:J11)</f>
        <v>66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22</v>
      </c>
      <c r="R11" s="75">
        <f t="shared" si="3"/>
        <v>74</v>
      </c>
      <c r="S11" s="75">
        <f t="shared" si="3"/>
        <v>13</v>
      </c>
      <c r="T11" s="75">
        <f t="shared" si="3"/>
        <v>40</v>
      </c>
      <c r="U11" s="76">
        <f t="shared" ref="U11:U16" si="8">SUM(Q11:T11)</f>
        <v>149</v>
      </c>
      <c r="V11" s="2"/>
    </row>
    <row r="12" ht="15.0" customHeight="1">
      <c r="A12" s="74" t="s">
        <v>51</v>
      </c>
      <c r="B12" s="77">
        <v>4.0</v>
      </c>
      <c r="C12" s="77">
        <v>12.0</v>
      </c>
      <c r="D12" s="77"/>
      <c r="E12" s="77">
        <v>2.0</v>
      </c>
      <c r="F12" s="78">
        <f t="shared" si="4"/>
        <v>18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4</v>
      </c>
      <c r="R12" s="77">
        <f t="shared" si="7"/>
        <v>12</v>
      </c>
      <c r="S12" s="77">
        <f t="shared" si="7"/>
        <v>0</v>
      </c>
      <c r="T12" s="77">
        <f t="shared" si="7"/>
        <v>2</v>
      </c>
      <c r="U12" s="78">
        <f t="shared" si="8"/>
        <v>18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/>
      <c r="D14" s="77">
        <v>11.0</v>
      </c>
      <c r="E14" s="77">
        <v>81.0</v>
      </c>
      <c r="F14" s="78">
        <f t="shared" si="4"/>
        <v>92</v>
      </c>
      <c r="G14" s="77"/>
      <c r="H14" s="77">
        <v>4.0</v>
      </c>
      <c r="I14" s="77"/>
      <c r="J14" s="77"/>
      <c r="K14" s="78">
        <f t="shared" si="5"/>
        <v>4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4</v>
      </c>
      <c r="S14" s="77">
        <f t="shared" si="10"/>
        <v>11</v>
      </c>
      <c r="T14" s="77">
        <f t="shared" si="10"/>
        <v>81</v>
      </c>
      <c r="U14" s="78">
        <f t="shared" si="8"/>
        <v>96</v>
      </c>
      <c r="V14" s="2"/>
    </row>
    <row r="15" ht="15.0" customHeight="1">
      <c r="A15" s="74" t="s">
        <v>54</v>
      </c>
      <c r="B15" s="77"/>
      <c r="C15" s="77">
        <v>14.0</v>
      </c>
      <c r="D15" s="77">
        <v>113.0</v>
      </c>
      <c r="E15" s="77">
        <v>113.0</v>
      </c>
      <c r="F15" s="78">
        <f t="shared" si="4"/>
        <v>240</v>
      </c>
      <c r="G15" s="77"/>
      <c r="H15" s="77"/>
      <c r="I15" s="77"/>
      <c r="J15" s="77"/>
      <c r="K15" s="78">
        <f t="shared" si="5"/>
        <v>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14</v>
      </c>
      <c r="S15" s="77">
        <f t="shared" si="11"/>
        <v>113</v>
      </c>
      <c r="T15" s="77">
        <f t="shared" si="11"/>
        <v>113</v>
      </c>
      <c r="U15" s="78">
        <f t="shared" si="8"/>
        <v>240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>
        <v>18.0</v>
      </c>
      <c r="K16" s="78">
        <f t="shared" si="5"/>
        <v>18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18</v>
      </c>
      <c r="U16" s="78">
        <f t="shared" si="8"/>
        <v>18</v>
      </c>
      <c r="V16" s="2"/>
    </row>
    <row r="17" ht="15.75" customHeight="1">
      <c r="A17" s="72" t="s">
        <v>56</v>
      </c>
      <c r="B17" s="73">
        <f t="shared" ref="B17:Q17" si="13">SUM(B18:B28)</f>
        <v>11679</v>
      </c>
      <c r="C17" s="73">
        <f t="shared" si="13"/>
        <v>5766</v>
      </c>
      <c r="D17" s="73">
        <f t="shared" si="13"/>
        <v>810</v>
      </c>
      <c r="E17" s="73">
        <f t="shared" si="13"/>
        <v>46</v>
      </c>
      <c r="F17" s="73">
        <f t="shared" si="13"/>
        <v>18301</v>
      </c>
      <c r="G17" s="73">
        <f t="shared" si="13"/>
        <v>0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0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11679</v>
      </c>
      <c r="R17" s="73">
        <f>R18+R19+R20+R21+R22+R23+R24+R25+R26+R27+R28</f>
        <v>5766</v>
      </c>
      <c r="S17" s="73">
        <f t="shared" ref="S17:U17" si="14">SUM(S18:S28)</f>
        <v>810</v>
      </c>
      <c r="T17" s="73">
        <f t="shared" si="14"/>
        <v>46</v>
      </c>
      <c r="U17" s="73">
        <f t="shared" si="14"/>
        <v>18301</v>
      </c>
      <c r="V17" s="2" t="s">
        <v>114</v>
      </c>
    </row>
    <row r="18" ht="15.0" customHeight="1">
      <c r="A18" s="74" t="s">
        <v>57</v>
      </c>
      <c r="B18" s="75">
        <v>107.0</v>
      </c>
      <c r="C18" s="75">
        <v>369.0</v>
      </c>
      <c r="D18" s="75">
        <v>360.0</v>
      </c>
      <c r="E18" s="75">
        <v>46.0</v>
      </c>
      <c r="F18" s="76">
        <f t="shared" ref="F18:F28" si="16">SUM(B18:E18)</f>
        <v>882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107</v>
      </c>
      <c r="R18" s="75">
        <f t="shared" si="15"/>
        <v>369</v>
      </c>
      <c r="S18" s="75">
        <f t="shared" si="15"/>
        <v>360</v>
      </c>
      <c r="T18" s="75">
        <f t="shared" si="15"/>
        <v>46</v>
      </c>
      <c r="U18" s="76">
        <f t="shared" ref="U18:U28" si="20">SUM(Q18:T18)</f>
        <v>882</v>
      </c>
      <c r="V18" s="2"/>
    </row>
    <row r="19" ht="15.0" customHeight="1">
      <c r="A19" s="74" t="s">
        <v>58</v>
      </c>
      <c r="B19" s="77">
        <v>932.0</v>
      </c>
      <c r="C19" s="77">
        <v>3054.0</v>
      </c>
      <c r="D19" s="75">
        <v>262.0</v>
      </c>
      <c r="E19" s="75"/>
      <c r="F19" s="76">
        <f t="shared" si="16"/>
        <v>4248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932</v>
      </c>
      <c r="R19" s="75">
        <f t="shared" si="19"/>
        <v>3054</v>
      </c>
      <c r="S19" s="75">
        <f t="shared" si="19"/>
        <v>262</v>
      </c>
      <c r="T19" s="75">
        <f t="shared" si="19"/>
        <v>0</v>
      </c>
      <c r="U19" s="78">
        <f t="shared" si="20"/>
        <v>4248</v>
      </c>
      <c r="V19" s="2"/>
    </row>
    <row r="20" ht="15.0" customHeight="1">
      <c r="A20" s="74" t="s">
        <v>59</v>
      </c>
      <c r="B20" s="77"/>
      <c r="C20" s="77">
        <v>162.0</v>
      </c>
      <c r="D20" s="77">
        <v>30.0</v>
      </c>
      <c r="E20" s="77"/>
      <c r="F20" s="76">
        <f t="shared" si="16"/>
        <v>192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162</v>
      </c>
      <c r="S20" s="75">
        <f t="shared" si="21"/>
        <v>30</v>
      </c>
      <c r="T20" s="75">
        <f t="shared" si="21"/>
        <v>0</v>
      </c>
      <c r="U20" s="78">
        <f t="shared" si="20"/>
        <v>192</v>
      </c>
      <c r="V20" s="2"/>
    </row>
    <row r="21" ht="15.0" customHeight="1">
      <c r="A21" s="74" t="s">
        <v>60</v>
      </c>
      <c r="B21" s="77">
        <v>135.0</v>
      </c>
      <c r="C21" s="77">
        <v>156.0</v>
      </c>
      <c r="D21" s="77"/>
      <c r="E21" s="77"/>
      <c r="F21" s="76">
        <f t="shared" si="16"/>
        <v>291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135</v>
      </c>
      <c r="R21" s="75">
        <f t="shared" si="22"/>
        <v>156</v>
      </c>
      <c r="S21" s="75">
        <f t="shared" si="22"/>
        <v>0</v>
      </c>
      <c r="T21" s="75">
        <f t="shared" si="22"/>
        <v>0</v>
      </c>
      <c r="U21" s="78">
        <f t="shared" si="20"/>
        <v>291</v>
      </c>
      <c r="V21" s="2"/>
    </row>
    <row r="22" ht="15.0" customHeight="1">
      <c r="A22" s="74" t="s">
        <v>61</v>
      </c>
      <c r="B22" s="77">
        <v>81.0</v>
      </c>
      <c r="C22" s="77"/>
      <c r="D22" s="77"/>
      <c r="E22" s="77"/>
      <c r="F22" s="76">
        <f t="shared" si="16"/>
        <v>81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81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81</v>
      </c>
      <c r="V22" s="2"/>
    </row>
    <row r="23" ht="15.0" customHeight="1">
      <c r="A23" s="74" t="s">
        <v>62</v>
      </c>
      <c r="B23" s="77">
        <v>57.0</v>
      </c>
      <c r="C23" s="77">
        <v>511.0</v>
      </c>
      <c r="D23" s="77">
        <v>158.0</v>
      </c>
      <c r="E23" s="77"/>
      <c r="F23" s="76">
        <f t="shared" si="16"/>
        <v>726</v>
      </c>
      <c r="G23" s="77"/>
      <c r="H23" s="77"/>
      <c r="I23" s="77"/>
      <c r="J23" s="77"/>
      <c r="K23" s="76">
        <f t="shared" si="17"/>
        <v>0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57</v>
      </c>
      <c r="R23" s="75">
        <f t="shared" si="24"/>
        <v>511</v>
      </c>
      <c r="S23" s="75">
        <f t="shared" si="24"/>
        <v>158</v>
      </c>
      <c r="T23" s="75">
        <f t="shared" si="24"/>
        <v>0</v>
      </c>
      <c r="U23" s="78">
        <f t="shared" si="20"/>
        <v>726</v>
      </c>
      <c r="V23" s="2"/>
    </row>
    <row r="24" ht="15.0" customHeight="1">
      <c r="A24" s="74" t="s">
        <v>63</v>
      </c>
      <c r="B24" s="79">
        <v>186.0</v>
      </c>
      <c r="C24" s="77"/>
      <c r="D24" s="77"/>
      <c r="E24" s="77"/>
      <c r="F24" s="76">
        <f t="shared" si="16"/>
        <v>186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186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186</v>
      </c>
      <c r="V24" s="2"/>
    </row>
    <row r="25" ht="15.0" customHeight="1">
      <c r="A25" s="74" t="s">
        <v>17</v>
      </c>
      <c r="B25" s="75">
        <v>496.0</v>
      </c>
      <c r="C25" s="75"/>
      <c r="D25" s="77"/>
      <c r="E25" s="77"/>
      <c r="F25" s="76">
        <f t="shared" si="16"/>
        <v>496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496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496</v>
      </c>
      <c r="V25" s="2"/>
    </row>
    <row r="26" ht="15.0" customHeight="1">
      <c r="A26" s="74" t="s">
        <v>64</v>
      </c>
      <c r="B26" s="77">
        <v>5488.0</v>
      </c>
      <c r="C26" s="80"/>
      <c r="D26" s="80"/>
      <c r="E26" s="75"/>
      <c r="F26" s="76">
        <f t="shared" si="16"/>
        <v>5488</v>
      </c>
      <c r="G26" s="77"/>
      <c r="H26" s="77"/>
      <c r="I26" s="77"/>
      <c r="J26" s="77"/>
      <c r="K26" s="76">
        <f t="shared" si="17"/>
        <v>0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5488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5488</v>
      </c>
      <c r="V26" s="2"/>
    </row>
    <row r="27" ht="15.0" customHeight="1">
      <c r="A27" s="74" t="s">
        <v>65</v>
      </c>
      <c r="B27" s="77">
        <v>1118.0</v>
      </c>
      <c r="C27" s="77">
        <v>1042.0</v>
      </c>
      <c r="D27" s="77"/>
      <c r="E27" s="77"/>
      <c r="F27" s="76">
        <f t="shared" si="16"/>
        <v>2160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1118</v>
      </c>
      <c r="R27" s="75">
        <f t="shared" si="28"/>
        <v>1042</v>
      </c>
      <c r="S27" s="75">
        <f t="shared" si="28"/>
        <v>0</v>
      </c>
      <c r="T27" s="75">
        <f t="shared" si="28"/>
        <v>0</v>
      </c>
      <c r="U27" s="78">
        <f t="shared" si="20"/>
        <v>2160</v>
      </c>
      <c r="V27" s="2"/>
    </row>
    <row r="28" ht="15.75" customHeight="1">
      <c r="A28" s="74" t="s">
        <v>54</v>
      </c>
      <c r="B28" s="77">
        <v>3079.0</v>
      </c>
      <c r="C28" s="77">
        <v>472.0</v>
      </c>
      <c r="D28" s="77"/>
      <c r="E28" s="77"/>
      <c r="F28" s="76">
        <f t="shared" si="16"/>
        <v>3551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3079</v>
      </c>
      <c r="R28" s="75">
        <f t="shared" si="29"/>
        <v>472</v>
      </c>
      <c r="S28" s="75">
        <f t="shared" si="29"/>
        <v>0</v>
      </c>
      <c r="T28" s="75">
        <f t="shared" si="29"/>
        <v>0</v>
      </c>
      <c r="U28" s="78">
        <f t="shared" si="20"/>
        <v>3551</v>
      </c>
      <c r="V28" s="2"/>
    </row>
    <row r="29" ht="15.75" customHeight="1">
      <c r="A29" s="72" t="s">
        <v>66</v>
      </c>
      <c r="B29" s="73">
        <f t="shared" ref="B29:U29" si="30">SUM(B30:B44)</f>
        <v>0</v>
      </c>
      <c r="C29" s="73">
        <f t="shared" si="30"/>
        <v>15504</v>
      </c>
      <c r="D29" s="73">
        <f t="shared" si="30"/>
        <v>54</v>
      </c>
      <c r="E29" s="73">
        <f t="shared" si="30"/>
        <v>0</v>
      </c>
      <c r="F29" s="81">
        <f t="shared" si="30"/>
        <v>15558</v>
      </c>
      <c r="G29" s="73">
        <f t="shared" si="30"/>
        <v>0</v>
      </c>
      <c r="H29" s="73">
        <f t="shared" si="30"/>
        <v>1424</v>
      </c>
      <c r="I29" s="73">
        <f t="shared" si="30"/>
        <v>2</v>
      </c>
      <c r="J29" s="73">
        <f t="shared" si="30"/>
        <v>0</v>
      </c>
      <c r="K29" s="81">
        <f t="shared" si="30"/>
        <v>1426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0</v>
      </c>
      <c r="Q29" s="73">
        <f t="shared" si="30"/>
        <v>0</v>
      </c>
      <c r="R29" s="73">
        <f t="shared" si="30"/>
        <v>16928</v>
      </c>
      <c r="S29" s="73">
        <f t="shared" si="30"/>
        <v>56</v>
      </c>
      <c r="T29" s="73">
        <f t="shared" si="30"/>
        <v>0</v>
      </c>
      <c r="U29" s="81">
        <f t="shared" si="30"/>
        <v>16984</v>
      </c>
      <c r="V29" s="2"/>
    </row>
    <row r="30" ht="15.0" customHeight="1">
      <c r="A30" s="74" t="s">
        <v>67</v>
      </c>
      <c r="B30" s="75"/>
      <c r="C30" s="75">
        <v>371.0</v>
      </c>
      <c r="D30" s="75"/>
      <c r="E30" s="75"/>
      <c r="F30" s="76">
        <f t="shared" ref="F30:F44" si="32">SUM(B30:E30)</f>
        <v>371</v>
      </c>
      <c r="G30" s="75"/>
      <c r="H30" s="75">
        <v>45.0</v>
      </c>
      <c r="I30" s="75"/>
      <c r="J30" s="75"/>
      <c r="K30" s="76">
        <f t="shared" ref="K30:K44" si="33">SUM(G30:J30)</f>
        <v>45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416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416</v>
      </c>
      <c r="V30" s="2"/>
    </row>
    <row r="31" ht="15.0" customHeight="1">
      <c r="A31" s="74" t="s">
        <v>68</v>
      </c>
      <c r="B31" s="77"/>
      <c r="C31" s="77">
        <v>77.0</v>
      </c>
      <c r="D31" s="77"/>
      <c r="E31" s="77"/>
      <c r="F31" s="76">
        <f t="shared" si="32"/>
        <v>77</v>
      </c>
      <c r="G31" s="77"/>
      <c r="H31" s="77"/>
      <c r="I31" s="77"/>
      <c r="J31" s="77"/>
      <c r="K31" s="76">
        <f t="shared" si="33"/>
        <v>0</v>
      </c>
      <c r="L31" s="77"/>
      <c r="M31" s="77"/>
      <c r="N31" s="77"/>
      <c r="O31" s="77"/>
      <c r="P31" s="78">
        <f t="shared" si="34"/>
        <v>0</v>
      </c>
      <c r="Q31" s="77">
        <f t="shared" ref="Q31:T31" si="35">SUM(B31,G31,L31)</f>
        <v>0</v>
      </c>
      <c r="R31" s="77">
        <f t="shared" si="35"/>
        <v>77</v>
      </c>
      <c r="S31" s="77">
        <f t="shared" si="35"/>
        <v>0</v>
      </c>
      <c r="T31" s="77">
        <f t="shared" si="35"/>
        <v>0</v>
      </c>
      <c r="U31" s="78">
        <f t="shared" si="36"/>
        <v>77</v>
      </c>
      <c r="V31" s="2"/>
    </row>
    <row r="32" ht="15.0" customHeight="1">
      <c r="A32" s="74" t="s">
        <v>69</v>
      </c>
      <c r="B32" s="77"/>
      <c r="C32" s="77">
        <v>2321.0</v>
      </c>
      <c r="D32" s="77"/>
      <c r="E32" s="77"/>
      <c r="F32" s="76">
        <f t="shared" si="32"/>
        <v>2321</v>
      </c>
      <c r="G32" s="77"/>
      <c r="H32" s="77">
        <v>352.0</v>
      </c>
      <c r="I32" s="77"/>
      <c r="J32" s="77"/>
      <c r="K32" s="76">
        <f t="shared" si="33"/>
        <v>352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2673</v>
      </c>
      <c r="S32" s="77">
        <f t="shared" si="37"/>
        <v>0</v>
      </c>
      <c r="T32" s="77">
        <f t="shared" si="37"/>
        <v>0</v>
      </c>
      <c r="U32" s="78">
        <f t="shared" si="36"/>
        <v>2673</v>
      </c>
      <c r="V32" s="2"/>
    </row>
    <row r="33" ht="15.0" customHeight="1">
      <c r="A33" s="74" t="s">
        <v>70</v>
      </c>
      <c r="B33" s="77"/>
      <c r="C33" s="77">
        <v>610.0</v>
      </c>
      <c r="D33" s="77"/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610</v>
      </c>
      <c r="S33" s="77">
        <f t="shared" si="38"/>
        <v>0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/>
      <c r="C34" s="77">
        <v>440.0</v>
      </c>
      <c r="D34" s="77">
        <v>54.0</v>
      </c>
      <c r="E34" s="77"/>
      <c r="F34" s="76">
        <f t="shared" si="32"/>
        <v>494</v>
      </c>
      <c r="G34" s="77"/>
      <c r="H34" s="77">
        <v>40.0</v>
      </c>
      <c r="I34" s="77">
        <v>2.0</v>
      </c>
      <c r="J34" s="77"/>
      <c r="K34" s="76">
        <f t="shared" si="33"/>
        <v>42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0</v>
      </c>
      <c r="R34" s="77">
        <f t="shared" si="39"/>
        <v>480</v>
      </c>
      <c r="S34" s="77">
        <f t="shared" si="39"/>
        <v>56</v>
      </c>
      <c r="T34" s="77">
        <f t="shared" si="39"/>
        <v>0</v>
      </c>
      <c r="U34" s="78">
        <f t="shared" si="36"/>
        <v>536</v>
      </c>
      <c r="V34" s="2"/>
    </row>
    <row r="35" ht="15.0" customHeight="1">
      <c r="A35" s="74" t="s">
        <v>72</v>
      </c>
      <c r="B35" s="77"/>
      <c r="C35" s="77">
        <v>1765.0</v>
      </c>
      <c r="D35" s="77"/>
      <c r="E35" s="77"/>
      <c r="F35" s="76">
        <f t="shared" si="32"/>
        <v>1765</v>
      </c>
      <c r="G35" s="77"/>
      <c r="H35" s="77">
        <v>80.0</v>
      </c>
      <c r="I35" s="77"/>
      <c r="J35" s="77"/>
      <c r="K35" s="76">
        <f t="shared" si="33"/>
        <v>80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1845</v>
      </c>
      <c r="S35" s="77">
        <f t="shared" si="40"/>
        <v>0</v>
      </c>
      <c r="T35" s="77">
        <f t="shared" si="40"/>
        <v>0</v>
      </c>
      <c r="U35" s="78">
        <f t="shared" si="36"/>
        <v>1845</v>
      </c>
      <c r="V35" s="2"/>
    </row>
    <row r="36" ht="15.0" customHeight="1">
      <c r="A36" s="74" t="s">
        <v>73</v>
      </c>
      <c r="B36" s="77"/>
      <c r="C36" s="77">
        <v>1587.0</v>
      </c>
      <c r="D36" s="77"/>
      <c r="E36" s="77"/>
      <c r="F36" s="76">
        <f t="shared" si="32"/>
        <v>1587</v>
      </c>
      <c r="G36" s="77"/>
      <c r="H36" s="77">
        <v>88.0</v>
      </c>
      <c r="I36" s="77"/>
      <c r="J36" s="77"/>
      <c r="K36" s="76">
        <f t="shared" si="33"/>
        <v>88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1675</v>
      </c>
      <c r="S36" s="77">
        <f t="shared" si="41"/>
        <v>0</v>
      </c>
      <c r="T36" s="77">
        <f t="shared" si="41"/>
        <v>0</v>
      </c>
      <c r="U36" s="78">
        <f t="shared" si="36"/>
        <v>1675</v>
      </c>
      <c r="V36" s="2"/>
    </row>
    <row r="37" ht="15.0" customHeight="1">
      <c r="A37" s="74" t="s">
        <v>74</v>
      </c>
      <c r="B37" s="77"/>
      <c r="C37" s="77">
        <v>6064.0</v>
      </c>
      <c r="D37" s="77"/>
      <c r="E37" s="77"/>
      <c r="F37" s="76">
        <f t="shared" si="32"/>
        <v>6064</v>
      </c>
      <c r="G37" s="77"/>
      <c r="H37" s="77">
        <v>772.0</v>
      </c>
      <c r="I37" s="77"/>
      <c r="J37" s="77"/>
      <c r="K37" s="76">
        <f t="shared" si="33"/>
        <v>772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0</v>
      </c>
      <c r="R37" s="77">
        <f t="shared" si="42"/>
        <v>6836</v>
      </c>
      <c r="S37" s="77">
        <f t="shared" si="42"/>
        <v>0</v>
      </c>
      <c r="T37" s="77">
        <f t="shared" si="42"/>
        <v>0</v>
      </c>
      <c r="U37" s="78">
        <f t="shared" si="36"/>
        <v>6836</v>
      </c>
      <c r="V37" s="2"/>
    </row>
    <row r="38" ht="15.0" customHeight="1">
      <c r="A38" s="74" t="s">
        <v>75</v>
      </c>
      <c r="B38" s="77"/>
      <c r="C38" s="77">
        <v>4.0</v>
      </c>
      <c r="D38" s="77"/>
      <c r="E38" s="77"/>
      <c r="F38" s="76">
        <f t="shared" si="32"/>
        <v>4</v>
      </c>
      <c r="G38" s="77"/>
      <c r="H38" s="77">
        <v>12.0</v>
      </c>
      <c r="I38" s="77"/>
      <c r="J38" s="77"/>
      <c r="K38" s="76">
        <f t="shared" si="33"/>
        <v>12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0</v>
      </c>
      <c r="R38" s="77">
        <f t="shared" si="43"/>
        <v>16</v>
      </c>
      <c r="S38" s="77">
        <f t="shared" si="43"/>
        <v>0</v>
      </c>
      <c r="T38" s="77">
        <f t="shared" si="43"/>
        <v>0</v>
      </c>
      <c r="U38" s="78">
        <f t="shared" si="36"/>
        <v>16</v>
      </c>
      <c r="V38" s="2"/>
    </row>
    <row r="39" ht="15.0" customHeight="1">
      <c r="A39" s="74" t="s">
        <v>76</v>
      </c>
      <c r="B39" s="77"/>
      <c r="C39" s="77"/>
      <c r="D39" s="77"/>
      <c r="E39" s="77"/>
      <c r="F39" s="76">
        <f t="shared" si="32"/>
        <v>0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0</v>
      </c>
      <c r="S39" s="77">
        <f t="shared" si="44"/>
        <v>0</v>
      </c>
      <c r="T39" s="77">
        <f t="shared" si="44"/>
        <v>0</v>
      </c>
      <c r="U39" s="78">
        <f t="shared" si="36"/>
        <v>0</v>
      </c>
      <c r="V39" s="2"/>
    </row>
    <row r="40" ht="15.0" customHeight="1">
      <c r="A40" s="74" t="s">
        <v>77</v>
      </c>
      <c r="B40" s="77"/>
      <c r="C40" s="77">
        <v>4.0</v>
      </c>
      <c r="D40" s="77"/>
      <c r="E40" s="77"/>
      <c r="F40" s="76">
        <f t="shared" si="32"/>
        <v>4</v>
      </c>
      <c r="G40" s="77"/>
      <c r="H40" s="77">
        <v>9.0</v>
      </c>
      <c r="I40" s="77"/>
      <c r="J40" s="77"/>
      <c r="K40" s="76">
        <f t="shared" si="33"/>
        <v>9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0</v>
      </c>
      <c r="R40" s="77">
        <f t="shared" si="45"/>
        <v>13</v>
      </c>
      <c r="S40" s="77">
        <f t="shared" si="45"/>
        <v>0</v>
      </c>
      <c r="T40" s="77">
        <f t="shared" si="45"/>
        <v>0</v>
      </c>
      <c r="U40" s="78">
        <f t="shared" si="36"/>
        <v>13</v>
      </c>
      <c r="V40" s="2"/>
    </row>
    <row r="41" ht="15.0" customHeight="1">
      <c r="A41" s="74" t="s">
        <v>78</v>
      </c>
      <c r="B41" s="77"/>
      <c r="C41" s="77">
        <v>270.0</v>
      </c>
      <c r="D41" s="77"/>
      <c r="E41" s="77"/>
      <c r="F41" s="76">
        <f t="shared" si="32"/>
        <v>270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0</v>
      </c>
      <c r="R41" s="77">
        <f t="shared" si="46"/>
        <v>270</v>
      </c>
      <c r="S41" s="77">
        <f t="shared" si="46"/>
        <v>0</v>
      </c>
      <c r="T41" s="77">
        <f t="shared" si="46"/>
        <v>0</v>
      </c>
      <c r="U41" s="78">
        <f t="shared" si="36"/>
        <v>270</v>
      </c>
      <c r="V41" s="2"/>
    </row>
    <row r="42" ht="15.0" customHeight="1">
      <c r="A42" s="74" t="s">
        <v>79</v>
      </c>
      <c r="B42" s="77"/>
      <c r="C42" s="77">
        <v>50.0</v>
      </c>
      <c r="D42" s="77"/>
      <c r="E42" s="77"/>
      <c r="F42" s="76">
        <f t="shared" si="32"/>
        <v>50</v>
      </c>
      <c r="G42" s="77"/>
      <c r="H42" s="77">
        <v>26.0</v>
      </c>
      <c r="I42" s="77"/>
      <c r="J42" s="77"/>
      <c r="K42" s="76">
        <f t="shared" si="33"/>
        <v>26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0</v>
      </c>
      <c r="R42" s="77">
        <f t="shared" si="47"/>
        <v>76</v>
      </c>
      <c r="S42" s="77">
        <f t="shared" si="47"/>
        <v>0</v>
      </c>
      <c r="T42" s="77">
        <f t="shared" si="47"/>
        <v>0</v>
      </c>
      <c r="U42" s="78">
        <f t="shared" si="36"/>
        <v>76</v>
      </c>
      <c r="V42" s="2"/>
    </row>
    <row r="43" ht="15.0" customHeight="1">
      <c r="A43" s="74" t="s">
        <v>80</v>
      </c>
      <c r="B43" s="77"/>
      <c r="C43" s="77">
        <v>1016.0</v>
      </c>
      <c r="D43" s="77"/>
      <c r="E43" s="77"/>
      <c r="F43" s="76">
        <f t="shared" si="32"/>
        <v>1016</v>
      </c>
      <c r="G43" s="77"/>
      <c r="H43" s="77"/>
      <c r="I43" s="77"/>
      <c r="J43" s="77"/>
      <c r="K43" s="76">
        <f t="shared" si="33"/>
        <v>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0</v>
      </c>
      <c r="R43" s="77">
        <f t="shared" si="48"/>
        <v>1016</v>
      </c>
      <c r="S43" s="77">
        <f t="shared" si="48"/>
        <v>0</v>
      </c>
      <c r="T43" s="77">
        <f t="shared" si="48"/>
        <v>0</v>
      </c>
      <c r="U43" s="78">
        <f t="shared" si="36"/>
        <v>1016</v>
      </c>
      <c r="V43" s="2"/>
    </row>
    <row r="44" ht="15.75" customHeight="1">
      <c r="A44" s="74" t="s">
        <v>81</v>
      </c>
      <c r="B44" s="77"/>
      <c r="C44" s="77">
        <v>925.0</v>
      </c>
      <c r="D44" s="77"/>
      <c r="E44" s="77"/>
      <c r="F44" s="76">
        <f t="shared" si="32"/>
        <v>925</v>
      </c>
      <c r="G44" s="77"/>
      <c r="H44" s="77"/>
      <c r="I44" s="77"/>
      <c r="J44" s="77"/>
      <c r="K44" s="76">
        <f t="shared" si="33"/>
        <v>0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0</v>
      </c>
      <c r="R44" s="77">
        <f t="shared" si="49"/>
        <v>925</v>
      </c>
      <c r="S44" s="77">
        <f t="shared" si="49"/>
        <v>0</v>
      </c>
      <c r="T44" s="77">
        <f t="shared" si="49"/>
        <v>0</v>
      </c>
      <c r="U44" s="78">
        <f t="shared" si="36"/>
        <v>925</v>
      </c>
      <c r="V44" s="2"/>
    </row>
    <row r="45" ht="15.75" customHeight="1">
      <c r="A45" s="72" t="s">
        <v>82</v>
      </c>
      <c r="B45" s="73">
        <f t="shared" ref="B45:U45" si="50">SUM(B46:B63)</f>
        <v>9098</v>
      </c>
      <c r="C45" s="73">
        <f t="shared" si="50"/>
        <v>6239</v>
      </c>
      <c r="D45" s="73">
        <f t="shared" si="50"/>
        <v>8240</v>
      </c>
      <c r="E45" s="73">
        <f t="shared" si="50"/>
        <v>5852</v>
      </c>
      <c r="F45" s="81">
        <f t="shared" si="50"/>
        <v>29429</v>
      </c>
      <c r="G45" s="73">
        <f t="shared" si="50"/>
        <v>5981</v>
      </c>
      <c r="H45" s="73">
        <f t="shared" si="50"/>
        <v>7112</v>
      </c>
      <c r="I45" s="73">
        <f t="shared" si="50"/>
        <v>1767</v>
      </c>
      <c r="J45" s="73">
        <f t="shared" si="50"/>
        <v>2714</v>
      </c>
      <c r="K45" s="81">
        <f t="shared" si="50"/>
        <v>17574</v>
      </c>
      <c r="L45" s="73">
        <f t="shared" si="50"/>
        <v>80</v>
      </c>
      <c r="M45" s="73">
        <f t="shared" si="50"/>
        <v>11</v>
      </c>
      <c r="N45" s="73">
        <f t="shared" si="50"/>
        <v>48</v>
      </c>
      <c r="O45" s="73">
        <f t="shared" si="50"/>
        <v>73</v>
      </c>
      <c r="P45" s="81">
        <f t="shared" si="50"/>
        <v>212</v>
      </c>
      <c r="Q45" s="73">
        <f t="shared" si="50"/>
        <v>15159</v>
      </c>
      <c r="R45" s="73">
        <f t="shared" si="50"/>
        <v>13362</v>
      </c>
      <c r="S45" s="73">
        <f t="shared" si="50"/>
        <v>10055</v>
      </c>
      <c r="T45" s="73">
        <f t="shared" si="50"/>
        <v>8639</v>
      </c>
      <c r="U45" s="73">
        <f t="shared" si="50"/>
        <v>47215</v>
      </c>
      <c r="V45" s="2"/>
    </row>
    <row r="46" ht="15.0" customHeight="1">
      <c r="A46" s="74" t="s">
        <v>83</v>
      </c>
      <c r="B46" s="75">
        <v>875.0</v>
      </c>
      <c r="C46" s="75">
        <v>500.0</v>
      </c>
      <c r="D46" s="75">
        <v>430.0</v>
      </c>
      <c r="E46" s="75">
        <v>170.0</v>
      </c>
      <c r="F46" s="76">
        <f t="shared" ref="F46:F63" si="52">SUM(B46:E46)</f>
        <v>1975</v>
      </c>
      <c r="G46" s="75">
        <v>255.0</v>
      </c>
      <c r="H46" s="75">
        <v>90.0</v>
      </c>
      <c r="I46" s="75"/>
      <c r="J46" s="75">
        <v>430.0</v>
      </c>
      <c r="K46" s="76">
        <f t="shared" ref="K46:K63" si="53">SUM(G46:J46)</f>
        <v>775</v>
      </c>
      <c r="L46" s="75">
        <v>80.0</v>
      </c>
      <c r="M46" s="75"/>
      <c r="N46" s="75"/>
      <c r="O46" s="75"/>
      <c r="P46" s="76">
        <f t="shared" ref="P46:P63" si="54">SUM(L46:O46)</f>
        <v>80</v>
      </c>
      <c r="Q46" s="75">
        <f t="shared" ref="Q46:T46" si="51">SUM(B46,G46,L46)</f>
        <v>1210</v>
      </c>
      <c r="R46" s="75">
        <f t="shared" si="51"/>
        <v>590</v>
      </c>
      <c r="S46" s="75">
        <f t="shared" si="51"/>
        <v>430</v>
      </c>
      <c r="T46" s="75">
        <f t="shared" si="51"/>
        <v>600</v>
      </c>
      <c r="U46" s="76">
        <f t="shared" ref="U46:U63" si="56">SUM(Q46:T46)</f>
        <v>2830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163.0</v>
      </c>
      <c r="C49" s="77">
        <v>389.0</v>
      </c>
      <c r="D49" s="77">
        <v>638.0</v>
      </c>
      <c r="E49" s="77"/>
      <c r="F49" s="76">
        <f t="shared" si="52"/>
        <v>1190</v>
      </c>
      <c r="G49" s="77">
        <v>48.0</v>
      </c>
      <c r="H49" s="77">
        <v>331.0</v>
      </c>
      <c r="I49" s="77">
        <v>386.0</v>
      </c>
      <c r="J49" s="77"/>
      <c r="K49" s="76">
        <f t="shared" si="53"/>
        <v>765</v>
      </c>
      <c r="L49" s="77"/>
      <c r="M49" s="77">
        <v>11.0</v>
      </c>
      <c r="N49" s="77">
        <v>23.0</v>
      </c>
      <c r="O49" s="77"/>
      <c r="P49" s="76">
        <f t="shared" si="54"/>
        <v>34</v>
      </c>
      <c r="Q49" s="75">
        <f t="shared" ref="Q49:T49" si="58">SUM(B49,G49,L49)</f>
        <v>211</v>
      </c>
      <c r="R49" s="75">
        <f t="shared" si="58"/>
        <v>731</v>
      </c>
      <c r="S49" s="75">
        <f t="shared" si="58"/>
        <v>1047</v>
      </c>
      <c r="T49" s="75">
        <f t="shared" si="58"/>
        <v>0</v>
      </c>
      <c r="U49" s="78">
        <f t="shared" si="56"/>
        <v>1989</v>
      </c>
      <c r="V49" s="2"/>
    </row>
    <row r="50" ht="15.0" customHeight="1">
      <c r="A50" s="74" t="s">
        <v>87</v>
      </c>
      <c r="B50" s="77">
        <v>524.0</v>
      </c>
      <c r="C50" s="77">
        <v>270.0</v>
      </c>
      <c r="D50" s="77">
        <v>296.0</v>
      </c>
      <c r="E50" s="77"/>
      <c r="F50" s="76">
        <f t="shared" si="52"/>
        <v>1090</v>
      </c>
      <c r="G50" s="77">
        <v>223.0</v>
      </c>
      <c r="H50" s="77">
        <v>52.0</v>
      </c>
      <c r="I50" s="77">
        <v>80.0</v>
      </c>
      <c r="J50" s="77"/>
      <c r="K50" s="76">
        <f t="shared" si="53"/>
        <v>355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747</v>
      </c>
      <c r="R50" s="75">
        <f t="shared" si="59"/>
        <v>322</v>
      </c>
      <c r="S50" s="75">
        <f t="shared" si="59"/>
        <v>376</v>
      </c>
      <c r="T50" s="75">
        <f t="shared" si="59"/>
        <v>0</v>
      </c>
      <c r="U50" s="78">
        <f t="shared" si="56"/>
        <v>1445</v>
      </c>
      <c r="V50" s="2"/>
    </row>
    <row r="51" ht="15.0" customHeight="1">
      <c r="A51" s="74" t="s">
        <v>88</v>
      </c>
      <c r="B51" s="77"/>
      <c r="C51" s="77"/>
      <c r="D51" s="77"/>
      <c r="E51" s="77">
        <v>112.0</v>
      </c>
      <c r="F51" s="76">
        <f t="shared" si="52"/>
        <v>112</v>
      </c>
      <c r="G51" s="77"/>
      <c r="H51" s="77"/>
      <c r="I51" s="77"/>
      <c r="J51" s="77">
        <v>127.0</v>
      </c>
      <c r="K51" s="76">
        <f t="shared" si="53"/>
        <v>127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0</v>
      </c>
      <c r="R51" s="75">
        <f t="shared" si="60"/>
        <v>0</v>
      </c>
      <c r="S51" s="75">
        <f t="shared" si="60"/>
        <v>0</v>
      </c>
      <c r="T51" s="75">
        <f t="shared" si="60"/>
        <v>239</v>
      </c>
      <c r="U51" s="78">
        <f t="shared" si="56"/>
        <v>239</v>
      </c>
      <c r="V51" s="2"/>
    </row>
    <row r="52" ht="15.0" customHeight="1">
      <c r="A52" s="83" t="s">
        <v>89</v>
      </c>
      <c r="B52" s="84">
        <v>54.0</v>
      </c>
      <c r="C52" s="84">
        <v>206.0</v>
      </c>
      <c r="D52" s="84"/>
      <c r="E52" s="84"/>
      <c r="F52" s="85">
        <f t="shared" si="52"/>
        <v>260</v>
      </c>
      <c r="G52" s="84">
        <v>25.0</v>
      </c>
      <c r="H52" s="84">
        <v>166.0</v>
      </c>
      <c r="I52" s="84"/>
      <c r="J52" s="84"/>
      <c r="K52" s="85">
        <f t="shared" si="53"/>
        <v>191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79</v>
      </c>
      <c r="R52" s="86">
        <f t="shared" si="61"/>
        <v>372</v>
      </c>
      <c r="S52" s="86">
        <f t="shared" si="61"/>
        <v>0</v>
      </c>
      <c r="T52" s="86">
        <f t="shared" si="61"/>
        <v>0</v>
      </c>
      <c r="U52" s="87">
        <f t="shared" si="56"/>
        <v>451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6.0</v>
      </c>
      <c r="D53" s="77">
        <v>5.0</v>
      </c>
      <c r="E53" s="77">
        <v>3.0</v>
      </c>
      <c r="F53" s="76">
        <f t="shared" si="52"/>
        <v>16</v>
      </c>
      <c r="G53" s="77"/>
      <c r="H53" s="77"/>
      <c r="I53" s="77"/>
      <c r="J53" s="77"/>
      <c r="K53" s="76">
        <f t="shared" si="53"/>
        <v>0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2</v>
      </c>
      <c r="R53" s="75">
        <f t="shared" si="62"/>
        <v>6</v>
      </c>
      <c r="S53" s="75">
        <f t="shared" si="62"/>
        <v>5</v>
      </c>
      <c r="T53" s="75">
        <f t="shared" si="62"/>
        <v>3</v>
      </c>
      <c r="U53" s="78">
        <f t="shared" si="56"/>
        <v>16</v>
      </c>
      <c r="V53" s="2"/>
    </row>
    <row r="54" ht="15.0" customHeight="1">
      <c r="A54" s="74" t="s">
        <v>91</v>
      </c>
      <c r="B54" s="77">
        <v>508.0</v>
      </c>
      <c r="C54" s="77">
        <v>245.0</v>
      </c>
      <c r="D54" s="77"/>
      <c r="E54" s="77">
        <v>166.0</v>
      </c>
      <c r="F54" s="76">
        <f t="shared" si="52"/>
        <v>919</v>
      </c>
      <c r="G54" s="77">
        <v>240.0</v>
      </c>
      <c r="H54" s="77">
        <v>55.0</v>
      </c>
      <c r="I54" s="77"/>
      <c r="J54" s="77">
        <v>220.0</v>
      </c>
      <c r="K54" s="76">
        <f t="shared" si="53"/>
        <v>515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748</v>
      </c>
      <c r="R54" s="75">
        <f t="shared" si="63"/>
        <v>300</v>
      </c>
      <c r="S54" s="75">
        <f t="shared" si="63"/>
        <v>0</v>
      </c>
      <c r="T54" s="75">
        <f t="shared" si="63"/>
        <v>386</v>
      </c>
      <c r="U54" s="78">
        <f t="shared" si="56"/>
        <v>1434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>
        <v>339.0</v>
      </c>
      <c r="C56" s="77">
        <v>324.0</v>
      </c>
      <c r="D56" s="77">
        <v>146.0</v>
      </c>
      <c r="E56" s="77"/>
      <c r="F56" s="76">
        <f t="shared" si="52"/>
        <v>809</v>
      </c>
      <c r="G56" s="77">
        <v>604.0</v>
      </c>
      <c r="H56" s="77">
        <v>796.0</v>
      </c>
      <c r="I56" s="77">
        <v>393.0</v>
      </c>
      <c r="J56" s="77"/>
      <c r="K56" s="76">
        <f t="shared" si="53"/>
        <v>1793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943</v>
      </c>
      <c r="R56" s="75">
        <f t="shared" si="65"/>
        <v>1120</v>
      </c>
      <c r="S56" s="75">
        <f t="shared" si="65"/>
        <v>539</v>
      </c>
      <c r="T56" s="75">
        <f t="shared" si="65"/>
        <v>0</v>
      </c>
      <c r="U56" s="91">
        <f t="shared" si="56"/>
        <v>2602</v>
      </c>
      <c r="V56" s="2"/>
    </row>
    <row r="57" ht="15.0" customHeight="1">
      <c r="A57" s="74" t="s">
        <v>94</v>
      </c>
      <c r="B57" s="77">
        <v>2879.0</v>
      </c>
      <c r="C57" s="77">
        <v>1179.0</v>
      </c>
      <c r="D57" s="77">
        <v>6428.0</v>
      </c>
      <c r="E57" s="2">
        <v>3548.0</v>
      </c>
      <c r="F57" s="76">
        <f t="shared" si="52"/>
        <v>14034</v>
      </c>
      <c r="G57" s="77"/>
      <c r="H57" s="77"/>
      <c r="I57" s="2">
        <v>15.0</v>
      </c>
      <c r="J57" s="75">
        <v>106.0</v>
      </c>
      <c r="K57" s="76">
        <f t="shared" si="53"/>
        <v>121</v>
      </c>
      <c r="L57" s="77"/>
      <c r="M57" s="77"/>
      <c r="N57" s="77">
        <v>25.0</v>
      </c>
      <c r="O57" s="77">
        <v>60.0</v>
      </c>
      <c r="P57" s="76">
        <f t="shared" si="54"/>
        <v>85</v>
      </c>
      <c r="Q57" s="75">
        <f t="shared" ref="Q57:T57" si="66">SUM(B57,G57,L57)</f>
        <v>2879</v>
      </c>
      <c r="R57" s="75">
        <f t="shared" si="66"/>
        <v>1179</v>
      </c>
      <c r="S57" s="75">
        <f t="shared" si="66"/>
        <v>6468</v>
      </c>
      <c r="T57" s="75">
        <f t="shared" si="66"/>
        <v>3714</v>
      </c>
      <c r="U57" s="91">
        <f t="shared" si="56"/>
        <v>14240</v>
      </c>
      <c r="V57" s="2"/>
    </row>
    <row r="58" ht="15.0" customHeight="1">
      <c r="A58" s="74" t="s">
        <v>95</v>
      </c>
      <c r="B58" s="77">
        <v>68.0</v>
      </c>
      <c r="C58" s="77">
        <v>121.0</v>
      </c>
      <c r="D58" s="77">
        <v>15.0</v>
      </c>
      <c r="E58" s="77">
        <v>335.0</v>
      </c>
      <c r="F58" s="76">
        <f t="shared" si="52"/>
        <v>539</v>
      </c>
      <c r="G58" s="77">
        <v>17.0</v>
      </c>
      <c r="H58" s="77">
        <v>159.0</v>
      </c>
      <c r="I58" s="77">
        <v>97.0</v>
      </c>
      <c r="J58" s="77">
        <v>104.0</v>
      </c>
      <c r="K58" s="76">
        <f t="shared" si="53"/>
        <v>377</v>
      </c>
      <c r="L58" s="77"/>
      <c r="M58" s="77"/>
      <c r="N58" s="77"/>
      <c r="O58" s="77">
        <v>13.0</v>
      </c>
      <c r="P58" s="76">
        <f t="shared" si="54"/>
        <v>13</v>
      </c>
      <c r="Q58" s="75">
        <f t="shared" ref="Q58:T58" si="67">SUM(B58,G58,L58)</f>
        <v>85</v>
      </c>
      <c r="R58" s="75">
        <f t="shared" si="67"/>
        <v>280</v>
      </c>
      <c r="S58" s="75">
        <f t="shared" si="67"/>
        <v>112</v>
      </c>
      <c r="T58" s="75">
        <f t="shared" si="67"/>
        <v>452</v>
      </c>
      <c r="U58" s="91">
        <f t="shared" si="56"/>
        <v>929</v>
      </c>
      <c r="V58" s="2"/>
    </row>
    <row r="59" ht="15.0" customHeight="1">
      <c r="A59" s="74" t="s">
        <v>96</v>
      </c>
      <c r="B59" s="77">
        <v>488.0</v>
      </c>
      <c r="C59" s="77">
        <v>445.0</v>
      </c>
      <c r="D59" s="77">
        <v>60.0</v>
      </c>
      <c r="E59" s="77"/>
      <c r="F59" s="76">
        <f t="shared" si="52"/>
        <v>993</v>
      </c>
      <c r="G59" s="82">
        <v>683.0</v>
      </c>
      <c r="H59" s="82">
        <v>991.0</v>
      </c>
      <c r="I59" s="82">
        <v>200.0</v>
      </c>
      <c r="J59" s="77"/>
      <c r="K59" s="76">
        <f t="shared" si="53"/>
        <v>1874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1171</v>
      </c>
      <c r="R59" s="75">
        <f t="shared" si="68"/>
        <v>1436</v>
      </c>
      <c r="S59" s="75">
        <f t="shared" si="68"/>
        <v>260</v>
      </c>
      <c r="T59" s="75">
        <f t="shared" si="68"/>
        <v>0</v>
      </c>
      <c r="U59" s="91">
        <f t="shared" si="56"/>
        <v>2867</v>
      </c>
      <c r="V59" s="2"/>
    </row>
    <row r="60" ht="15.0" customHeight="1">
      <c r="A60" s="74" t="s">
        <v>17</v>
      </c>
      <c r="B60" s="77">
        <v>895.0</v>
      </c>
      <c r="C60" s="77">
        <v>357.0</v>
      </c>
      <c r="D60" s="77">
        <v>96.0</v>
      </c>
      <c r="E60" s="77">
        <v>872.0</v>
      </c>
      <c r="F60" s="76">
        <f t="shared" si="52"/>
        <v>2220</v>
      </c>
      <c r="G60" s="77"/>
      <c r="H60" s="77"/>
      <c r="I60" s="77">
        <v>231.0</v>
      </c>
      <c r="J60" s="77">
        <v>1045.0</v>
      </c>
      <c r="K60" s="76">
        <f t="shared" si="53"/>
        <v>1276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895</v>
      </c>
      <c r="R60" s="75">
        <f t="shared" si="69"/>
        <v>357</v>
      </c>
      <c r="S60" s="75">
        <f t="shared" si="69"/>
        <v>327</v>
      </c>
      <c r="T60" s="75">
        <f t="shared" si="69"/>
        <v>1917</v>
      </c>
      <c r="U60" s="78">
        <f t="shared" si="56"/>
        <v>3496</v>
      </c>
      <c r="V60" s="2"/>
    </row>
    <row r="61" ht="15.0" customHeight="1">
      <c r="A61" s="74" t="s">
        <v>78</v>
      </c>
      <c r="B61" s="80">
        <v>334.0</v>
      </c>
      <c r="C61" s="80">
        <v>856.0</v>
      </c>
      <c r="D61" s="80"/>
      <c r="E61" s="77"/>
      <c r="F61" s="76">
        <f t="shared" si="52"/>
        <v>1190</v>
      </c>
      <c r="G61" s="77">
        <v>531.0</v>
      </c>
      <c r="H61" s="77">
        <v>2468.0</v>
      </c>
      <c r="I61" s="77"/>
      <c r="J61" s="77"/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865</v>
      </c>
      <c r="R61" s="75">
        <f t="shared" si="70"/>
        <v>3324</v>
      </c>
      <c r="S61" s="75">
        <f t="shared" si="70"/>
        <v>0</v>
      </c>
      <c r="T61" s="75">
        <f t="shared" si="70"/>
        <v>0</v>
      </c>
      <c r="U61" s="78">
        <f t="shared" si="56"/>
        <v>4189</v>
      </c>
      <c r="V61" s="2"/>
    </row>
    <row r="62" ht="15.0" customHeight="1">
      <c r="A62" s="74" t="s">
        <v>97</v>
      </c>
      <c r="B62" s="77">
        <v>1044.0</v>
      </c>
      <c r="C62" s="77">
        <v>567.0</v>
      </c>
      <c r="D62" s="77">
        <v>57.0</v>
      </c>
      <c r="E62" s="77">
        <v>441.0</v>
      </c>
      <c r="F62" s="76">
        <f t="shared" si="52"/>
        <v>2109</v>
      </c>
      <c r="G62" s="77">
        <v>250.0</v>
      </c>
      <c r="H62" s="77">
        <v>144.0</v>
      </c>
      <c r="I62" s="77">
        <v>20.0</v>
      </c>
      <c r="J62" s="77">
        <v>272.0</v>
      </c>
      <c r="K62" s="76">
        <f t="shared" si="53"/>
        <v>686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1294</v>
      </c>
      <c r="R62" s="75">
        <f t="shared" si="71"/>
        <v>711</v>
      </c>
      <c r="S62" s="75">
        <f t="shared" si="71"/>
        <v>77</v>
      </c>
      <c r="T62" s="75">
        <f t="shared" si="71"/>
        <v>713</v>
      </c>
      <c r="U62" s="78">
        <f t="shared" si="56"/>
        <v>2795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3">SUM(C65:C78)</f>
        <v>0</v>
      </c>
      <c r="D64" s="73">
        <f t="shared" si="73"/>
        <v>0</v>
      </c>
      <c r="E64" s="73">
        <f t="shared" si="73"/>
        <v>247</v>
      </c>
      <c r="F64" s="73">
        <f t="shared" si="73"/>
        <v>247</v>
      </c>
      <c r="G64" s="73">
        <f t="shared" si="73"/>
        <v>0</v>
      </c>
      <c r="H64" s="73">
        <f t="shared" si="73"/>
        <v>0</v>
      </c>
      <c r="I64" s="73">
        <f t="shared" si="73"/>
        <v>0</v>
      </c>
      <c r="J64" s="73">
        <f t="shared" si="73"/>
        <v>110</v>
      </c>
      <c r="K64" s="73">
        <f t="shared" si="73"/>
        <v>110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0</v>
      </c>
      <c r="R64" s="73">
        <f t="shared" si="74"/>
        <v>0</v>
      </c>
      <c r="S64" s="73">
        <f t="shared" si="74"/>
        <v>0</v>
      </c>
      <c r="T64" s="73">
        <f t="shared" si="74"/>
        <v>357</v>
      </c>
      <c r="U64" s="73">
        <f t="shared" si="74"/>
        <v>357</v>
      </c>
      <c r="V64" s="2"/>
    </row>
    <row r="65" ht="15.0" customHeight="1">
      <c r="A65" s="74" t="s">
        <v>100</v>
      </c>
      <c r="B65" s="75"/>
      <c r="C65" s="75"/>
      <c r="D65" s="75"/>
      <c r="E65" s="75">
        <v>5.0</v>
      </c>
      <c r="F65" s="76">
        <f t="shared" ref="F65:F79" si="76">SUM(B65:E65)</f>
        <v>5</v>
      </c>
      <c r="G65" s="75"/>
      <c r="H65" s="75"/>
      <c r="I65" s="75"/>
      <c r="J65" s="75">
        <v>3.0</v>
      </c>
      <c r="K65" s="76">
        <f t="shared" ref="K65:K79" si="77">SUM(G65:J65)</f>
        <v>3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0</v>
      </c>
      <c r="R65" s="75">
        <f t="shared" si="75"/>
        <v>0</v>
      </c>
      <c r="S65" s="75">
        <f t="shared" si="75"/>
        <v>0</v>
      </c>
      <c r="T65" s="75">
        <f t="shared" si="75"/>
        <v>8</v>
      </c>
      <c r="U65" s="76">
        <f t="shared" ref="U65:U79" si="80">SUM(Q65:T65)</f>
        <v>8</v>
      </c>
      <c r="V65" s="2"/>
    </row>
    <row r="66" ht="15.0" customHeight="1">
      <c r="A66" s="74" t="s">
        <v>101</v>
      </c>
      <c r="B66" s="77"/>
      <c r="C66" s="77"/>
      <c r="D66" s="77"/>
      <c r="E66" s="77">
        <v>40.0</v>
      </c>
      <c r="F66" s="76">
        <f t="shared" si="76"/>
        <v>40</v>
      </c>
      <c r="G66" s="77"/>
      <c r="H66" s="77"/>
      <c r="I66" s="77"/>
      <c r="J66" s="77">
        <v>5.0</v>
      </c>
      <c r="K66" s="76">
        <f t="shared" si="77"/>
        <v>5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0</v>
      </c>
      <c r="R66" s="75">
        <f t="shared" si="79"/>
        <v>0</v>
      </c>
      <c r="S66" s="75">
        <f t="shared" si="79"/>
        <v>0</v>
      </c>
      <c r="T66" s="75">
        <f t="shared" si="79"/>
        <v>45</v>
      </c>
      <c r="U66" s="76">
        <f t="shared" si="80"/>
        <v>45</v>
      </c>
      <c r="V66" s="2"/>
    </row>
    <row r="67" ht="15.0" customHeight="1">
      <c r="A67" s="74" t="s">
        <v>102</v>
      </c>
      <c r="B67" s="77"/>
      <c r="C67" s="77"/>
      <c r="D67" s="77"/>
      <c r="E67" s="77">
        <v>12.0</v>
      </c>
      <c r="F67" s="76">
        <f t="shared" si="76"/>
        <v>12</v>
      </c>
      <c r="G67" s="77"/>
      <c r="H67" s="77"/>
      <c r="I67" s="77"/>
      <c r="J67" s="77">
        <v>5.0</v>
      </c>
      <c r="K67" s="76">
        <f t="shared" si="77"/>
        <v>5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0</v>
      </c>
      <c r="R67" s="75">
        <f t="shared" si="81"/>
        <v>0</v>
      </c>
      <c r="S67" s="75">
        <f t="shared" si="81"/>
        <v>0</v>
      </c>
      <c r="T67" s="75">
        <f t="shared" si="81"/>
        <v>17</v>
      </c>
      <c r="U67" s="76">
        <f t="shared" si="80"/>
        <v>17</v>
      </c>
      <c r="V67" s="2"/>
    </row>
    <row r="68" ht="15.0" customHeight="1">
      <c r="A68" s="74" t="s">
        <v>103</v>
      </c>
      <c r="B68" s="77"/>
      <c r="C68" s="77"/>
      <c r="D68" s="77"/>
      <c r="E68" s="77">
        <v>2.0</v>
      </c>
      <c r="F68" s="76">
        <f t="shared" si="76"/>
        <v>2</v>
      </c>
      <c r="G68" s="77"/>
      <c r="H68" s="77"/>
      <c r="I68" s="77"/>
      <c r="J68" s="77">
        <v>2.0</v>
      </c>
      <c r="K68" s="76">
        <f t="shared" si="77"/>
        <v>2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0</v>
      </c>
      <c r="R68" s="75">
        <f t="shared" si="82"/>
        <v>0</v>
      </c>
      <c r="S68" s="75">
        <f t="shared" si="82"/>
        <v>0</v>
      </c>
      <c r="T68" s="75">
        <f t="shared" si="82"/>
        <v>4</v>
      </c>
      <c r="U68" s="76">
        <f t="shared" si="80"/>
        <v>4</v>
      </c>
      <c r="V68" s="2"/>
    </row>
    <row r="69" ht="15.0" customHeight="1">
      <c r="A69" s="74" t="s">
        <v>59</v>
      </c>
      <c r="B69" s="77"/>
      <c r="C69" s="77"/>
      <c r="D69" s="77"/>
      <c r="E69" s="77">
        <v>36.0</v>
      </c>
      <c r="F69" s="76">
        <f t="shared" si="76"/>
        <v>36</v>
      </c>
      <c r="G69" s="77"/>
      <c r="H69" s="77"/>
      <c r="I69" s="77"/>
      <c r="J69" s="77">
        <v>11.0</v>
      </c>
      <c r="K69" s="76">
        <f t="shared" si="77"/>
        <v>11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0</v>
      </c>
      <c r="R69" s="75">
        <f t="shared" si="83"/>
        <v>0</v>
      </c>
      <c r="S69" s="75">
        <f t="shared" si="83"/>
        <v>0</v>
      </c>
      <c r="T69" s="75">
        <f t="shared" si="83"/>
        <v>47</v>
      </c>
      <c r="U69" s="76">
        <f t="shared" si="80"/>
        <v>47</v>
      </c>
      <c r="V69" s="2"/>
    </row>
    <row r="70" ht="15.0" customHeight="1">
      <c r="A70" s="74" t="s">
        <v>104</v>
      </c>
      <c r="B70" s="77"/>
      <c r="C70" s="77"/>
      <c r="D70" s="77"/>
      <c r="E70" s="77">
        <v>15.0</v>
      </c>
      <c r="F70" s="76">
        <f t="shared" si="76"/>
        <v>15</v>
      </c>
      <c r="G70" s="77"/>
      <c r="H70" s="77"/>
      <c r="I70" s="77"/>
      <c r="J70" s="77">
        <v>8.0</v>
      </c>
      <c r="K70" s="76">
        <f t="shared" si="77"/>
        <v>8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0</v>
      </c>
      <c r="R70" s="75">
        <f t="shared" si="84"/>
        <v>0</v>
      </c>
      <c r="S70" s="75">
        <f t="shared" si="84"/>
        <v>0</v>
      </c>
      <c r="T70" s="75">
        <f t="shared" si="84"/>
        <v>23</v>
      </c>
      <c r="U70" s="76">
        <f t="shared" si="80"/>
        <v>23</v>
      </c>
      <c r="V70" s="2"/>
    </row>
    <row r="71" ht="15.0" customHeight="1">
      <c r="A71" s="74" t="s">
        <v>105</v>
      </c>
      <c r="B71" s="77"/>
      <c r="C71" s="77"/>
      <c r="D71" s="77"/>
      <c r="E71" s="77">
        <v>61.0</v>
      </c>
      <c r="F71" s="76">
        <f t="shared" si="76"/>
        <v>61</v>
      </c>
      <c r="G71" s="77"/>
      <c r="H71" s="77"/>
      <c r="I71" s="77"/>
      <c r="J71" s="77">
        <v>24.0</v>
      </c>
      <c r="K71" s="76">
        <f t="shared" si="77"/>
        <v>24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0</v>
      </c>
      <c r="R71" s="75">
        <f t="shared" si="85"/>
        <v>0</v>
      </c>
      <c r="S71" s="75">
        <f t="shared" si="85"/>
        <v>0</v>
      </c>
      <c r="T71" s="75">
        <f t="shared" si="85"/>
        <v>85</v>
      </c>
      <c r="U71" s="76">
        <f t="shared" si="80"/>
        <v>85</v>
      </c>
      <c r="V71" s="2"/>
    </row>
    <row r="72" ht="15.0" customHeight="1">
      <c r="A72" s="74" t="s">
        <v>106</v>
      </c>
      <c r="B72" s="90"/>
      <c r="C72" s="90"/>
      <c r="D72" s="90"/>
      <c r="E72" s="90">
        <v>5.0</v>
      </c>
      <c r="F72" s="76">
        <f t="shared" si="76"/>
        <v>5</v>
      </c>
      <c r="G72" s="90"/>
      <c r="H72" s="90"/>
      <c r="I72" s="90"/>
      <c r="J72" s="90">
        <v>15.0</v>
      </c>
      <c r="K72" s="76">
        <f t="shared" si="77"/>
        <v>15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0</v>
      </c>
      <c r="R72" s="75">
        <f t="shared" si="86"/>
        <v>0</v>
      </c>
      <c r="S72" s="75">
        <f t="shared" si="86"/>
        <v>0</v>
      </c>
      <c r="T72" s="75">
        <f t="shared" si="86"/>
        <v>20</v>
      </c>
      <c r="U72" s="76">
        <f t="shared" si="80"/>
        <v>20</v>
      </c>
      <c r="V72" s="2"/>
    </row>
    <row r="73" ht="15.0" customHeight="1">
      <c r="A73" s="74" t="s">
        <v>107</v>
      </c>
      <c r="B73" s="77"/>
      <c r="C73" s="77"/>
      <c r="D73" s="77"/>
      <c r="E73" s="77">
        <v>5.0</v>
      </c>
      <c r="F73" s="76">
        <f t="shared" si="76"/>
        <v>5</v>
      </c>
      <c r="G73" s="77"/>
      <c r="H73" s="77"/>
      <c r="I73" s="77"/>
      <c r="J73" s="77">
        <v>2.0</v>
      </c>
      <c r="K73" s="76">
        <f t="shared" si="77"/>
        <v>2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0</v>
      </c>
      <c r="R73" s="75">
        <f t="shared" si="87"/>
        <v>0</v>
      </c>
      <c r="S73" s="75">
        <f t="shared" si="87"/>
        <v>0</v>
      </c>
      <c r="T73" s="75">
        <f t="shared" si="87"/>
        <v>7</v>
      </c>
      <c r="U73" s="76">
        <f t="shared" si="80"/>
        <v>7</v>
      </c>
      <c r="V73" s="2"/>
    </row>
    <row r="74" ht="15.0" customHeight="1">
      <c r="A74" s="74" t="s">
        <v>108</v>
      </c>
      <c r="B74" s="77"/>
      <c r="C74" s="77"/>
      <c r="D74" s="77"/>
      <c r="E74" s="77">
        <v>28.0</v>
      </c>
      <c r="F74" s="76">
        <f t="shared" si="76"/>
        <v>28</v>
      </c>
      <c r="G74" s="77"/>
      <c r="H74" s="77"/>
      <c r="I74" s="77"/>
      <c r="J74" s="77">
        <v>5.0</v>
      </c>
      <c r="K74" s="76">
        <f t="shared" si="77"/>
        <v>5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0</v>
      </c>
      <c r="R74" s="75">
        <f t="shared" si="88"/>
        <v>0</v>
      </c>
      <c r="S74" s="75">
        <f t="shared" si="88"/>
        <v>0</v>
      </c>
      <c r="T74" s="75">
        <f t="shared" si="88"/>
        <v>33</v>
      </c>
      <c r="U74" s="76">
        <f t="shared" si="80"/>
        <v>33</v>
      </c>
      <c r="V74" s="2"/>
    </row>
    <row r="75" ht="15.0" customHeight="1">
      <c r="A75" s="74" t="s">
        <v>109</v>
      </c>
      <c r="B75" s="77"/>
      <c r="C75" s="77"/>
      <c r="D75" s="77"/>
      <c r="E75" s="77">
        <v>17.0</v>
      </c>
      <c r="F75" s="76">
        <f t="shared" si="76"/>
        <v>17</v>
      </c>
      <c r="G75" s="77"/>
      <c r="H75" s="77"/>
      <c r="I75" s="77"/>
      <c r="J75" s="77">
        <v>2.0</v>
      </c>
      <c r="K75" s="76">
        <f t="shared" si="77"/>
        <v>2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0</v>
      </c>
      <c r="R75" s="75">
        <f t="shared" si="89"/>
        <v>0</v>
      </c>
      <c r="S75" s="75">
        <f t="shared" si="89"/>
        <v>0</v>
      </c>
      <c r="T75" s="75">
        <f t="shared" si="89"/>
        <v>19</v>
      </c>
      <c r="U75" s="76">
        <f t="shared" si="80"/>
        <v>19</v>
      </c>
      <c r="V75" s="2"/>
    </row>
    <row r="76" ht="15.0" customHeight="1">
      <c r="A76" s="74" t="s">
        <v>65</v>
      </c>
      <c r="B76" s="77"/>
      <c r="C76" s="77"/>
      <c r="D76" s="77"/>
      <c r="E76" s="77">
        <v>3.0</v>
      </c>
      <c r="F76" s="76">
        <f t="shared" si="76"/>
        <v>3</v>
      </c>
      <c r="G76" s="77"/>
      <c r="H76" s="77"/>
      <c r="I76" s="77"/>
      <c r="J76" s="77">
        <v>2.0</v>
      </c>
      <c r="K76" s="76">
        <f t="shared" si="77"/>
        <v>2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0</v>
      </c>
      <c r="R76" s="75">
        <f t="shared" si="90"/>
        <v>0</v>
      </c>
      <c r="S76" s="75">
        <f t="shared" si="90"/>
        <v>0</v>
      </c>
      <c r="T76" s="75">
        <f t="shared" si="90"/>
        <v>5</v>
      </c>
      <c r="U76" s="76">
        <f t="shared" si="80"/>
        <v>5</v>
      </c>
      <c r="V76" s="2"/>
    </row>
    <row r="77" ht="15.0" customHeight="1">
      <c r="A77" s="74" t="s">
        <v>110</v>
      </c>
      <c r="B77" s="77"/>
      <c r="C77" s="77"/>
      <c r="D77" s="77"/>
      <c r="E77" s="77">
        <v>16.0</v>
      </c>
      <c r="F77" s="76">
        <f t="shared" si="76"/>
        <v>16</v>
      </c>
      <c r="G77" s="77"/>
      <c r="H77" s="77"/>
      <c r="I77" s="77"/>
      <c r="J77" s="77">
        <v>24.0</v>
      </c>
      <c r="K77" s="76">
        <f t="shared" si="77"/>
        <v>24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0</v>
      </c>
      <c r="R77" s="75">
        <f t="shared" si="91"/>
        <v>0</v>
      </c>
      <c r="S77" s="75">
        <f t="shared" si="91"/>
        <v>0</v>
      </c>
      <c r="T77" s="75">
        <f t="shared" si="91"/>
        <v>40</v>
      </c>
      <c r="U77" s="76">
        <f t="shared" si="80"/>
        <v>40</v>
      </c>
      <c r="V77" s="2"/>
    </row>
    <row r="78" ht="15.0" customHeight="1">
      <c r="A78" s="74" t="s">
        <v>111</v>
      </c>
      <c r="B78" s="77"/>
      <c r="C78" s="77"/>
      <c r="D78" s="77"/>
      <c r="E78" s="77">
        <v>2.0</v>
      </c>
      <c r="F78" s="76">
        <f t="shared" si="76"/>
        <v>2</v>
      </c>
      <c r="G78" s="77"/>
      <c r="H78" s="77"/>
      <c r="I78" s="77"/>
      <c r="J78" s="77">
        <v>2.0</v>
      </c>
      <c r="K78" s="76">
        <f t="shared" si="77"/>
        <v>2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0</v>
      </c>
      <c r="R78" s="75">
        <f t="shared" si="92"/>
        <v>0</v>
      </c>
      <c r="S78" s="75">
        <f t="shared" si="92"/>
        <v>0</v>
      </c>
      <c r="T78" s="75">
        <f t="shared" si="92"/>
        <v>4</v>
      </c>
      <c r="U78" s="76">
        <f t="shared" si="80"/>
        <v>4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30.43"/>
    <col customWidth="1" min="2" max="2" width="13.43"/>
    <col customWidth="1" min="3" max="4" width="12.57"/>
    <col customWidth="1" min="5" max="5" width="14.0"/>
    <col customWidth="1" min="6" max="6" width="14.57"/>
    <col customWidth="1" min="7" max="7" width="12.43"/>
    <col customWidth="1" min="8" max="9" width="12.57"/>
    <col customWidth="1" min="10" max="10" width="12.43"/>
    <col customWidth="1" min="11" max="11" width="14.0"/>
    <col customWidth="1" min="12" max="16" width="11.43"/>
    <col customWidth="1" min="17" max="18" width="13.43"/>
    <col customWidth="1" min="19" max="19" width="13.14"/>
    <col customWidth="1" min="20" max="20" width="14.43"/>
    <col customWidth="1" min="21" max="21" width="15.14"/>
    <col customWidth="1" min="22" max="22" width="11.43"/>
    <col customWidth="1" min="23" max="26" width="8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1.0" customHeight="1">
      <c r="A2" s="1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1.0" customHeight="1">
      <c r="A3" s="58" t="s">
        <v>132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59" t="s">
        <v>39</v>
      </c>
      <c r="B5" s="60" t="s">
        <v>40</v>
      </c>
      <c r="C5" s="61"/>
      <c r="D5" s="61"/>
      <c r="E5" s="61"/>
      <c r="F5" s="62"/>
      <c r="G5" s="60" t="s">
        <v>41</v>
      </c>
      <c r="H5" s="61"/>
      <c r="I5" s="61"/>
      <c r="J5" s="61"/>
      <c r="K5" s="62"/>
      <c r="L5" s="60" t="s">
        <v>42</v>
      </c>
      <c r="M5" s="61"/>
      <c r="N5" s="61"/>
      <c r="O5" s="61"/>
      <c r="P5" s="62"/>
      <c r="Q5" s="60" t="s">
        <v>43</v>
      </c>
      <c r="R5" s="61"/>
      <c r="S5" s="61"/>
      <c r="T5" s="61"/>
      <c r="U5" s="62"/>
      <c r="V5" s="2"/>
    </row>
    <row r="6" ht="15.75" customHeight="1">
      <c r="A6" s="63"/>
      <c r="B6" s="14" t="s">
        <v>44</v>
      </c>
      <c r="C6" s="14" t="s">
        <v>45</v>
      </c>
      <c r="D6" s="14" t="s">
        <v>46</v>
      </c>
      <c r="E6" s="14" t="s">
        <v>47</v>
      </c>
      <c r="F6" s="15" t="s">
        <v>13</v>
      </c>
      <c r="G6" s="14" t="s">
        <v>44</v>
      </c>
      <c r="H6" s="14" t="s">
        <v>45</v>
      </c>
      <c r="I6" s="14" t="s">
        <v>46</v>
      </c>
      <c r="J6" s="14" t="s">
        <v>47</v>
      </c>
      <c r="K6" s="15" t="s">
        <v>13</v>
      </c>
      <c r="L6" s="14" t="s">
        <v>44</v>
      </c>
      <c r="M6" s="14" t="s">
        <v>45</v>
      </c>
      <c r="N6" s="14" t="s">
        <v>46</v>
      </c>
      <c r="O6" s="14" t="s">
        <v>47</v>
      </c>
      <c r="P6" s="15" t="s">
        <v>13</v>
      </c>
      <c r="Q6" s="14" t="s">
        <v>44</v>
      </c>
      <c r="R6" s="14" t="s">
        <v>45</v>
      </c>
      <c r="S6" s="14" t="s">
        <v>46</v>
      </c>
      <c r="T6" s="14" t="s">
        <v>47</v>
      </c>
      <c r="U6" s="15" t="s">
        <v>13</v>
      </c>
      <c r="V6" s="2"/>
    </row>
    <row r="7" ht="15.0" customHeight="1">
      <c r="A7" s="63"/>
      <c r="B7" s="64"/>
      <c r="C7" s="64"/>
      <c r="D7" s="64"/>
      <c r="E7" s="64"/>
      <c r="F7" s="65"/>
      <c r="G7" s="64"/>
      <c r="H7" s="64"/>
      <c r="I7" s="64"/>
      <c r="J7" s="64"/>
      <c r="K7" s="65"/>
      <c r="L7" s="64"/>
      <c r="M7" s="64"/>
      <c r="N7" s="64"/>
      <c r="O7" s="64"/>
      <c r="P7" s="65"/>
      <c r="Q7" s="64"/>
      <c r="R7" s="64"/>
      <c r="S7" s="64"/>
      <c r="T7" s="64"/>
      <c r="U7" s="65"/>
      <c r="V7" s="2"/>
    </row>
    <row r="8" ht="31.5" customHeight="1">
      <c r="A8" s="66"/>
      <c r="B8" s="67"/>
      <c r="C8" s="67"/>
      <c r="D8" s="67"/>
      <c r="E8" s="67"/>
      <c r="F8" s="68"/>
      <c r="G8" s="67"/>
      <c r="H8" s="67"/>
      <c r="I8" s="67"/>
      <c r="J8" s="67"/>
      <c r="K8" s="68"/>
      <c r="L8" s="67"/>
      <c r="M8" s="67"/>
      <c r="N8" s="67"/>
      <c r="O8" s="67"/>
      <c r="P8" s="68"/>
      <c r="Q8" s="67"/>
      <c r="R8" s="67"/>
      <c r="S8" s="67"/>
      <c r="T8" s="67"/>
      <c r="U8" s="68"/>
      <c r="V8" s="2"/>
    </row>
    <row r="9" ht="18.0" customHeight="1">
      <c r="A9" s="69" t="s">
        <v>48</v>
      </c>
      <c r="B9" s="70">
        <f t="shared" ref="B9:U9" si="1">SUM(B10,B17,B29,B45,B64)</f>
        <v>10489</v>
      </c>
      <c r="C9" s="70">
        <f t="shared" si="1"/>
        <v>22160</v>
      </c>
      <c r="D9" s="70">
        <f t="shared" si="1"/>
        <v>8300</v>
      </c>
      <c r="E9" s="70">
        <f t="shared" si="1"/>
        <v>6129</v>
      </c>
      <c r="F9" s="71">
        <f t="shared" si="1"/>
        <v>47078</v>
      </c>
      <c r="G9" s="70">
        <f t="shared" si="1"/>
        <v>7318</v>
      </c>
      <c r="H9" s="70">
        <f t="shared" si="1"/>
        <v>8536</v>
      </c>
      <c r="I9" s="70">
        <f t="shared" si="1"/>
        <v>1769</v>
      </c>
      <c r="J9" s="70">
        <f t="shared" si="1"/>
        <v>2845</v>
      </c>
      <c r="K9" s="71">
        <f t="shared" si="1"/>
        <v>20468</v>
      </c>
      <c r="L9" s="70">
        <f t="shared" si="1"/>
        <v>80</v>
      </c>
      <c r="M9" s="70">
        <f t="shared" si="1"/>
        <v>11</v>
      </c>
      <c r="N9" s="70">
        <f t="shared" si="1"/>
        <v>48</v>
      </c>
      <c r="O9" s="70">
        <f t="shared" si="1"/>
        <v>73</v>
      </c>
      <c r="P9" s="71">
        <f t="shared" si="1"/>
        <v>212</v>
      </c>
      <c r="Q9" s="70">
        <f t="shared" si="1"/>
        <v>17887</v>
      </c>
      <c r="R9" s="70">
        <f t="shared" si="1"/>
        <v>30707</v>
      </c>
      <c r="S9" s="70">
        <f t="shared" si="1"/>
        <v>10117</v>
      </c>
      <c r="T9" s="70">
        <f t="shared" si="1"/>
        <v>9047</v>
      </c>
      <c r="U9" s="71">
        <f t="shared" si="1"/>
        <v>67758</v>
      </c>
      <c r="V9" s="2"/>
    </row>
    <row r="10" ht="15.75" customHeight="1">
      <c r="A10" s="72" t="s">
        <v>49</v>
      </c>
      <c r="B10" s="73">
        <f t="shared" ref="B10:U10" si="2">SUM(B11:B16)</f>
        <v>0</v>
      </c>
      <c r="C10" s="73">
        <f t="shared" si="2"/>
        <v>0</v>
      </c>
      <c r="D10" s="73">
        <f t="shared" si="2"/>
        <v>6</v>
      </c>
      <c r="E10" s="73">
        <f t="shared" si="2"/>
        <v>30</v>
      </c>
      <c r="F10" s="73">
        <f t="shared" si="2"/>
        <v>36</v>
      </c>
      <c r="G10" s="73">
        <f t="shared" si="2"/>
        <v>0</v>
      </c>
      <c r="H10" s="73">
        <f t="shared" si="2"/>
        <v>0</v>
      </c>
      <c r="I10" s="73">
        <f t="shared" si="2"/>
        <v>0</v>
      </c>
      <c r="J10" s="73">
        <f t="shared" si="2"/>
        <v>21</v>
      </c>
      <c r="K10" s="73">
        <f t="shared" si="2"/>
        <v>21</v>
      </c>
      <c r="L10" s="73">
        <f t="shared" si="2"/>
        <v>0</v>
      </c>
      <c r="M10" s="73">
        <f t="shared" si="2"/>
        <v>0</v>
      </c>
      <c r="N10" s="73">
        <f t="shared" si="2"/>
        <v>0</v>
      </c>
      <c r="O10" s="73">
        <f t="shared" si="2"/>
        <v>0</v>
      </c>
      <c r="P10" s="73">
        <f t="shared" si="2"/>
        <v>0</v>
      </c>
      <c r="Q10" s="73">
        <f t="shared" si="2"/>
        <v>0</v>
      </c>
      <c r="R10" s="73">
        <f t="shared" si="2"/>
        <v>0</v>
      </c>
      <c r="S10" s="73">
        <f t="shared" si="2"/>
        <v>6</v>
      </c>
      <c r="T10" s="73">
        <f t="shared" si="2"/>
        <v>51</v>
      </c>
      <c r="U10" s="73">
        <f t="shared" si="2"/>
        <v>57</v>
      </c>
      <c r="V10" s="2" t="s">
        <v>114</v>
      </c>
    </row>
    <row r="11" ht="15.0" customHeight="1">
      <c r="A11" s="74" t="s">
        <v>50</v>
      </c>
      <c r="B11" s="75"/>
      <c r="C11" s="75"/>
      <c r="D11" s="75">
        <v>4.0</v>
      </c>
      <c r="E11" s="75">
        <v>13.0</v>
      </c>
      <c r="F11" s="76">
        <f t="shared" ref="F11:F16" si="4">SUM(B11:E11)</f>
        <v>17</v>
      </c>
      <c r="G11" s="75"/>
      <c r="H11" s="75"/>
      <c r="I11" s="75"/>
      <c r="J11" s="75">
        <v>21.0</v>
      </c>
      <c r="K11" s="76">
        <f t="shared" ref="K11:K16" si="5">SUM(G11:J11)</f>
        <v>21</v>
      </c>
      <c r="L11" s="75"/>
      <c r="M11" s="75"/>
      <c r="N11" s="75"/>
      <c r="O11" s="75"/>
      <c r="P11" s="76">
        <f t="shared" ref="P11:P16" si="6">SUM(L11:O11)</f>
        <v>0</v>
      </c>
      <c r="Q11" s="75">
        <f t="shared" ref="Q11:T11" si="3">SUM(B11,G11,L11)</f>
        <v>0</v>
      </c>
      <c r="R11" s="75">
        <f t="shared" si="3"/>
        <v>0</v>
      </c>
      <c r="S11" s="75">
        <f t="shared" si="3"/>
        <v>4</v>
      </c>
      <c r="T11" s="75">
        <f t="shared" si="3"/>
        <v>34</v>
      </c>
      <c r="U11" s="76">
        <f t="shared" ref="U11:U16" si="8">SUM(Q11:T11)</f>
        <v>38</v>
      </c>
      <c r="V11" s="2"/>
    </row>
    <row r="12" ht="15.0" customHeight="1">
      <c r="A12" s="74" t="s">
        <v>51</v>
      </c>
      <c r="B12" s="77"/>
      <c r="C12" s="77"/>
      <c r="D12" s="77">
        <v>2.0</v>
      </c>
      <c r="E12" s="77"/>
      <c r="F12" s="78">
        <f t="shared" si="4"/>
        <v>2</v>
      </c>
      <c r="G12" s="77"/>
      <c r="H12" s="77"/>
      <c r="I12" s="77"/>
      <c r="J12" s="77"/>
      <c r="K12" s="78">
        <f t="shared" si="5"/>
        <v>0</v>
      </c>
      <c r="L12" s="77"/>
      <c r="M12" s="77"/>
      <c r="N12" s="77"/>
      <c r="O12" s="77"/>
      <c r="P12" s="78">
        <f t="shared" si="6"/>
        <v>0</v>
      </c>
      <c r="Q12" s="77">
        <f t="shared" ref="Q12:T12" si="7">SUM(B12,G12,L12)</f>
        <v>0</v>
      </c>
      <c r="R12" s="77">
        <f t="shared" si="7"/>
        <v>0</v>
      </c>
      <c r="S12" s="77">
        <f t="shared" si="7"/>
        <v>2</v>
      </c>
      <c r="T12" s="77">
        <f t="shared" si="7"/>
        <v>0</v>
      </c>
      <c r="U12" s="78">
        <f t="shared" si="8"/>
        <v>2</v>
      </c>
      <c r="V12" s="2"/>
    </row>
    <row r="13" ht="15.0" customHeight="1">
      <c r="A13" s="74" t="s">
        <v>52</v>
      </c>
      <c r="B13" s="77"/>
      <c r="C13" s="77"/>
      <c r="D13" s="77"/>
      <c r="E13" s="77"/>
      <c r="F13" s="78">
        <f t="shared" si="4"/>
        <v>0</v>
      </c>
      <c r="G13" s="77"/>
      <c r="H13" s="77"/>
      <c r="I13" s="77"/>
      <c r="J13" s="77"/>
      <c r="K13" s="78">
        <f t="shared" si="5"/>
        <v>0</v>
      </c>
      <c r="L13" s="77"/>
      <c r="M13" s="77"/>
      <c r="N13" s="77"/>
      <c r="O13" s="77"/>
      <c r="P13" s="78">
        <f t="shared" si="6"/>
        <v>0</v>
      </c>
      <c r="Q13" s="77">
        <f t="shared" ref="Q13:T13" si="9">SUM(B13,G13,L13)</f>
        <v>0</v>
      </c>
      <c r="R13" s="77">
        <f t="shared" si="9"/>
        <v>0</v>
      </c>
      <c r="S13" s="77">
        <f t="shared" si="9"/>
        <v>0</v>
      </c>
      <c r="T13" s="77">
        <f t="shared" si="9"/>
        <v>0</v>
      </c>
      <c r="U13" s="78">
        <f t="shared" si="8"/>
        <v>0</v>
      </c>
      <c r="V13" s="2"/>
    </row>
    <row r="14" ht="15.0" customHeight="1">
      <c r="A14" s="74" t="s">
        <v>53</v>
      </c>
      <c r="B14" s="77"/>
      <c r="C14" s="77"/>
      <c r="D14" s="77"/>
      <c r="E14" s="77"/>
      <c r="F14" s="78">
        <f t="shared" si="4"/>
        <v>0</v>
      </c>
      <c r="G14" s="77"/>
      <c r="H14" s="77"/>
      <c r="I14" s="77"/>
      <c r="J14" s="77"/>
      <c r="K14" s="78">
        <f t="shared" si="5"/>
        <v>0</v>
      </c>
      <c r="L14" s="77"/>
      <c r="M14" s="77"/>
      <c r="N14" s="77"/>
      <c r="O14" s="77"/>
      <c r="P14" s="78">
        <f t="shared" si="6"/>
        <v>0</v>
      </c>
      <c r="Q14" s="77">
        <f t="shared" ref="Q14:T14" si="10">SUM(B14,G14,L14)</f>
        <v>0</v>
      </c>
      <c r="R14" s="77">
        <f t="shared" si="10"/>
        <v>0</v>
      </c>
      <c r="S14" s="77">
        <f t="shared" si="10"/>
        <v>0</v>
      </c>
      <c r="T14" s="77">
        <f t="shared" si="10"/>
        <v>0</v>
      </c>
      <c r="U14" s="78">
        <f t="shared" si="8"/>
        <v>0</v>
      </c>
      <c r="V14" s="2"/>
    </row>
    <row r="15" ht="15.0" customHeight="1">
      <c r="A15" s="74" t="s">
        <v>54</v>
      </c>
      <c r="B15" s="77"/>
      <c r="C15" s="77"/>
      <c r="D15" s="77"/>
      <c r="E15" s="77">
        <v>17.0</v>
      </c>
      <c r="F15" s="78">
        <f t="shared" si="4"/>
        <v>17</v>
      </c>
      <c r="G15" s="77"/>
      <c r="H15" s="77"/>
      <c r="I15" s="77"/>
      <c r="J15" s="77"/>
      <c r="K15" s="78">
        <f t="shared" si="5"/>
        <v>0</v>
      </c>
      <c r="L15" s="77"/>
      <c r="M15" s="77"/>
      <c r="N15" s="77"/>
      <c r="O15" s="77"/>
      <c r="P15" s="78">
        <f t="shared" si="6"/>
        <v>0</v>
      </c>
      <c r="Q15" s="77">
        <f t="shared" ref="Q15:T15" si="11">SUM(B15,G15,L15)</f>
        <v>0</v>
      </c>
      <c r="R15" s="77">
        <f t="shared" si="11"/>
        <v>0</v>
      </c>
      <c r="S15" s="77">
        <f t="shared" si="11"/>
        <v>0</v>
      </c>
      <c r="T15" s="77">
        <f t="shared" si="11"/>
        <v>17</v>
      </c>
      <c r="U15" s="78">
        <f t="shared" si="8"/>
        <v>17</v>
      </c>
      <c r="V15" s="2"/>
    </row>
    <row r="16" ht="15.75" customHeight="1">
      <c r="A16" s="74" t="s">
        <v>55</v>
      </c>
      <c r="B16" s="77"/>
      <c r="C16" s="77"/>
      <c r="D16" s="77"/>
      <c r="E16" s="77"/>
      <c r="F16" s="78">
        <f t="shared" si="4"/>
        <v>0</v>
      </c>
      <c r="G16" s="77"/>
      <c r="H16" s="77"/>
      <c r="I16" s="77"/>
      <c r="J16" s="77"/>
      <c r="K16" s="78">
        <f t="shared" si="5"/>
        <v>0</v>
      </c>
      <c r="L16" s="77"/>
      <c r="M16" s="77"/>
      <c r="N16" s="77"/>
      <c r="O16" s="77"/>
      <c r="P16" s="78">
        <f t="shared" si="6"/>
        <v>0</v>
      </c>
      <c r="Q16" s="77">
        <f t="shared" ref="Q16:T16" si="12">SUM(B16,G16,L16)</f>
        <v>0</v>
      </c>
      <c r="R16" s="77">
        <f t="shared" si="12"/>
        <v>0</v>
      </c>
      <c r="S16" s="77">
        <f t="shared" si="12"/>
        <v>0</v>
      </c>
      <c r="T16" s="77">
        <f t="shared" si="12"/>
        <v>0</v>
      </c>
      <c r="U16" s="78">
        <f t="shared" si="8"/>
        <v>0</v>
      </c>
      <c r="V16" s="2"/>
    </row>
    <row r="17" ht="15.75" customHeight="1">
      <c r="A17" s="72" t="s">
        <v>56</v>
      </c>
      <c r="B17" s="73">
        <f t="shared" ref="B17:Q17" si="13">SUM(B18:B28)</f>
        <v>1391</v>
      </c>
      <c r="C17" s="73">
        <f t="shared" si="13"/>
        <v>417</v>
      </c>
      <c r="D17" s="73">
        <f t="shared" si="13"/>
        <v>0</v>
      </c>
      <c r="E17" s="73">
        <f t="shared" si="13"/>
        <v>0</v>
      </c>
      <c r="F17" s="73">
        <f t="shared" si="13"/>
        <v>1808</v>
      </c>
      <c r="G17" s="73">
        <f t="shared" si="13"/>
        <v>1337</v>
      </c>
      <c r="H17" s="73">
        <f t="shared" si="13"/>
        <v>0</v>
      </c>
      <c r="I17" s="73">
        <f t="shared" si="13"/>
        <v>0</v>
      </c>
      <c r="J17" s="73">
        <f t="shared" si="13"/>
        <v>0</v>
      </c>
      <c r="K17" s="73">
        <f t="shared" si="13"/>
        <v>1337</v>
      </c>
      <c r="L17" s="73">
        <f t="shared" si="13"/>
        <v>0</v>
      </c>
      <c r="M17" s="73">
        <f t="shared" si="13"/>
        <v>0</v>
      </c>
      <c r="N17" s="73">
        <f t="shared" si="13"/>
        <v>0</v>
      </c>
      <c r="O17" s="73">
        <f t="shared" si="13"/>
        <v>0</v>
      </c>
      <c r="P17" s="73">
        <f t="shared" si="13"/>
        <v>0</v>
      </c>
      <c r="Q17" s="73">
        <f t="shared" si="13"/>
        <v>2728</v>
      </c>
      <c r="R17" s="73">
        <f>R18+R19+R20+R21+R22+R23+R24+R25+R26+R27+R28</f>
        <v>417</v>
      </c>
      <c r="S17" s="73">
        <f t="shared" ref="S17:U17" si="14">SUM(S18:S28)</f>
        <v>0</v>
      </c>
      <c r="T17" s="73">
        <f t="shared" si="14"/>
        <v>0</v>
      </c>
      <c r="U17" s="73">
        <f t="shared" si="14"/>
        <v>3145</v>
      </c>
      <c r="V17" s="2" t="s">
        <v>114</v>
      </c>
    </row>
    <row r="18" ht="15.0" customHeight="1">
      <c r="A18" s="74" t="s">
        <v>57</v>
      </c>
      <c r="B18" s="75">
        <v>113.0</v>
      </c>
      <c r="C18" s="75">
        <v>361.0</v>
      </c>
      <c r="D18" s="75"/>
      <c r="E18" s="75"/>
      <c r="F18" s="76">
        <f t="shared" ref="F18:F28" si="16">SUM(B18:E18)</f>
        <v>474</v>
      </c>
      <c r="G18" s="75"/>
      <c r="H18" s="75"/>
      <c r="I18" s="75"/>
      <c r="J18" s="75"/>
      <c r="K18" s="76">
        <f t="shared" ref="K18:K28" si="17">SUM(G18:J18)</f>
        <v>0</v>
      </c>
      <c r="L18" s="75"/>
      <c r="M18" s="75"/>
      <c r="N18" s="75"/>
      <c r="O18" s="75"/>
      <c r="P18" s="76">
        <f t="shared" ref="P18:P28" si="18">SUM(L18:O18)</f>
        <v>0</v>
      </c>
      <c r="Q18" s="75">
        <f t="shared" ref="Q18:T18" si="15">B18+G18+L18</f>
        <v>113</v>
      </c>
      <c r="R18" s="75">
        <f t="shared" si="15"/>
        <v>361</v>
      </c>
      <c r="S18" s="75">
        <f t="shared" si="15"/>
        <v>0</v>
      </c>
      <c r="T18" s="75">
        <f t="shared" si="15"/>
        <v>0</v>
      </c>
      <c r="U18" s="76">
        <f t="shared" ref="U18:U28" si="20">SUM(Q18:T18)</f>
        <v>474</v>
      </c>
      <c r="V18" s="2"/>
    </row>
    <row r="19" ht="15.0" customHeight="1">
      <c r="A19" s="74" t="s">
        <v>58</v>
      </c>
      <c r="B19" s="77">
        <v>75.0</v>
      </c>
      <c r="C19" s="77">
        <v>16.0</v>
      </c>
      <c r="D19" s="75"/>
      <c r="E19" s="75"/>
      <c r="F19" s="76">
        <f t="shared" si="16"/>
        <v>91</v>
      </c>
      <c r="G19" s="77"/>
      <c r="H19" s="77"/>
      <c r="I19" s="77"/>
      <c r="J19" s="77"/>
      <c r="K19" s="76">
        <f t="shared" si="17"/>
        <v>0</v>
      </c>
      <c r="L19" s="77"/>
      <c r="M19" s="77"/>
      <c r="N19" s="77"/>
      <c r="O19" s="77"/>
      <c r="P19" s="76">
        <f t="shared" si="18"/>
        <v>0</v>
      </c>
      <c r="Q19" s="75">
        <f t="shared" ref="Q19:T19" si="19">B19+G19+L19</f>
        <v>75</v>
      </c>
      <c r="R19" s="75">
        <f t="shared" si="19"/>
        <v>16</v>
      </c>
      <c r="S19" s="75">
        <f t="shared" si="19"/>
        <v>0</v>
      </c>
      <c r="T19" s="75">
        <f t="shared" si="19"/>
        <v>0</v>
      </c>
      <c r="U19" s="78">
        <f t="shared" si="20"/>
        <v>91</v>
      </c>
      <c r="V19" s="2"/>
    </row>
    <row r="20" ht="15.0" customHeight="1">
      <c r="A20" s="74" t="s">
        <v>59</v>
      </c>
      <c r="B20" s="77"/>
      <c r="C20" s="77"/>
      <c r="D20" s="77"/>
      <c r="E20" s="77"/>
      <c r="F20" s="76">
        <f t="shared" si="16"/>
        <v>0</v>
      </c>
      <c r="G20" s="77"/>
      <c r="H20" s="77"/>
      <c r="I20" s="77"/>
      <c r="J20" s="77"/>
      <c r="K20" s="76">
        <f t="shared" si="17"/>
        <v>0</v>
      </c>
      <c r="L20" s="77"/>
      <c r="M20" s="77"/>
      <c r="N20" s="77"/>
      <c r="O20" s="77"/>
      <c r="P20" s="76">
        <f t="shared" si="18"/>
        <v>0</v>
      </c>
      <c r="Q20" s="75">
        <f t="shared" ref="Q20:T20" si="21">B20+G20+L20</f>
        <v>0</v>
      </c>
      <c r="R20" s="75">
        <f t="shared" si="21"/>
        <v>0</v>
      </c>
      <c r="S20" s="75">
        <f t="shared" si="21"/>
        <v>0</v>
      </c>
      <c r="T20" s="75">
        <f t="shared" si="21"/>
        <v>0</v>
      </c>
      <c r="U20" s="78">
        <f t="shared" si="20"/>
        <v>0</v>
      </c>
      <c r="V20" s="2"/>
    </row>
    <row r="21" ht="15.0" customHeight="1">
      <c r="A21" s="74" t="s">
        <v>60</v>
      </c>
      <c r="B21" s="77"/>
      <c r="C21" s="77"/>
      <c r="D21" s="77"/>
      <c r="E21" s="77"/>
      <c r="F21" s="76">
        <f t="shared" si="16"/>
        <v>0</v>
      </c>
      <c r="G21" s="77"/>
      <c r="H21" s="77"/>
      <c r="I21" s="77"/>
      <c r="J21" s="77"/>
      <c r="K21" s="76">
        <f t="shared" si="17"/>
        <v>0</v>
      </c>
      <c r="L21" s="77"/>
      <c r="M21" s="77"/>
      <c r="N21" s="77"/>
      <c r="O21" s="77"/>
      <c r="P21" s="76">
        <f t="shared" si="18"/>
        <v>0</v>
      </c>
      <c r="Q21" s="75">
        <f t="shared" ref="Q21:T21" si="22">B21+G21+L21</f>
        <v>0</v>
      </c>
      <c r="R21" s="75">
        <f t="shared" si="22"/>
        <v>0</v>
      </c>
      <c r="S21" s="75">
        <f t="shared" si="22"/>
        <v>0</v>
      </c>
      <c r="T21" s="75">
        <f t="shared" si="22"/>
        <v>0</v>
      </c>
      <c r="U21" s="78">
        <f t="shared" si="20"/>
        <v>0</v>
      </c>
      <c r="V21" s="2"/>
    </row>
    <row r="22" ht="15.0" customHeight="1">
      <c r="A22" s="74" t="s">
        <v>61</v>
      </c>
      <c r="B22" s="77"/>
      <c r="C22" s="77"/>
      <c r="D22" s="77"/>
      <c r="E22" s="77"/>
      <c r="F22" s="76">
        <f t="shared" si="16"/>
        <v>0</v>
      </c>
      <c r="G22" s="77"/>
      <c r="H22" s="77"/>
      <c r="I22" s="77"/>
      <c r="J22" s="77"/>
      <c r="K22" s="76">
        <f t="shared" si="17"/>
        <v>0</v>
      </c>
      <c r="L22" s="77"/>
      <c r="M22" s="77"/>
      <c r="N22" s="77"/>
      <c r="O22" s="77"/>
      <c r="P22" s="76">
        <f t="shared" si="18"/>
        <v>0</v>
      </c>
      <c r="Q22" s="75">
        <f t="shared" ref="Q22:T22" si="23">B22+G22+L22</f>
        <v>0</v>
      </c>
      <c r="R22" s="75">
        <f t="shared" si="23"/>
        <v>0</v>
      </c>
      <c r="S22" s="75">
        <f t="shared" si="23"/>
        <v>0</v>
      </c>
      <c r="T22" s="75">
        <f t="shared" si="23"/>
        <v>0</v>
      </c>
      <c r="U22" s="78">
        <f t="shared" si="20"/>
        <v>0</v>
      </c>
      <c r="V22" s="2"/>
    </row>
    <row r="23" ht="15.0" customHeight="1">
      <c r="A23" s="74" t="s">
        <v>62</v>
      </c>
      <c r="B23" s="77">
        <v>210.0</v>
      </c>
      <c r="C23" s="77">
        <v>40.0</v>
      </c>
      <c r="D23" s="77"/>
      <c r="E23" s="77"/>
      <c r="F23" s="76">
        <f t="shared" si="16"/>
        <v>250</v>
      </c>
      <c r="G23" s="77">
        <v>624.0</v>
      </c>
      <c r="H23" s="77"/>
      <c r="I23" s="77"/>
      <c r="J23" s="77"/>
      <c r="K23" s="76">
        <f t="shared" si="17"/>
        <v>624</v>
      </c>
      <c r="L23" s="77"/>
      <c r="M23" s="77"/>
      <c r="N23" s="77"/>
      <c r="O23" s="77"/>
      <c r="P23" s="76">
        <f t="shared" si="18"/>
        <v>0</v>
      </c>
      <c r="Q23" s="75">
        <f t="shared" ref="Q23:T23" si="24">B23+G23+L23</f>
        <v>834</v>
      </c>
      <c r="R23" s="75">
        <f t="shared" si="24"/>
        <v>40</v>
      </c>
      <c r="S23" s="75">
        <f t="shared" si="24"/>
        <v>0</v>
      </c>
      <c r="T23" s="75">
        <f t="shared" si="24"/>
        <v>0</v>
      </c>
      <c r="U23" s="78">
        <f t="shared" si="20"/>
        <v>874</v>
      </c>
      <c r="V23" s="2"/>
    </row>
    <row r="24" ht="15.0" customHeight="1">
      <c r="A24" s="74" t="s">
        <v>63</v>
      </c>
      <c r="B24" s="79"/>
      <c r="C24" s="77"/>
      <c r="D24" s="77"/>
      <c r="E24" s="77"/>
      <c r="F24" s="76">
        <f t="shared" si="16"/>
        <v>0</v>
      </c>
      <c r="G24" s="77"/>
      <c r="H24" s="77"/>
      <c r="I24" s="77"/>
      <c r="J24" s="77"/>
      <c r="K24" s="76">
        <f t="shared" si="17"/>
        <v>0</v>
      </c>
      <c r="L24" s="77"/>
      <c r="M24" s="77"/>
      <c r="N24" s="77"/>
      <c r="O24" s="77"/>
      <c r="P24" s="76">
        <f t="shared" si="18"/>
        <v>0</v>
      </c>
      <c r="Q24" s="75">
        <f t="shared" ref="Q24:T24" si="25">B24+G24+L24</f>
        <v>0</v>
      </c>
      <c r="R24" s="75">
        <f t="shared" si="25"/>
        <v>0</v>
      </c>
      <c r="S24" s="75">
        <f t="shared" si="25"/>
        <v>0</v>
      </c>
      <c r="T24" s="75">
        <f t="shared" si="25"/>
        <v>0</v>
      </c>
      <c r="U24" s="78">
        <f t="shared" si="20"/>
        <v>0</v>
      </c>
      <c r="V24" s="2"/>
    </row>
    <row r="25" ht="15.0" customHeight="1">
      <c r="A25" s="74" t="s">
        <v>17</v>
      </c>
      <c r="B25" s="75"/>
      <c r="C25" s="75"/>
      <c r="D25" s="77"/>
      <c r="E25" s="77"/>
      <c r="F25" s="76">
        <f t="shared" si="16"/>
        <v>0</v>
      </c>
      <c r="G25" s="75"/>
      <c r="H25" s="75"/>
      <c r="I25" s="75"/>
      <c r="J25" s="75"/>
      <c r="K25" s="76">
        <f t="shared" si="17"/>
        <v>0</v>
      </c>
      <c r="L25" s="75"/>
      <c r="M25" s="75"/>
      <c r="N25" s="75"/>
      <c r="O25" s="75"/>
      <c r="P25" s="76">
        <f t="shared" si="18"/>
        <v>0</v>
      </c>
      <c r="Q25" s="75">
        <f t="shared" ref="Q25:T25" si="26">B25+G25+L25</f>
        <v>0</v>
      </c>
      <c r="R25" s="75">
        <f t="shared" si="26"/>
        <v>0</v>
      </c>
      <c r="S25" s="75">
        <f t="shared" si="26"/>
        <v>0</v>
      </c>
      <c r="T25" s="75">
        <f t="shared" si="26"/>
        <v>0</v>
      </c>
      <c r="U25" s="76">
        <f t="shared" si="20"/>
        <v>0</v>
      </c>
      <c r="V25" s="2"/>
    </row>
    <row r="26" ht="15.0" customHeight="1">
      <c r="A26" s="74" t="s">
        <v>64</v>
      </c>
      <c r="B26" s="77">
        <v>710.0</v>
      </c>
      <c r="C26" s="80"/>
      <c r="D26" s="80"/>
      <c r="E26" s="75"/>
      <c r="F26" s="76">
        <f t="shared" si="16"/>
        <v>710</v>
      </c>
      <c r="G26" s="77">
        <v>713.0</v>
      </c>
      <c r="H26" s="77"/>
      <c r="I26" s="77"/>
      <c r="J26" s="77"/>
      <c r="K26" s="76">
        <f t="shared" si="17"/>
        <v>713</v>
      </c>
      <c r="L26" s="77"/>
      <c r="M26" s="77"/>
      <c r="N26" s="77"/>
      <c r="O26" s="77"/>
      <c r="P26" s="76">
        <f t="shared" si="18"/>
        <v>0</v>
      </c>
      <c r="Q26" s="75">
        <f t="shared" ref="Q26:T26" si="27">B26+G26+L26</f>
        <v>1423</v>
      </c>
      <c r="R26" s="75">
        <f t="shared" si="27"/>
        <v>0</v>
      </c>
      <c r="S26" s="75">
        <f t="shared" si="27"/>
        <v>0</v>
      </c>
      <c r="T26" s="75">
        <f t="shared" si="27"/>
        <v>0</v>
      </c>
      <c r="U26" s="78">
        <f t="shared" si="20"/>
        <v>1423</v>
      </c>
      <c r="V26" s="2"/>
    </row>
    <row r="27" ht="15.0" customHeight="1">
      <c r="A27" s="74" t="s">
        <v>65</v>
      </c>
      <c r="B27" s="77">
        <v>22.0</v>
      </c>
      <c r="C27" s="77"/>
      <c r="D27" s="77"/>
      <c r="E27" s="77"/>
      <c r="F27" s="76">
        <f t="shared" si="16"/>
        <v>22</v>
      </c>
      <c r="G27" s="77"/>
      <c r="H27" s="77"/>
      <c r="I27" s="77"/>
      <c r="J27" s="77"/>
      <c r="K27" s="76">
        <f t="shared" si="17"/>
        <v>0</v>
      </c>
      <c r="L27" s="77"/>
      <c r="M27" s="77"/>
      <c r="N27" s="77"/>
      <c r="O27" s="77"/>
      <c r="P27" s="76">
        <f t="shared" si="18"/>
        <v>0</v>
      </c>
      <c r="Q27" s="75">
        <f t="shared" ref="Q27:T27" si="28">B27+G27+L27</f>
        <v>22</v>
      </c>
      <c r="R27" s="75">
        <f t="shared" si="28"/>
        <v>0</v>
      </c>
      <c r="S27" s="75">
        <f t="shared" si="28"/>
        <v>0</v>
      </c>
      <c r="T27" s="75">
        <f t="shared" si="28"/>
        <v>0</v>
      </c>
      <c r="U27" s="78">
        <f t="shared" si="20"/>
        <v>22</v>
      </c>
      <c r="V27" s="2"/>
    </row>
    <row r="28" ht="15.75" customHeight="1">
      <c r="A28" s="74" t="s">
        <v>54</v>
      </c>
      <c r="B28" s="77">
        <v>261.0</v>
      </c>
      <c r="C28" s="77"/>
      <c r="D28" s="77"/>
      <c r="E28" s="77"/>
      <c r="F28" s="76">
        <f t="shared" si="16"/>
        <v>261</v>
      </c>
      <c r="G28" s="77"/>
      <c r="H28" s="77"/>
      <c r="I28" s="77"/>
      <c r="J28" s="77"/>
      <c r="K28" s="76">
        <f t="shared" si="17"/>
        <v>0</v>
      </c>
      <c r="L28" s="77"/>
      <c r="M28" s="77"/>
      <c r="N28" s="77"/>
      <c r="O28" s="77"/>
      <c r="P28" s="76">
        <f t="shared" si="18"/>
        <v>0</v>
      </c>
      <c r="Q28" s="75">
        <f t="shared" ref="Q28:T28" si="29">B28+G28+L28</f>
        <v>261</v>
      </c>
      <c r="R28" s="75">
        <f t="shared" si="29"/>
        <v>0</v>
      </c>
      <c r="S28" s="75">
        <f t="shared" si="29"/>
        <v>0</v>
      </c>
      <c r="T28" s="75">
        <f t="shared" si="29"/>
        <v>0</v>
      </c>
      <c r="U28" s="78">
        <f t="shared" si="20"/>
        <v>261</v>
      </c>
      <c r="V28" s="2"/>
    </row>
    <row r="29" ht="15.75" customHeight="1">
      <c r="A29" s="72" t="s">
        <v>66</v>
      </c>
      <c r="B29" s="73">
        <f t="shared" ref="B29:U29" si="30">SUM(B30:B44)</f>
        <v>0</v>
      </c>
      <c r="C29" s="73">
        <f t="shared" si="30"/>
        <v>15504</v>
      </c>
      <c r="D29" s="73">
        <f t="shared" si="30"/>
        <v>54</v>
      </c>
      <c r="E29" s="73">
        <f t="shared" si="30"/>
        <v>0</v>
      </c>
      <c r="F29" s="81">
        <f t="shared" si="30"/>
        <v>15558</v>
      </c>
      <c r="G29" s="73">
        <f t="shared" si="30"/>
        <v>0</v>
      </c>
      <c r="H29" s="73">
        <f t="shared" si="30"/>
        <v>1424</v>
      </c>
      <c r="I29" s="73">
        <f t="shared" si="30"/>
        <v>2</v>
      </c>
      <c r="J29" s="73">
        <f t="shared" si="30"/>
        <v>0</v>
      </c>
      <c r="K29" s="81">
        <f t="shared" si="30"/>
        <v>1426</v>
      </c>
      <c r="L29" s="73">
        <f t="shared" si="30"/>
        <v>0</v>
      </c>
      <c r="M29" s="73">
        <f t="shared" si="30"/>
        <v>0</v>
      </c>
      <c r="N29" s="73">
        <f t="shared" si="30"/>
        <v>0</v>
      </c>
      <c r="O29" s="73">
        <f t="shared" si="30"/>
        <v>0</v>
      </c>
      <c r="P29" s="81">
        <f t="shared" si="30"/>
        <v>0</v>
      </c>
      <c r="Q29" s="73">
        <f t="shared" si="30"/>
        <v>0</v>
      </c>
      <c r="R29" s="73">
        <f t="shared" si="30"/>
        <v>16928</v>
      </c>
      <c r="S29" s="73">
        <f t="shared" si="30"/>
        <v>56</v>
      </c>
      <c r="T29" s="73">
        <f t="shared" si="30"/>
        <v>0</v>
      </c>
      <c r="U29" s="81">
        <f t="shared" si="30"/>
        <v>16984</v>
      </c>
      <c r="V29" s="2" t="s">
        <v>114</v>
      </c>
    </row>
    <row r="30" ht="15.0" customHeight="1">
      <c r="A30" s="74" t="s">
        <v>67</v>
      </c>
      <c r="B30" s="75"/>
      <c r="C30" s="75">
        <v>371.0</v>
      </c>
      <c r="D30" s="75"/>
      <c r="E30" s="75"/>
      <c r="F30" s="76">
        <f t="shared" ref="F30:F44" si="32">SUM(B30:E30)</f>
        <v>371</v>
      </c>
      <c r="G30" s="75"/>
      <c r="H30" s="75">
        <v>45.0</v>
      </c>
      <c r="I30" s="75"/>
      <c r="J30" s="75"/>
      <c r="K30" s="76">
        <f t="shared" ref="K30:K44" si="33">SUM(G30:J30)</f>
        <v>45</v>
      </c>
      <c r="L30" s="75"/>
      <c r="M30" s="75"/>
      <c r="N30" s="75"/>
      <c r="O30" s="75"/>
      <c r="P30" s="76">
        <f t="shared" ref="P30:P44" si="34">SUM(L30:O30)</f>
        <v>0</v>
      </c>
      <c r="Q30" s="75">
        <f t="shared" ref="Q30:T30" si="31">SUM(B30,G30,L30)</f>
        <v>0</v>
      </c>
      <c r="R30" s="75">
        <f t="shared" si="31"/>
        <v>416</v>
      </c>
      <c r="S30" s="75">
        <f t="shared" si="31"/>
        <v>0</v>
      </c>
      <c r="T30" s="75">
        <f t="shared" si="31"/>
        <v>0</v>
      </c>
      <c r="U30" s="76">
        <f t="shared" ref="U30:U44" si="36">SUM(Q30:T30)</f>
        <v>416</v>
      </c>
      <c r="V30" s="2"/>
    </row>
    <row r="31" ht="15.0" customHeight="1">
      <c r="A31" s="74" t="s">
        <v>68</v>
      </c>
      <c r="B31" s="77"/>
      <c r="C31" s="77">
        <v>77.0</v>
      </c>
      <c r="D31" s="77"/>
      <c r="E31" s="77"/>
      <c r="F31" s="76">
        <f t="shared" si="32"/>
        <v>77</v>
      </c>
      <c r="G31" s="77"/>
      <c r="H31" s="77"/>
      <c r="I31" s="77"/>
      <c r="J31" s="77"/>
      <c r="K31" s="76">
        <f t="shared" si="33"/>
        <v>0</v>
      </c>
      <c r="L31" s="77"/>
      <c r="M31" s="77"/>
      <c r="N31" s="77"/>
      <c r="O31" s="77"/>
      <c r="P31" s="78">
        <f t="shared" si="34"/>
        <v>0</v>
      </c>
      <c r="Q31" s="77">
        <f t="shared" ref="Q31:T31" si="35">SUM(B31,G31,L31)</f>
        <v>0</v>
      </c>
      <c r="R31" s="77">
        <f t="shared" si="35"/>
        <v>77</v>
      </c>
      <c r="S31" s="77">
        <f t="shared" si="35"/>
        <v>0</v>
      </c>
      <c r="T31" s="77">
        <f t="shared" si="35"/>
        <v>0</v>
      </c>
      <c r="U31" s="78">
        <f t="shared" si="36"/>
        <v>77</v>
      </c>
      <c r="V31" s="2"/>
    </row>
    <row r="32" ht="15.0" customHeight="1">
      <c r="A32" s="74" t="s">
        <v>69</v>
      </c>
      <c r="B32" s="77"/>
      <c r="C32" s="77">
        <v>2321.0</v>
      </c>
      <c r="D32" s="77"/>
      <c r="E32" s="77"/>
      <c r="F32" s="76">
        <f t="shared" si="32"/>
        <v>2321</v>
      </c>
      <c r="G32" s="77"/>
      <c r="H32" s="77">
        <v>352.0</v>
      </c>
      <c r="I32" s="77"/>
      <c r="J32" s="77"/>
      <c r="K32" s="76">
        <f t="shared" si="33"/>
        <v>352</v>
      </c>
      <c r="L32" s="77"/>
      <c r="M32" s="77"/>
      <c r="N32" s="77"/>
      <c r="O32" s="77"/>
      <c r="P32" s="78">
        <f t="shared" si="34"/>
        <v>0</v>
      </c>
      <c r="Q32" s="77">
        <f t="shared" ref="Q32:T32" si="37">SUM(B32,G32,L32)</f>
        <v>0</v>
      </c>
      <c r="R32" s="77">
        <f t="shared" si="37"/>
        <v>2673</v>
      </c>
      <c r="S32" s="77">
        <f t="shared" si="37"/>
        <v>0</v>
      </c>
      <c r="T32" s="77">
        <f t="shared" si="37"/>
        <v>0</v>
      </c>
      <c r="U32" s="78">
        <f t="shared" si="36"/>
        <v>2673</v>
      </c>
      <c r="V32" s="2"/>
    </row>
    <row r="33" ht="15.0" customHeight="1">
      <c r="A33" s="74" t="s">
        <v>70</v>
      </c>
      <c r="B33" s="77"/>
      <c r="C33" s="77">
        <v>610.0</v>
      </c>
      <c r="D33" s="77"/>
      <c r="E33" s="77"/>
      <c r="F33" s="76">
        <f t="shared" si="32"/>
        <v>610</v>
      </c>
      <c r="G33" s="77"/>
      <c r="H33" s="77"/>
      <c r="I33" s="77"/>
      <c r="J33" s="77"/>
      <c r="K33" s="76">
        <f t="shared" si="33"/>
        <v>0</v>
      </c>
      <c r="L33" s="77"/>
      <c r="M33" s="77"/>
      <c r="N33" s="77"/>
      <c r="O33" s="77"/>
      <c r="P33" s="78">
        <f t="shared" si="34"/>
        <v>0</v>
      </c>
      <c r="Q33" s="77">
        <f t="shared" ref="Q33:T33" si="38">SUM(B33,G33,L33)</f>
        <v>0</v>
      </c>
      <c r="R33" s="77">
        <f t="shared" si="38"/>
        <v>610</v>
      </c>
      <c r="S33" s="77">
        <f t="shared" si="38"/>
        <v>0</v>
      </c>
      <c r="T33" s="77">
        <f t="shared" si="38"/>
        <v>0</v>
      </c>
      <c r="U33" s="78">
        <f t="shared" si="36"/>
        <v>610</v>
      </c>
      <c r="V33" s="2"/>
    </row>
    <row r="34" ht="15.0" customHeight="1">
      <c r="A34" s="74" t="s">
        <v>71</v>
      </c>
      <c r="B34" s="77"/>
      <c r="C34" s="77">
        <v>440.0</v>
      </c>
      <c r="D34" s="77">
        <v>54.0</v>
      </c>
      <c r="E34" s="77"/>
      <c r="F34" s="76">
        <f t="shared" si="32"/>
        <v>494</v>
      </c>
      <c r="G34" s="77"/>
      <c r="H34" s="77">
        <v>40.0</v>
      </c>
      <c r="I34" s="77">
        <v>2.0</v>
      </c>
      <c r="J34" s="77"/>
      <c r="K34" s="76">
        <f t="shared" si="33"/>
        <v>42</v>
      </c>
      <c r="L34" s="77"/>
      <c r="M34" s="77"/>
      <c r="N34" s="77"/>
      <c r="O34" s="77"/>
      <c r="P34" s="78">
        <f t="shared" si="34"/>
        <v>0</v>
      </c>
      <c r="Q34" s="77">
        <f t="shared" ref="Q34:T34" si="39">SUM(B34,G34,L34)</f>
        <v>0</v>
      </c>
      <c r="R34" s="77">
        <f t="shared" si="39"/>
        <v>480</v>
      </c>
      <c r="S34" s="77">
        <f t="shared" si="39"/>
        <v>56</v>
      </c>
      <c r="T34" s="77">
        <f t="shared" si="39"/>
        <v>0</v>
      </c>
      <c r="U34" s="78">
        <f t="shared" si="36"/>
        <v>536</v>
      </c>
      <c r="V34" s="2"/>
    </row>
    <row r="35" ht="15.0" customHeight="1">
      <c r="A35" s="74" t="s">
        <v>72</v>
      </c>
      <c r="B35" s="77"/>
      <c r="C35" s="77">
        <v>1765.0</v>
      </c>
      <c r="D35" s="77"/>
      <c r="E35" s="77"/>
      <c r="F35" s="76">
        <f t="shared" si="32"/>
        <v>1765</v>
      </c>
      <c r="G35" s="77"/>
      <c r="H35" s="77">
        <v>80.0</v>
      </c>
      <c r="I35" s="77"/>
      <c r="J35" s="77"/>
      <c r="K35" s="76">
        <f t="shared" si="33"/>
        <v>80</v>
      </c>
      <c r="L35" s="77"/>
      <c r="M35" s="77"/>
      <c r="N35" s="77"/>
      <c r="O35" s="77"/>
      <c r="P35" s="78">
        <f t="shared" si="34"/>
        <v>0</v>
      </c>
      <c r="Q35" s="77">
        <f t="shared" ref="Q35:T35" si="40">SUM(B35,G35,L35)</f>
        <v>0</v>
      </c>
      <c r="R35" s="77">
        <f t="shared" si="40"/>
        <v>1845</v>
      </c>
      <c r="S35" s="77">
        <f t="shared" si="40"/>
        <v>0</v>
      </c>
      <c r="T35" s="77">
        <f t="shared" si="40"/>
        <v>0</v>
      </c>
      <c r="U35" s="78">
        <f t="shared" si="36"/>
        <v>1845</v>
      </c>
      <c r="V35" s="2"/>
    </row>
    <row r="36" ht="15.0" customHeight="1">
      <c r="A36" s="74" t="s">
        <v>73</v>
      </c>
      <c r="B36" s="77"/>
      <c r="C36" s="77">
        <v>1587.0</v>
      </c>
      <c r="D36" s="77"/>
      <c r="E36" s="77"/>
      <c r="F36" s="76">
        <f t="shared" si="32"/>
        <v>1587</v>
      </c>
      <c r="G36" s="77"/>
      <c r="H36" s="77">
        <v>88.0</v>
      </c>
      <c r="I36" s="77"/>
      <c r="J36" s="77"/>
      <c r="K36" s="76">
        <f t="shared" si="33"/>
        <v>88</v>
      </c>
      <c r="L36" s="77"/>
      <c r="M36" s="77"/>
      <c r="N36" s="77"/>
      <c r="O36" s="77"/>
      <c r="P36" s="78">
        <f t="shared" si="34"/>
        <v>0</v>
      </c>
      <c r="Q36" s="77">
        <f t="shared" ref="Q36:T36" si="41">SUM(B36,G36,L36)</f>
        <v>0</v>
      </c>
      <c r="R36" s="77">
        <f t="shared" si="41"/>
        <v>1675</v>
      </c>
      <c r="S36" s="77">
        <f t="shared" si="41"/>
        <v>0</v>
      </c>
      <c r="T36" s="77">
        <f t="shared" si="41"/>
        <v>0</v>
      </c>
      <c r="U36" s="78">
        <f t="shared" si="36"/>
        <v>1675</v>
      </c>
      <c r="V36" s="2"/>
    </row>
    <row r="37" ht="15.0" customHeight="1">
      <c r="A37" s="74" t="s">
        <v>74</v>
      </c>
      <c r="B37" s="77"/>
      <c r="C37" s="77">
        <v>6064.0</v>
      </c>
      <c r="D37" s="77"/>
      <c r="E37" s="77"/>
      <c r="F37" s="76">
        <f t="shared" si="32"/>
        <v>6064</v>
      </c>
      <c r="G37" s="77"/>
      <c r="H37" s="77">
        <v>772.0</v>
      </c>
      <c r="I37" s="77"/>
      <c r="J37" s="77"/>
      <c r="K37" s="76">
        <f t="shared" si="33"/>
        <v>772</v>
      </c>
      <c r="L37" s="77"/>
      <c r="M37" s="77"/>
      <c r="N37" s="77"/>
      <c r="O37" s="77"/>
      <c r="P37" s="78">
        <f t="shared" si="34"/>
        <v>0</v>
      </c>
      <c r="Q37" s="77">
        <f t="shared" ref="Q37:T37" si="42">SUM(B37,G37,L37)</f>
        <v>0</v>
      </c>
      <c r="R37" s="77">
        <f t="shared" si="42"/>
        <v>6836</v>
      </c>
      <c r="S37" s="77">
        <f t="shared" si="42"/>
        <v>0</v>
      </c>
      <c r="T37" s="77">
        <f t="shared" si="42"/>
        <v>0</v>
      </c>
      <c r="U37" s="78">
        <f t="shared" si="36"/>
        <v>6836</v>
      </c>
      <c r="V37" s="2"/>
    </row>
    <row r="38" ht="15.0" customHeight="1">
      <c r="A38" s="74" t="s">
        <v>75</v>
      </c>
      <c r="B38" s="77"/>
      <c r="C38" s="77">
        <v>4.0</v>
      </c>
      <c r="D38" s="77"/>
      <c r="E38" s="77"/>
      <c r="F38" s="76">
        <f t="shared" si="32"/>
        <v>4</v>
      </c>
      <c r="G38" s="77"/>
      <c r="H38" s="77">
        <v>12.0</v>
      </c>
      <c r="I38" s="77"/>
      <c r="J38" s="77"/>
      <c r="K38" s="76">
        <f t="shared" si="33"/>
        <v>12</v>
      </c>
      <c r="L38" s="77"/>
      <c r="M38" s="77"/>
      <c r="N38" s="77"/>
      <c r="O38" s="77"/>
      <c r="P38" s="78">
        <f t="shared" si="34"/>
        <v>0</v>
      </c>
      <c r="Q38" s="77">
        <f t="shared" ref="Q38:T38" si="43">SUM(B38,G38,L38)</f>
        <v>0</v>
      </c>
      <c r="R38" s="77">
        <f t="shared" si="43"/>
        <v>16</v>
      </c>
      <c r="S38" s="77">
        <f t="shared" si="43"/>
        <v>0</v>
      </c>
      <c r="T38" s="77">
        <f t="shared" si="43"/>
        <v>0</v>
      </c>
      <c r="U38" s="78">
        <f t="shared" si="36"/>
        <v>16</v>
      </c>
      <c r="V38" s="2"/>
    </row>
    <row r="39" ht="15.0" customHeight="1">
      <c r="A39" s="74" t="s">
        <v>76</v>
      </c>
      <c r="B39" s="77"/>
      <c r="C39" s="77"/>
      <c r="D39" s="77"/>
      <c r="E39" s="77"/>
      <c r="F39" s="76">
        <f t="shared" si="32"/>
        <v>0</v>
      </c>
      <c r="G39" s="77"/>
      <c r="H39" s="77"/>
      <c r="I39" s="77"/>
      <c r="J39" s="77"/>
      <c r="K39" s="76">
        <f t="shared" si="33"/>
        <v>0</v>
      </c>
      <c r="L39" s="77"/>
      <c r="M39" s="77"/>
      <c r="N39" s="77"/>
      <c r="O39" s="77"/>
      <c r="P39" s="78">
        <f t="shared" si="34"/>
        <v>0</v>
      </c>
      <c r="Q39" s="77">
        <f t="shared" ref="Q39:T39" si="44">SUM(B39,G39,L39)</f>
        <v>0</v>
      </c>
      <c r="R39" s="77">
        <f t="shared" si="44"/>
        <v>0</v>
      </c>
      <c r="S39" s="77">
        <f t="shared" si="44"/>
        <v>0</v>
      </c>
      <c r="T39" s="77">
        <f t="shared" si="44"/>
        <v>0</v>
      </c>
      <c r="U39" s="78">
        <f t="shared" si="36"/>
        <v>0</v>
      </c>
      <c r="V39" s="2"/>
    </row>
    <row r="40" ht="15.0" customHeight="1">
      <c r="A40" s="74" t="s">
        <v>77</v>
      </c>
      <c r="B40" s="77"/>
      <c r="C40" s="77">
        <v>4.0</v>
      </c>
      <c r="D40" s="77"/>
      <c r="E40" s="77"/>
      <c r="F40" s="76">
        <f t="shared" si="32"/>
        <v>4</v>
      </c>
      <c r="G40" s="77"/>
      <c r="H40" s="77">
        <v>9.0</v>
      </c>
      <c r="I40" s="77"/>
      <c r="J40" s="77"/>
      <c r="K40" s="76">
        <f t="shared" si="33"/>
        <v>9</v>
      </c>
      <c r="L40" s="77"/>
      <c r="M40" s="77"/>
      <c r="N40" s="77"/>
      <c r="O40" s="77"/>
      <c r="P40" s="78">
        <f t="shared" si="34"/>
        <v>0</v>
      </c>
      <c r="Q40" s="77">
        <f t="shared" ref="Q40:T40" si="45">SUM(B40,G40,L40)</f>
        <v>0</v>
      </c>
      <c r="R40" s="77">
        <f t="shared" si="45"/>
        <v>13</v>
      </c>
      <c r="S40" s="77">
        <f t="shared" si="45"/>
        <v>0</v>
      </c>
      <c r="T40" s="77">
        <f t="shared" si="45"/>
        <v>0</v>
      </c>
      <c r="U40" s="78">
        <f t="shared" si="36"/>
        <v>13</v>
      </c>
      <c r="V40" s="2"/>
    </row>
    <row r="41" ht="15.0" customHeight="1">
      <c r="A41" s="74" t="s">
        <v>78</v>
      </c>
      <c r="B41" s="77"/>
      <c r="C41" s="77">
        <v>270.0</v>
      </c>
      <c r="D41" s="77"/>
      <c r="E41" s="77"/>
      <c r="F41" s="76">
        <f t="shared" si="32"/>
        <v>270</v>
      </c>
      <c r="G41" s="77"/>
      <c r="H41" s="77"/>
      <c r="I41" s="77"/>
      <c r="J41" s="77"/>
      <c r="K41" s="76">
        <f t="shared" si="33"/>
        <v>0</v>
      </c>
      <c r="L41" s="77"/>
      <c r="M41" s="77"/>
      <c r="N41" s="77"/>
      <c r="O41" s="77"/>
      <c r="P41" s="78">
        <f t="shared" si="34"/>
        <v>0</v>
      </c>
      <c r="Q41" s="77">
        <f t="shared" ref="Q41:T41" si="46">SUM(B41,G41,L41)</f>
        <v>0</v>
      </c>
      <c r="R41" s="77">
        <f t="shared" si="46"/>
        <v>270</v>
      </c>
      <c r="S41" s="77">
        <f t="shared" si="46"/>
        <v>0</v>
      </c>
      <c r="T41" s="77">
        <f t="shared" si="46"/>
        <v>0</v>
      </c>
      <c r="U41" s="78">
        <f t="shared" si="36"/>
        <v>270</v>
      </c>
      <c r="V41" s="2"/>
    </row>
    <row r="42" ht="15.0" customHeight="1">
      <c r="A42" s="74" t="s">
        <v>79</v>
      </c>
      <c r="B42" s="77"/>
      <c r="C42" s="77">
        <v>50.0</v>
      </c>
      <c r="D42" s="77"/>
      <c r="E42" s="77"/>
      <c r="F42" s="76">
        <f t="shared" si="32"/>
        <v>50</v>
      </c>
      <c r="G42" s="77"/>
      <c r="H42" s="77">
        <v>26.0</v>
      </c>
      <c r="I42" s="77"/>
      <c r="J42" s="77"/>
      <c r="K42" s="76">
        <f t="shared" si="33"/>
        <v>26</v>
      </c>
      <c r="L42" s="77"/>
      <c r="M42" s="77"/>
      <c r="N42" s="77"/>
      <c r="O42" s="77"/>
      <c r="P42" s="78">
        <f t="shared" si="34"/>
        <v>0</v>
      </c>
      <c r="Q42" s="77">
        <f t="shared" ref="Q42:T42" si="47">SUM(B42,G42,L42)</f>
        <v>0</v>
      </c>
      <c r="R42" s="77">
        <f t="shared" si="47"/>
        <v>76</v>
      </c>
      <c r="S42" s="77">
        <f t="shared" si="47"/>
        <v>0</v>
      </c>
      <c r="T42" s="77">
        <f t="shared" si="47"/>
        <v>0</v>
      </c>
      <c r="U42" s="78">
        <f t="shared" si="36"/>
        <v>76</v>
      </c>
      <c r="V42" s="2"/>
    </row>
    <row r="43" ht="15.0" customHeight="1">
      <c r="A43" s="74" t="s">
        <v>80</v>
      </c>
      <c r="B43" s="77"/>
      <c r="C43" s="77">
        <v>1016.0</v>
      </c>
      <c r="D43" s="77"/>
      <c r="E43" s="77"/>
      <c r="F43" s="76">
        <f t="shared" si="32"/>
        <v>1016</v>
      </c>
      <c r="G43" s="77"/>
      <c r="H43" s="77"/>
      <c r="I43" s="77"/>
      <c r="J43" s="77"/>
      <c r="K43" s="76">
        <f t="shared" si="33"/>
        <v>0</v>
      </c>
      <c r="L43" s="77"/>
      <c r="M43" s="77"/>
      <c r="N43" s="77"/>
      <c r="O43" s="77"/>
      <c r="P43" s="78">
        <f t="shared" si="34"/>
        <v>0</v>
      </c>
      <c r="Q43" s="77">
        <f t="shared" ref="Q43:T43" si="48">SUM(B43,G43,L43)</f>
        <v>0</v>
      </c>
      <c r="R43" s="77">
        <f t="shared" si="48"/>
        <v>1016</v>
      </c>
      <c r="S43" s="77">
        <f t="shared" si="48"/>
        <v>0</v>
      </c>
      <c r="T43" s="77">
        <f t="shared" si="48"/>
        <v>0</v>
      </c>
      <c r="U43" s="78">
        <f t="shared" si="36"/>
        <v>1016</v>
      </c>
      <c r="V43" s="2"/>
    </row>
    <row r="44" ht="15.75" customHeight="1">
      <c r="A44" s="74" t="s">
        <v>81</v>
      </c>
      <c r="B44" s="77"/>
      <c r="C44" s="77">
        <v>925.0</v>
      </c>
      <c r="D44" s="77"/>
      <c r="E44" s="77"/>
      <c r="F44" s="76">
        <f t="shared" si="32"/>
        <v>925</v>
      </c>
      <c r="G44" s="77"/>
      <c r="H44" s="77"/>
      <c r="I44" s="77"/>
      <c r="J44" s="77"/>
      <c r="K44" s="76">
        <f t="shared" si="33"/>
        <v>0</v>
      </c>
      <c r="L44" s="77"/>
      <c r="M44" s="77"/>
      <c r="N44" s="77"/>
      <c r="O44" s="77"/>
      <c r="P44" s="78">
        <f t="shared" si="34"/>
        <v>0</v>
      </c>
      <c r="Q44" s="77">
        <f t="shared" ref="Q44:T44" si="49">SUM(B44,G44,L44)</f>
        <v>0</v>
      </c>
      <c r="R44" s="77">
        <f t="shared" si="49"/>
        <v>925</v>
      </c>
      <c r="S44" s="77">
        <f t="shared" si="49"/>
        <v>0</v>
      </c>
      <c r="T44" s="77">
        <f t="shared" si="49"/>
        <v>0</v>
      </c>
      <c r="U44" s="78">
        <f t="shared" si="36"/>
        <v>925</v>
      </c>
      <c r="V44" s="2"/>
    </row>
    <row r="45" ht="15.75" customHeight="1">
      <c r="A45" s="72" t="s">
        <v>82</v>
      </c>
      <c r="B45" s="73">
        <f t="shared" ref="B45:U45" si="50">SUM(B46:B63)</f>
        <v>9098</v>
      </c>
      <c r="C45" s="73">
        <f t="shared" si="50"/>
        <v>6239</v>
      </c>
      <c r="D45" s="73">
        <f t="shared" si="50"/>
        <v>8240</v>
      </c>
      <c r="E45" s="73">
        <f t="shared" si="50"/>
        <v>5852</v>
      </c>
      <c r="F45" s="81">
        <f t="shared" si="50"/>
        <v>29429</v>
      </c>
      <c r="G45" s="73">
        <f t="shared" si="50"/>
        <v>5981</v>
      </c>
      <c r="H45" s="73">
        <f t="shared" si="50"/>
        <v>7112</v>
      </c>
      <c r="I45" s="73">
        <f t="shared" si="50"/>
        <v>1767</v>
      </c>
      <c r="J45" s="73">
        <f t="shared" si="50"/>
        <v>2714</v>
      </c>
      <c r="K45" s="81">
        <f t="shared" si="50"/>
        <v>17574</v>
      </c>
      <c r="L45" s="73">
        <f t="shared" si="50"/>
        <v>80</v>
      </c>
      <c r="M45" s="73">
        <f t="shared" si="50"/>
        <v>11</v>
      </c>
      <c r="N45" s="73">
        <f t="shared" si="50"/>
        <v>48</v>
      </c>
      <c r="O45" s="73">
        <f t="shared" si="50"/>
        <v>73</v>
      </c>
      <c r="P45" s="81">
        <f t="shared" si="50"/>
        <v>212</v>
      </c>
      <c r="Q45" s="73">
        <f t="shared" si="50"/>
        <v>15159</v>
      </c>
      <c r="R45" s="73">
        <f t="shared" si="50"/>
        <v>13362</v>
      </c>
      <c r="S45" s="73">
        <f t="shared" si="50"/>
        <v>10055</v>
      </c>
      <c r="T45" s="73">
        <f t="shared" si="50"/>
        <v>8639</v>
      </c>
      <c r="U45" s="73">
        <f t="shared" si="50"/>
        <v>47215</v>
      </c>
      <c r="V45" s="2" t="s">
        <v>114</v>
      </c>
    </row>
    <row r="46" ht="15.0" customHeight="1">
      <c r="A46" s="74" t="s">
        <v>83</v>
      </c>
      <c r="B46" s="75">
        <v>875.0</v>
      </c>
      <c r="C46" s="75">
        <v>500.0</v>
      </c>
      <c r="D46" s="75">
        <v>430.0</v>
      </c>
      <c r="E46" s="75">
        <v>170.0</v>
      </c>
      <c r="F46" s="76">
        <f t="shared" ref="F46:F63" si="52">SUM(B46:E46)</f>
        <v>1975</v>
      </c>
      <c r="G46" s="75">
        <v>255.0</v>
      </c>
      <c r="H46" s="75">
        <v>90.0</v>
      </c>
      <c r="I46" s="75"/>
      <c r="J46" s="75">
        <v>430.0</v>
      </c>
      <c r="K46" s="76">
        <f t="shared" ref="K46:K63" si="53">SUM(G46:J46)</f>
        <v>775</v>
      </c>
      <c r="L46" s="75">
        <v>80.0</v>
      </c>
      <c r="M46" s="75"/>
      <c r="N46" s="75"/>
      <c r="O46" s="75"/>
      <c r="P46" s="76">
        <f t="shared" ref="P46:P63" si="54">SUM(L46:O46)</f>
        <v>80</v>
      </c>
      <c r="Q46" s="75">
        <f t="shared" ref="Q46:T46" si="51">SUM(B46,G46,L46)</f>
        <v>1210</v>
      </c>
      <c r="R46" s="75">
        <f t="shared" si="51"/>
        <v>590</v>
      </c>
      <c r="S46" s="75">
        <f t="shared" si="51"/>
        <v>430</v>
      </c>
      <c r="T46" s="75">
        <f t="shared" si="51"/>
        <v>600</v>
      </c>
      <c r="U46" s="76">
        <f t="shared" ref="U46:U63" si="56">SUM(Q46:T46)</f>
        <v>2830</v>
      </c>
      <c r="V46" s="2"/>
    </row>
    <row r="47" ht="15.0" customHeight="1">
      <c r="A47" s="74" t="s">
        <v>84</v>
      </c>
      <c r="B47" s="77"/>
      <c r="C47" s="77"/>
      <c r="D47" s="2"/>
      <c r="E47" s="75"/>
      <c r="F47" s="76">
        <f t="shared" si="52"/>
        <v>0</v>
      </c>
      <c r="G47" s="77">
        <v>761.0</v>
      </c>
      <c r="H47" s="2">
        <v>88.0</v>
      </c>
      <c r="I47" s="2"/>
      <c r="J47" s="2"/>
      <c r="K47" s="76">
        <f t="shared" si="53"/>
        <v>849</v>
      </c>
      <c r="L47" s="77"/>
      <c r="M47" s="77"/>
      <c r="N47" s="77"/>
      <c r="O47" s="77"/>
      <c r="P47" s="76">
        <f t="shared" si="54"/>
        <v>0</v>
      </c>
      <c r="Q47" s="75">
        <f t="shared" ref="Q47:T47" si="55">SUM(B47,G47,L47)</f>
        <v>761</v>
      </c>
      <c r="R47" s="75">
        <f t="shared" si="55"/>
        <v>88</v>
      </c>
      <c r="S47" s="75">
        <f t="shared" si="55"/>
        <v>0</v>
      </c>
      <c r="T47" s="75">
        <f t="shared" si="55"/>
        <v>0</v>
      </c>
      <c r="U47" s="78">
        <f t="shared" si="56"/>
        <v>849</v>
      </c>
      <c r="V47" s="2"/>
    </row>
    <row r="48" ht="15.0" customHeight="1">
      <c r="A48" s="74" t="s">
        <v>85</v>
      </c>
      <c r="B48" s="77"/>
      <c r="C48" s="77"/>
      <c r="D48" s="77"/>
      <c r="E48" s="77"/>
      <c r="F48" s="76">
        <f t="shared" si="52"/>
        <v>0</v>
      </c>
      <c r="G48" s="77"/>
      <c r="H48" s="77"/>
      <c r="I48" s="77"/>
      <c r="J48" s="77"/>
      <c r="K48" s="76">
        <f t="shared" si="53"/>
        <v>0</v>
      </c>
      <c r="L48" s="77"/>
      <c r="M48" s="77"/>
      <c r="N48" s="77"/>
      <c r="O48" s="77"/>
      <c r="P48" s="76">
        <f t="shared" si="54"/>
        <v>0</v>
      </c>
      <c r="Q48" s="75">
        <f t="shared" ref="Q48:T48" si="57">SUM(B48,G48,L48)</f>
        <v>0</v>
      </c>
      <c r="R48" s="75">
        <f t="shared" si="57"/>
        <v>0</v>
      </c>
      <c r="S48" s="75">
        <f t="shared" si="57"/>
        <v>0</v>
      </c>
      <c r="T48" s="75">
        <f t="shared" si="57"/>
        <v>0</v>
      </c>
      <c r="U48" s="78">
        <f t="shared" si="56"/>
        <v>0</v>
      </c>
      <c r="V48" s="2"/>
    </row>
    <row r="49" ht="15.0" customHeight="1">
      <c r="A49" s="74" t="s">
        <v>86</v>
      </c>
      <c r="B49" s="77">
        <v>163.0</v>
      </c>
      <c r="C49" s="77">
        <v>389.0</v>
      </c>
      <c r="D49" s="77">
        <v>638.0</v>
      </c>
      <c r="E49" s="77"/>
      <c r="F49" s="76">
        <f t="shared" si="52"/>
        <v>1190</v>
      </c>
      <c r="G49" s="77">
        <v>48.0</v>
      </c>
      <c r="H49" s="77">
        <v>331.0</v>
      </c>
      <c r="I49" s="77">
        <v>386.0</v>
      </c>
      <c r="J49" s="77"/>
      <c r="K49" s="76">
        <f t="shared" si="53"/>
        <v>765</v>
      </c>
      <c r="L49" s="77"/>
      <c r="M49" s="77">
        <v>11.0</v>
      </c>
      <c r="N49" s="77">
        <v>23.0</v>
      </c>
      <c r="O49" s="77"/>
      <c r="P49" s="76">
        <f t="shared" si="54"/>
        <v>34</v>
      </c>
      <c r="Q49" s="75">
        <f t="shared" ref="Q49:T49" si="58">SUM(B49,G49,L49)</f>
        <v>211</v>
      </c>
      <c r="R49" s="75">
        <f t="shared" si="58"/>
        <v>731</v>
      </c>
      <c r="S49" s="75">
        <f t="shared" si="58"/>
        <v>1047</v>
      </c>
      <c r="T49" s="75">
        <f t="shared" si="58"/>
        <v>0</v>
      </c>
      <c r="U49" s="78">
        <f t="shared" si="56"/>
        <v>1989</v>
      </c>
      <c r="V49" s="2"/>
    </row>
    <row r="50" ht="15.0" customHeight="1">
      <c r="A50" s="74" t="s">
        <v>87</v>
      </c>
      <c r="B50" s="77">
        <v>524.0</v>
      </c>
      <c r="C50" s="77">
        <v>270.0</v>
      </c>
      <c r="D50" s="77">
        <v>296.0</v>
      </c>
      <c r="E50" s="77"/>
      <c r="F50" s="76">
        <f t="shared" si="52"/>
        <v>1090</v>
      </c>
      <c r="G50" s="77">
        <v>223.0</v>
      </c>
      <c r="H50" s="77">
        <v>52.0</v>
      </c>
      <c r="I50" s="77">
        <v>80.0</v>
      </c>
      <c r="J50" s="77"/>
      <c r="K50" s="76">
        <f t="shared" si="53"/>
        <v>355</v>
      </c>
      <c r="L50" s="77"/>
      <c r="M50" s="77"/>
      <c r="N50" s="77"/>
      <c r="O50" s="77"/>
      <c r="P50" s="76">
        <f t="shared" si="54"/>
        <v>0</v>
      </c>
      <c r="Q50" s="75">
        <f t="shared" ref="Q50:T50" si="59">SUM(B50,G50,L50)</f>
        <v>747</v>
      </c>
      <c r="R50" s="75">
        <f t="shared" si="59"/>
        <v>322</v>
      </c>
      <c r="S50" s="75">
        <f t="shared" si="59"/>
        <v>376</v>
      </c>
      <c r="T50" s="75">
        <f t="shared" si="59"/>
        <v>0</v>
      </c>
      <c r="U50" s="78">
        <f t="shared" si="56"/>
        <v>1445</v>
      </c>
      <c r="V50" s="2"/>
    </row>
    <row r="51" ht="15.0" customHeight="1">
      <c r="A51" s="74" t="s">
        <v>88</v>
      </c>
      <c r="B51" s="77"/>
      <c r="C51" s="77"/>
      <c r="D51" s="77"/>
      <c r="E51" s="77">
        <v>112.0</v>
      </c>
      <c r="F51" s="76">
        <f t="shared" si="52"/>
        <v>112</v>
      </c>
      <c r="G51" s="77"/>
      <c r="H51" s="77"/>
      <c r="I51" s="77"/>
      <c r="J51" s="77">
        <v>127.0</v>
      </c>
      <c r="K51" s="76">
        <f t="shared" si="53"/>
        <v>127</v>
      </c>
      <c r="L51" s="77"/>
      <c r="M51" s="77"/>
      <c r="N51" s="77"/>
      <c r="O51" s="77"/>
      <c r="P51" s="76">
        <f t="shared" si="54"/>
        <v>0</v>
      </c>
      <c r="Q51" s="75">
        <f t="shared" ref="Q51:T51" si="60">SUM(B51,G51,L51)</f>
        <v>0</v>
      </c>
      <c r="R51" s="75">
        <f t="shared" si="60"/>
        <v>0</v>
      </c>
      <c r="S51" s="75">
        <f t="shared" si="60"/>
        <v>0</v>
      </c>
      <c r="T51" s="75">
        <f t="shared" si="60"/>
        <v>239</v>
      </c>
      <c r="U51" s="78">
        <f t="shared" si="56"/>
        <v>239</v>
      </c>
      <c r="V51" s="2"/>
    </row>
    <row r="52" ht="15.0" customHeight="1">
      <c r="A52" s="83" t="s">
        <v>89</v>
      </c>
      <c r="B52" s="84">
        <v>54.0</v>
      </c>
      <c r="C52" s="84">
        <v>206.0</v>
      </c>
      <c r="D52" s="84"/>
      <c r="E52" s="84"/>
      <c r="F52" s="85">
        <f t="shared" si="52"/>
        <v>260</v>
      </c>
      <c r="G52" s="84">
        <v>25.0</v>
      </c>
      <c r="H52" s="84">
        <v>166.0</v>
      </c>
      <c r="I52" s="84"/>
      <c r="J52" s="84"/>
      <c r="K52" s="85">
        <f t="shared" si="53"/>
        <v>191</v>
      </c>
      <c r="L52" s="84"/>
      <c r="M52" s="84"/>
      <c r="N52" s="84"/>
      <c r="O52" s="84"/>
      <c r="P52" s="85">
        <f t="shared" si="54"/>
        <v>0</v>
      </c>
      <c r="Q52" s="86">
        <f t="shared" ref="Q52:T52" si="61">SUM(B52,G52,L52)</f>
        <v>79</v>
      </c>
      <c r="R52" s="86">
        <f t="shared" si="61"/>
        <v>372</v>
      </c>
      <c r="S52" s="86">
        <f t="shared" si="61"/>
        <v>0</v>
      </c>
      <c r="T52" s="86">
        <f t="shared" si="61"/>
        <v>0</v>
      </c>
      <c r="U52" s="87">
        <f t="shared" si="56"/>
        <v>451</v>
      </c>
      <c r="V52" s="88"/>
      <c r="W52" s="89"/>
      <c r="X52" s="89"/>
      <c r="Y52" s="89"/>
      <c r="Z52" s="89"/>
    </row>
    <row r="53" ht="15.0" customHeight="1">
      <c r="A53" s="74" t="s">
        <v>90</v>
      </c>
      <c r="B53" s="77">
        <v>2.0</v>
      </c>
      <c r="C53" s="77">
        <v>6.0</v>
      </c>
      <c r="D53" s="77">
        <v>5.0</v>
      </c>
      <c r="E53" s="77">
        <v>3.0</v>
      </c>
      <c r="F53" s="76">
        <f t="shared" si="52"/>
        <v>16</v>
      </c>
      <c r="G53" s="77"/>
      <c r="H53" s="77"/>
      <c r="I53" s="77"/>
      <c r="J53" s="77"/>
      <c r="K53" s="76">
        <f t="shared" si="53"/>
        <v>0</v>
      </c>
      <c r="L53" s="77"/>
      <c r="M53" s="77"/>
      <c r="N53" s="77"/>
      <c r="O53" s="77"/>
      <c r="P53" s="76">
        <f t="shared" si="54"/>
        <v>0</v>
      </c>
      <c r="Q53" s="75">
        <f t="shared" ref="Q53:T53" si="62">SUM(B53,G53,L53)</f>
        <v>2</v>
      </c>
      <c r="R53" s="75">
        <f t="shared" si="62"/>
        <v>6</v>
      </c>
      <c r="S53" s="75">
        <f t="shared" si="62"/>
        <v>5</v>
      </c>
      <c r="T53" s="75">
        <f t="shared" si="62"/>
        <v>3</v>
      </c>
      <c r="U53" s="78">
        <f t="shared" si="56"/>
        <v>16</v>
      </c>
      <c r="V53" s="2"/>
    </row>
    <row r="54" ht="15.0" customHeight="1">
      <c r="A54" s="74" t="s">
        <v>91</v>
      </c>
      <c r="B54" s="77">
        <v>508.0</v>
      </c>
      <c r="C54" s="77">
        <v>245.0</v>
      </c>
      <c r="D54" s="77"/>
      <c r="E54" s="77">
        <v>166.0</v>
      </c>
      <c r="F54" s="76">
        <f t="shared" si="52"/>
        <v>919</v>
      </c>
      <c r="G54" s="77">
        <v>240.0</v>
      </c>
      <c r="H54" s="77">
        <v>55.0</v>
      </c>
      <c r="I54" s="77"/>
      <c r="J54" s="77">
        <v>220.0</v>
      </c>
      <c r="K54" s="76">
        <f t="shared" si="53"/>
        <v>515</v>
      </c>
      <c r="L54" s="77"/>
      <c r="M54" s="77"/>
      <c r="N54" s="77"/>
      <c r="O54" s="77"/>
      <c r="P54" s="76">
        <f t="shared" si="54"/>
        <v>0</v>
      </c>
      <c r="Q54" s="75">
        <f t="shared" ref="Q54:T54" si="63">SUM(B54,G54,L54)</f>
        <v>748</v>
      </c>
      <c r="R54" s="75">
        <f t="shared" si="63"/>
        <v>300</v>
      </c>
      <c r="S54" s="75">
        <f t="shared" si="63"/>
        <v>0</v>
      </c>
      <c r="T54" s="75">
        <f t="shared" si="63"/>
        <v>386</v>
      </c>
      <c r="U54" s="78">
        <f t="shared" si="56"/>
        <v>1434</v>
      </c>
      <c r="V54" s="2"/>
    </row>
    <row r="55" ht="15.0" customHeight="1">
      <c r="A55" s="74" t="s">
        <v>92</v>
      </c>
      <c r="B55" s="77">
        <v>10.0</v>
      </c>
      <c r="C55" s="77"/>
      <c r="D55" s="77">
        <v>69.0</v>
      </c>
      <c r="E55" s="77">
        <v>205.0</v>
      </c>
      <c r="F55" s="76">
        <f t="shared" si="52"/>
        <v>284</v>
      </c>
      <c r="G55" s="77">
        <v>35.0</v>
      </c>
      <c r="H55" s="77"/>
      <c r="I55" s="77">
        <v>345.0</v>
      </c>
      <c r="J55" s="77">
        <v>410.0</v>
      </c>
      <c r="K55" s="76">
        <f t="shared" si="53"/>
        <v>790</v>
      </c>
      <c r="L55" s="77"/>
      <c r="M55" s="77"/>
      <c r="N55" s="77"/>
      <c r="O55" s="77"/>
      <c r="P55" s="76">
        <f t="shared" si="54"/>
        <v>0</v>
      </c>
      <c r="Q55" s="75">
        <f t="shared" ref="Q55:T55" si="64">SUM(B55,G55,L55)</f>
        <v>45</v>
      </c>
      <c r="R55" s="75">
        <f t="shared" si="64"/>
        <v>0</v>
      </c>
      <c r="S55" s="75">
        <f t="shared" si="64"/>
        <v>414</v>
      </c>
      <c r="T55" s="75">
        <f t="shared" si="64"/>
        <v>615</v>
      </c>
      <c r="U55" s="78">
        <f t="shared" si="56"/>
        <v>1074</v>
      </c>
      <c r="V55" s="2"/>
    </row>
    <row r="56" ht="15.0" customHeight="1">
      <c r="A56" s="74" t="s">
        <v>93</v>
      </c>
      <c r="B56" s="77">
        <v>339.0</v>
      </c>
      <c r="C56" s="77">
        <v>324.0</v>
      </c>
      <c r="D56" s="77">
        <v>146.0</v>
      </c>
      <c r="E56" s="77"/>
      <c r="F56" s="76">
        <f t="shared" si="52"/>
        <v>809</v>
      </c>
      <c r="G56" s="77">
        <v>604.0</v>
      </c>
      <c r="H56" s="77">
        <v>796.0</v>
      </c>
      <c r="I56" s="77">
        <v>393.0</v>
      </c>
      <c r="J56" s="77"/>
      <c r="K56" s="76">
        <f t="shared" si="53"/>
        <v>1793</v>
      </c>
      <c r="L56" s="90"/>
      <c r="M56" s="90"/>
      <c r="N56" s="90"/>
      <c r="O56" s="90"/>
      <c r="P56" s="76">
        <f t="shared" si="54"/>
        <v>0</v>
      </c>
      <c r="Q56" s="75">
        <f t="shared" ref="Q56:T56" si="65">SUM(B56,G56,L56)</f>
        <v>943</v>
      </c>
      <c r="R56" s="75">
        <f t="shared" si="65"/>
        <v>1120</v>
      </c>
      <c r="S56" s="75">
        <f t="shared" si="65"/>
        <v>539</v>
      </c>
      <c r="T56" s="75">
        <f t="shared" si="65"/>
        <v>0</v>
      </c>
      <c r="U56" s="91">
        <f t="shared" si="56"/>
        <v>2602</v>
      </c>
      <c r="V56" s="2"/>
    </row>
    <row r="57" ht="15.0" customHeight="1">
      <c r="A57" s="74" t="s">
        <v>94</v>
      </c>
      <c r="B57" s="77">
        <v>2879.0</v>
      </c>
      <c r="C57" s="77">
        <v>1179.0</v>
      </c>
      <c r="D57" s="77">
        <v>6428.0</v>
      </c>
      <c r="E57" s="2">
        <v>3548.0</v>
      </c>
      <c r="F57" s="76">
        <f t="shared" si="52"/>
        <v>14034</v>
      </c>
      <c r="G57" s="77"/>
      <c r="H57" s="77"/>
      <c r="I57" s="2">
        <v>15.0</v>
      </c>
      <c r="J57" s="75">
        <v>106.0</v>
      </c>
      <c r="K57" s="76">
        <f t="shared" si="53"/>
        <v>121</v>
      </c>
      <c r="L57" s="77"/>
      <c r="M57" s="77"/>
      <c r="N57" s="77">
        <v>25.0</v>
      </c>
      <c r="O57" s="77">
        <v>60.0</v>
      </c>
      <c r="P57" s="76">
        <f t="shared" si="54"/>
        <v>85</v>
      </c>
      <c r="Q57" s="75">
        <f t="shared" ref="Q57:T57" si="66">SUM(B57,G57,L57)</f>
        <v>2879</v>
      </c>
      <c r="R57" s="75">
        <f t="shared" si="66"/>
        <v>1179</v>
      </c>
      <c r="S57" s="75">
        <f t="shared" si="66"/>
        <v>6468</v>
      </c>
      <c r="T57" s="75">
        <f t="shared" si="66"/>
        <v>3714</v>
      </c>
      <c r="U57" s="91">
        <f t="shared" si="56"/>
        <v>14240</v>
      </c>
      <c r="V57" s="2"/>
    </row>
    <row r="58" ht="15.0" customHeight="1">
      <c r="A58" s="74" t="s">
        <v>95</v>
      </c>
      <c r="B58" s="77">
        <v>68.0</v>
      </c>
      <c r="C58" s="77">
        <v>121.0</v>
      </c>
      <c r="D58" s="77">
        <v>15.0</v>
      </c>
      <c r="E58" s="77">
        <v>335.0</v>
      </c>
      <c r="F58" s="76">
        <f t="shared" si="52"/>
        <v>539</v>
      </c>
      <c r="G58" s="77">
        <v>17.0</v>
      </c>
      <c r="H58" s="77">
        <v>159.0</v>
      </c>
      <c r="I58" s="77">
        <v>97.0</v>
      </c>
      <c r="J58" s="77">
        <v>104.0</v>
      </c>
      <c r="K58" s="76">
        <f t="shared" si="53"/>
        <v>377</v>
      </c>
      <c r="L58" s="77"/>
      <c r="M58" s="77"/>
      <c r="N58" s="77"/>
      <c r="O58" s="77">
        <v>13.0</v>
      </c>
      <c r="P58" s="76">
        <f t="shared" si="54"/>
        <v>13</v>
      </c>
      <c r="Q58" s="75">
        <f t="shared" ref="Q58:T58" si="67">SUM(B58,G58,L58)</f>
        <v>85</v>
      </c>
      <c r="R58" s="75">
        <f t="shared" si="67"/>
        <v>280</v>
      </c>
      <c r="S58" s="75">
        <f t="shared" si="67"/>
        <v>112</v>
      </c>
      <c r="T58" s="75">
        <f t="shared" si="67"/>
        <v>452</v>
      </c>
      <c r="U58" s="91">
        <f t="shared" si="56"/>
        <v>929</v>
      </c>
      <c r="V58" s="2"/>
    </row>
    <row r="59" ht="15.0" customHeight="1">
      <c r="A59" s="74" t="s">
        <v>96</v>
      </c>
      <c r="B59" s="77">
        <v>488.0</v>
      </c>
      <c r="C59" s="77">
        <v>445.0</v>
      </c>
      <c r="D59" s="77">
        <v>60.0</v>
      </c>
      <c r="E59" s="77"/>
      <c r="F59" s="76">
        <f t="shared" si="52"/>
        <v>993</v>
      </c>
      <c r="G59" s="82">
        <v>683.0</v>
      </c>
      <c r="H59" s="82">
        <v>991.0</v>
      </c>
      <c r="I59" s="82">
        <v>200.0</v>
      </c>
      <c r="J59" s="77"/>
      <c r="K59" s="76">
        <f t="shared" si="53"/>
        <v>1874</v>
      </c>
      <c r="L59" s="77"/>
      <c r="M59" s="77"/>
      <c r="N59" s="77"/>
      <c r="O59" s="77"/>
      <c r="P59" s="76">
        <f t="shared" si="54"/>
        <v>0</v>
      </c>
      <c r="Q59" s="75">
        <f t="shared" ref="Q59:T59" si="68">SUM(B59,G59,L59)</f>
        <v>1171</v>
      </c>
      <c r="R59" s="75">
        <f t="shared" si="68"/>
        <v>1436</v>
      </c>
      <c r="S59" s="75">
        <f t="shared" si="68"/>
        <v>260</v>
      </c>
      <c r="T59" s="75">
        <f t="shared" si="68"/>
        <v>0</v>
      </c>
      <c r="U59" s="91">
        <f t="shared" si="56"/>
        <v>2867</v>
      </c>
      <c r="V59" s="2"/>
    </row>
    <row r="60" ht="15.0" customHeight="1">
      <c r="A60" s="74" t="s">
        <v>17</v>
      </c>
      <c r="B60" s="77">
        <v>895.0</v>
      </c>
      <c r="C60" s="77">
        <v>357.0</v>
      </c>
      <c r="D60" s="77">
        <v>96.0</v>
      </c>
      <c r="E60" s="77">
        <v>872.0</v>
      </c>
      <c r="F60" s="76">
        <f t="shared" si="52"/>
        <v>2220</v>
      </c>
      <c r="G60" s="77"/>
      <c r="H60" s="77"/>
      <c r="I60" s="77">
        <v>231.0</v>
      </c>
      <c r="J60" s="77">
        <v>1045.0</v>
      </c>
      <c r="K60" s="76">
        <f t="shared" si="53"/>
        <v>1276</v>
      </c>
      <c r="L60" s="77"/>
      <c r="M60" s="77"/>
      <c r="N60" s="77"/>
      <c r="O60" s="77"/>
      <c r="P60" s="76">
        <f t="shared" si="54"/>
        <v>0</v>
      </c>
      <c r="Q60" s="75">
        <f t="shared" ref="Q60:T60" si="69">SUM(B60,G60,L60)</f>
        <v>895</v>
      </c>
      <c r="R60" s="75">
        <f t="shared" si="69"/>
        <v>357</v>
      </c>
      <c r="S60" s="75">
        <f t="shared" si="69"/>
        <v>327</v>
      </c>
      <c r="T60" s="75">
        <f t="shared" si="69"/>
        <v>1917</v>
      </c>
      <c r="U60" s="78">
        <f t="shared" si="56"/>
        <v>3496</v>
      </c>
      <c r="V60" s="2"/>
    </row>
    <row r="61" ht="15.0" customHeight="1">
      <c r="A61" s="74" t="s">
        <v>78</v>
      </c>
      <c r="B61" s="80">
        <v>334.0</v>
      </c>
      <c r="C61" s="80">
        <v>856.0</v>
      </c>
      <c r="D61" s="80"/>
      <c r="E61" s="77"/>
      <c r="F61" s="76">
        <f t="shared" si="52"/>
        <v>1190</v>
      </c>
      <c r="G61" s="77">
        <v>531.0</v>
      </c>
      <c r="H61" s="77">
        <v>2468.0</v>
      </c>
      <c r="I61" s="77"/>
      <c r="J61" s="77"/>
      <c r="K61" s="76">
        <f t="shared" si="53"/>
        <v>2999</v>
      </c>
      <c r="L61" s="77"/>
      <c r="M61" s="77"/>
      <c r="N61" s="77"/>
      <c r="O61" s="77"/>
      <c r="P61" s="76">
        <f t="shared" si="54"/>
        <v>0</v>
      </c>
      <c r="Q61" s="75">
        <f t="shared" ref="Q61:T61" si="70">SUM(B61,G61,L61)</f>
        <v>865</v>
      </c>
      <c r="R61" s="75">
        <f t="shared" si="70"/>
        <v>3324</v>
      </c>
      <c r="S61" s="75">
        <f t="shared" si="70"/>
        <v>0</v>
      </c>
      <c r="T61" s="75">
        <f t="shared" si="70"/>
        <v>0</v>
      </c>
      <c r="U61" s="78">
        <f t="shared" si="56"/>
        <v>4189</v>
      </c>
      <c r="V61" s="2"/>
    </row>
    <row r="62" ht="15.0" customHeight="1">
      <c r="A62" s="74" t="s">
        <v>97</v>
      </c>
      <c r="B62" s="77">
        <v>1044.0</v>
      </c>
      <c r="C62" s="77">
        <v>567.0</v>
      </c>
      <c r="D62" s="77">
        <v>57.0</v>
      </c>
      <c r="E62" s="77">
        <v>441.0</v>
      </c>
      <c r="F62" s="76">
        <f t="shared" si="52"/>
        <v>2109</v>
      </c>
      <c r="G62" s="77">
        <v>250.0</v>
      </c>
      <c r="H62" s="77">
        <v>144.0</v>
      </c>
      <c r="I62" s="77">
        <v>20.0</v>
      </c>
      <c r="J62" s="77">
        <v>272.0</v>
      </c>
      <c r="K62" s="76">
        <f t="shared" si="53"/>
        <v>686</v>
      </c>
      <c r="L62" s="77"/>
      <c r="M62" s="77"/>
      <c r="N62" s="77"/>
      <c r="O62" s="77"/>
      <c r="P62" s="76">
        <f t="shared" si="54"/>
        <v>0</v>
      </c>
      <c r="Q62" s="75">
        <f t="shared" ref="Q62:T62" si="71">SUM(B62,G62,L62)</f>
        <v>1294</v>
      </c>
      <c r="R62" s="75">
        <f t="shared" si="71"/>
        <v>711</v>
      </c>
      <c r="S62" s="75">
        <f t="shared" si="71"/>
        <v>77</v>
      </c>
      <c r="T62" s="75">
        <f t="shared" si="71"/>
        <v>713</v>
      </c>
      <c r="U62" s="78">
        <f t="shared" si="56"/>
        <v>2795</v>
      </c>
      <c r="V62" s="2"/>
    </row>
    <row r="63" ht="15.75" customHeight="1">
      <c r="A63" s="74" t="s">
        <v>98</v>
      </c>
      <c r="B63" s="77">
        <v>915.0</v>
      </c>
      <c r="C63" s="77">
        <v>774.0</v>
      </c>
      <c r="D63" s="77"/>
      <c r="E63" s="77"/>
      <c r="F63" s="76">
        <f t="shared" si="52"/>
        <v>1689</v>
      </c>
      <c r="G63" s="77">
        <v>2309.0</v>
      </c>
      <c r="H63" s="77">
        <v>1772.0</v>
      </c>
      <c r="I63" s="77"/>
      <c r="J63" s="77"/>
      <c r="K63" s="76">
        <f t="shared" si="53"/>
        <v>4081</v>
      </c>
      <c r="L63" s="77"/>
      <c r="M63" s="77"/>
      <c r="N63" s="77"/>
      <c r="O63" s="77"/>
      <c r="P63" s="76">
        <f t="shared" si="54"/>
        <v>0</v>
      </c>
      <c r="Q63" s="75">
        <f t="shared" ref="Q63:T63" si="72">SUM(B63,G63,L63)</f>
        <v>3224</v>
      </c>
      <c r="R63" s="75">
        <f t="shared" si="72"/>
        <v>2546</v>
      </c>
      <c r="S63" s="75">
        <f t="shared" si="72"/>
        <v>0</v>
      </c>
      <c r="T63" s="75">
        <f t="shared" si="72"/>
        <v>0</v>
      </c>
      <c r="U63" s="78">
        <f t="shared" si="56"/>
        <v>5770</v>
      </c>
      <c r="V63" s="2"/>
    </row>
    <row r="64" ht="15.75" customHeight="1">
      <c r="A64" s="72" t="s">
        <v>99</v>
      </c>
      <c r="B64" s="73">
        <f>SUM(B65:B79)</f>
        <v>0</v>
      </c>
      <c r="C64" s="73">
        <f t="shared" ref="C64:K64" si="73">SUM(C65:C78)</f>
        <v>0</v>
      </c>
      <c r="D64" s="73">
        <f t="shared" si="73"/>
        <v>0</v>
      </c>
      <c r="E64" s="73">
        <f t="shared" si="73"/>
        <v>247</v>
      </c>
      <c r="F64" s="73">
        <f t="shared" si="73"/>
        <v>247</v>
      </c>
      <c r="G64" s="73">
        <f t="shared" si="73"/>
        <v>0</v>
      </c>
      <c r="H64" s="73">
        <f t="shared" si="73"/>
        <v>0</v>
      </c>
      <c r="I64" s="73">
        <f t="shared" si="73"/>
        <v>0</v>
      </c>
      <c r="J64" s="73">
        <f t="shared" si="73"/>
        <v>110</v>
      </c>
      <c r="K64" s="73">
        <f t="shared" si="73"/>
        <v>110</v>
      </c>
      <c r="L64" s="73">
        <f t="shared" ref="L64:U64" si="74">SUM(L65:L79)</f>
        <v>0</v>
      </c>
      <c r="M64" s="73">
        <f t="shared" si="74"/>
        <v>0</v>
      </c>
      <c r="N64" s="73">
        <f t="shared" si="74"/>
        <v>0</v>
      </c>
      <c r="O64" s="73">
        <f t="shared" si="74"/>
        <v>0</v>
      </c>
      <c r="P64" s="73">
        <f t="shared" si="74"/>
        <v>0</v>
      </c>
      <c r="Q64" s="73">
        <f t="shared" si="74"/>
        <v>0</v>
      </c>
      <c r="R64" s="73">
        <f t="shared" si="74"/>
        <v>0</v>
      </c>
      <c r="S64" s="73">
        <f t="shared" si="74"/>
        <v>0</v>
      </c>
      <c r="T64" s="73">
        <f t="shared" si="74"/>
        <v>357</v>
      </c>
      <c r="U64" s="73">
        <f t="shared" si="74"/>
        <v>357</v>
      </c>
      <c r="V64" s="2" t="s">
        <v>114</v>
      </c>
    </row>
    <row r="65" ht="15.0" customHeight="1">
      <c r="A65" s="74" t="s">
        <v>100</v>
      </c>
      <c r="B65" s="75"/>
      <c r="C65" s="75"/>
      <c r="D65" s="75"/>
      <c r="E65" s="75">
        <v>5.0</v>
      </c>
      <c r="F65" s="76">
        <f t="shared" ref="F65:F79" si="76">SUM(B65:E65)</f>
        <v>5</v>
      </c>
      <c r="G65" s="75"/>
      <c r="H65" s="75"/>
      <c r="I65" s="75"/>
      <c r="J65" s="75">
        <v>3.0</v>
      </c>
      <c r="K65" s="76">
        <f t="shared" ref="K65:K79" si="77">SUM(G65:J65)</f>
        <v>3</v>
      </c>
      <c r="L65" s="75"/>
      <c r="M65" s="75"/>
      <c r="N65" s="75"/>
      <c r="O65" s="75"/>
      <c r="P65" s="76">
        <f t="shared" ref="P65:P79" si="78">SUM(L65:O65)</f>
        <v>0</v>
      </c>
      <c r="Q65" s="75">
        <f t="shared" ref="Q65:T65" si="75">B65+G65+L65</f>
        <v>0</v>
      </c>
      <c r="R65" s="75">
        <f t="shared" si="75"/>
        <v>0</v>
      </c>
      <c r="S65" s="75">
        <f t="shared" si="75"/>
        <v>0</v>
      </c>
      <c r="T65" s="75">
        <f t="shared" si="75"/>
        <v>8</v>
      </c>
      <c r="U65" s="76">
        <f t="shared" ref="U65:U79" si="80">SUM(Q65:T65)</f>
        <v>8</v>
      </c>
      <c r="V65" s="2"/>
    </row>
    <row r="66" ht="15.0" customHeight="1">
      <c r="A66" s="74" t="s">
        <v>101</v>
      </c>
      <c r="B66" s="77"/>
      <c r="C66" s="77"/>
      <c r="D66" s="77"/>
      <c r="E66" s="77">
        <v>40.0</v>
      </c>
      <c r="F66" s="76">
        <f t="shared" si="76"/>
        <v>40</v>
      </c>
      <c r="G66" s="77"/>
      <c r="H66" s="77"/>
      <c r="I66" s="77"/>
      <c r="J66" s="77">
        <v>5.0</v>
      </c>
      <c r="K66" s="76">
        <f t="shared" si="77"/>
        <v>5</v>
      </c>
      <c r="L66" s="77"/>
      <c r="M66" s="77"/>
      <c r="N66" s="77"/>
      <c r="O66" s="77"/>
      <c r="P66" s="78">
        <f t="shared" si="78"/>
        <v>0</v>
      </c>
      <c r="Q66" s="75">
        <f t="shared" ref="Q66:T66" si="79">B66+G66+L66</f>
        <v>0</v>
      </c>
      <c r="R66" s="75">
        <f t="shared" si="79"/>
        <v>0</v>
      </c>
      <c r="S66" s="75">
        <f t="shared" si="79"/>
        <v>0</v>
      </c>
      <c r="T66" s="75">
        <f t="shared" si="79"/>
        <v>45</v>
      </c>
      <c r="U66" s="76">
        <f t="shared" si="80"/>
        <v>45</v>
      </c>
      <c r="V66" s="2"/>
    </row>
    <row r="67" ht="15.0" customHeight="1">
      <c r="A67" s="74" t="s">
        <v>102</v>
      </c>
      <c r="B67" s="77"/>
      <c r="C67" s="77"/>
      <c r="D67" s="77"/>
      <c r="E67" s="77">
        <v>12.0</v>
      </c>
      <c r="F67" s="76">
        <f t="shared" si="76"/>
        <v>12</v>
      </c>
      <c r="G67" s="77"/>
      <c r="H67" s="77"/>
      <c r="I67" s="77"/>
      <c r="J67" s="77">
        <v>5.0</v>
      </c>
      <c r="K67" s="76">
        <f t="shared" si="77"/>
        <v>5</v>
      </c>
      <c r="L67" s="77"/>
      <c r="M67" s="77"/>
      <c r="N67" s="77"/>
      <c r="O67" s="77"/>
      <c r="P67" s="78">
        <f t="shared" si="78"/>
        <v>0</v>
      </c>
      <c r="Q67" s="75">
        <f t="shared" ref="Q67:T67" si="81">B67+G67+L67</f>
        <v>0</v>
      </c>
      <c r="R67" s="75">
        <f t="shared" si="81"/>
        <v>0</v>
      </c>
      <c r="S67" s="75">
        <f t="shared" si="81"/>
        <v>0</v>
      </c>
      <c r="T67" s="75">
        <f t="shared" si="81"/>
        <v>17</v>
      </c>
      <c r="U67" s="76">
        <f t="shared" si="80"/>
        <v>17</v>
      </c>
      <c r="V67" s="2"/>
    </row>
    <row r="68" ht="15.0" customHeight="1">
      <c r="A68" s="74" t="s">
        <v>103</v>
      </c>
      <c r="B68" s="77"/>
      <c r="C68" s="77"/>
      <c r="D68" s="77"/>
      <c r="E68" s="77">
        <v>2.0</v>
      </c>
      <c r="F68" s="76">
        <f t="shared" si="76"/>
        <v>2</v>
      </c>
      <c r="G68" s="77"/>
      <c r="H68" s="77"/>
      <c r="I68" s="77"/>
      <c r="J68" s="77">
        <v>2.0</v>
      </c>
      <c r="K68" s="76">
        <f t="shared" si="77"/>
        <v>2</v>
      </c>
      <c r="L68" s="77"/>
      <c r="M68" s="77"/>
      <c r="N68" s="77"/>
      <c r="O68" s="77"/>
      <c r="P68" s="78">
        <f t="shared" si="78"/>
        <v>0</v>
      </c>
      <c r="Q68" s="75">
        <f t="shared" ref="Q68:T68" si="82">B68+G68+L68</f>
        <v>0</v>
      </c>
      <c r="R68" s="75">
        <f t="shared" si="82"/>
        <v>0</v>
      </c>
      <c r="S68" s="75">
        <f t="shared" si="82"/>
        <v>0</v>
      </c>
      <c r="T68" s="75">
        <f t="shared" si="82"/>
        <v>4</v>
      </c>
      <c r="U68" s="76">
        <f t="shared" si="80"/>
        <v>4</v>
      </c>
      <c r="V68" s="2"/>
    </row>
    <row r="69" ht="15.0" customHeight="1">
      <c r="A69" s="74" t="s">
        <v>59</v>
      </c>
      <c r="B69" s="77"/>
      <c r="C69" s="77"/>
      <c r="D69" s="77"/>
      <c r="E69" s="77">
        <v>36.0</v>
      </c>
      <c r="F69" s="76">
        <f t="shared" si="76"/>
        <v>36</v>
      </c>
      <c r="G69" s="77"/>
      <c r="H69" s="77"/>
      <c r="I69" s="77"/>
      <c r="J69" s="77">
        <v>11.0</v>
      </c>
      <c r="K69" s="76">
        <f t="shared" si="77"/>
        <v>11</v>
      </c>
      <c r="L69" s="77"/>
      <c r="M69" s="77"/>
      <c r="N69" s="77"/>
      <c r="O69" s="77"/>
      <c r="P69" s="78">
        <f t="shared" si="78"/>
        <v>0</v>
      </c>
      <c r="Q69" s="75">
        <f t="shared" ref="Q69:T69" si="83">B69+G69+L69</f>
        <v>0</v>
      </c>
      <c r="R69" s="75">
        <f t="shared" si="83"/>
        <v>0</v>
      </c>
      <c r="S69" s="75">
        <f t="shared" si="83"/>
        <v>0</v>
      </c>
      <c r="T69" s="75">
        <f t="shared" si="83"/>
        <v>47</v>
      </c>
      <c r="U69" s="76">
        <f t="shared" si="80"/>
        <v>47</v>
      </c>
      <c r="V69" s="2"/>
    </row>
    <row r="70" ht="15.0" customHeight="1">
      <c r="A70" s="74" t="s">
        <v>104</v>
      </c>
      <c r="B70" s="77"/>
      <c r="C70" s="77"/>
      <c r="D70" s="77"/>
      <c r="E70" s="77">
        <v>15.0</v>
      </c>
      <c r="F70" s="76">
        <f t="shared" si="76"/>
        <v>15</v>
      </c>
      <c r="G70" s="77"/>
      <c r="H70" s="77"/>
      <c r="I70" s="77"/>
      <c r="J70" s="77">
        <v>8.0</v>
      </c>
      <c r="K70" s="76">
        <f t="shared" si="77"/>
        <v>8</v>
      </c>
      <c r="L70" s="77"/>
      <c r="M70" s="77"/>
      <c r="N70" s="77"/>
      <c r="O70" s="77"/>
      <c r="P70" s="78">
        <f t="shared" si="78"/>
        <v>0</v>
      </c>
      <c r="Q70" s="75">
        <f t="shared" ref="Q70:T70" si="84">B70+G70+L70</f>
        <v>0</v>
      </c>
      <c r="R70" s="75">
        <f t="shared" si="84"/>
        <v>0</v>
      </c>
      <c r="S70" s="75">
        <f t="shared" si="84"/>
        <v>0</v>
      </c>
      <c r="T70" s="75">
        <f t="shared" si="84"/>
        <v>23</v>
      </c>
      <c r="U70" s="76">
        <f t="shared" si="80"/>
        <v>23</v>
      </c>
      <c r="V70" s="2"/>
    </row>
    <row r="71" ht="15.0" customHeight="1">
      <c r="A71" s="74" t="s">
        <v>105</v>
      </c>
      <c r="B71" s="77"/>
      <c r="C71" s="77"/>
      <c r="D71" s="77"/>
      <c r="E71" s="77">
        <v>61.0</v>
      </c>
      <c r="F71" s="76">
        <f t="shared" si="76"/>
        <v>61</v>
      </c>
      <c r="G71" s="77"/>
      <c r="H71" s="77"/>
      <c r="I71" s="77"/>
      <c r="J71" s="77">
        <v>24.0</v>
      </c>
      <c r="K71" s="76">
        <f t="shared" si="77"/>
        <v>24</v>
      </c>
      <c r="L71" s="77"/>
      <c r="M71" s="77"/>
      <c r="N71" s="77"/>
      <c r="O71" s="77"/>
      <c r="P71" s="78">
        <f t="shared" si="78"/>
        <v>0</v>
      </c>
      <c r="Q71" s="75">
        <f t="shared" ref="Q71:T71" si="85">B71+G71+L71</f>
        <v>0</v>
      </c>
      <c r="R71" s="75">
        <f t="shared" si="85"/>
        <v>0</v>
      </c>
      <c r="S71" s="75">
        <f t="shared" si="85"/>
        <v>0</v>
      </c>
      <c r="T71" s="75">
        <f t="shared" si="85"/>
        <v>85</v>
      </c>
      <c r="U71" s="76">
        <f t="shared" si="80"/>
        <v>85</v>
      </c>
      <c r="V71" s="2"/>
    </row>
    <row r="72" ht="15.0" customHeight="1">
      <c r="A72" s="74" t="s">
        <v>106</v>
      </c>
      <c r="B72" s="90"/>
      <c r="C72" s="90"/>
      <c r="D72" s="90"/>
      <c r="E72" s="90">
        <v>5.0</v>
      </c>
      <c r="F72" s="76">
        <f t="shared" si="76"/>
        <v>5</v>
      </c>
      <c r="G72" s="90"/>
      <c r="H72" s="90"/>
      <c r="I72" s="90"/>
      <c r="J72" s="90">
        <v>15.0</v>
      </c>
      <c r="K72" s="76">
        <f t="shared" si="77"/>
        <v>15</v>
      </c>
      <c r="L72" s="90"/>
      <c r="M72" s="90"/>
      <c r="N72" s="90"/>
      <c r="O72" s="90"/>
      <c r="P72" s="91">
        <f t="shared" si="78"/>
        <v>0</v>
      </c>
      <c r="Q72" s="75">
        <f t="shared" ref="Q72:T72" si="86">B72+G72+L72</f>
        <v>0</v>
      </c>
      <c r="R72" s="75">
        <f t="shared" si="86"/>
        <v>0</v>
      </c>
      <c r="S72" s="75">
        <f t="shared" si="86"/>
        <v>0</v>
      </c>
      <c r="T72" s="75">
        <f t="shared" si="86"/>
        <v>20</v>
      </c>
      <c r="U72" s="76">
        <f t="shared" si="80"/>
        <v>20</v>
      </c>
      <c r="V72" s="2"/>
    </row>
    <row r="73" ht="15.0" customHeight="1">
      <c r="A73" s="74" t="s">
        <v>107</v>
      </c>
      <c r="B73" s="77"/>
      <c r="C73" s="77"/>
      <c r="D73" s="77"/>
      <c r="E73" s="77">
        <v>5.0</v>
      </c>
      <c r="F73" s="76">
        <f t="shared" si="76"/>
        <v>5</v>
      </c>
      <c r="G73" s="77"/>
      <c r="H73" s="77"/>
      <c r="I73" s="77"/>
      <c r="J73" s="77">
        <v>2.0</v>
      </c>
      <c r="K73" s="76">
        <f t="shared" si="77"/>
        <v>2</v>
      </c>
      <c r="L73" s="77"/>
      <c r="M73" s="77"/>
      <c r="N73" s="77"/>
      <c r="O73" s="77"/>
      <c r="P73" s="78">
        <f t="shared" si="78"/>
        <v>0</v>
      </c>
      <c r="Q73" s="75">
        <f t="shared" ref="Q73:T73" si="87">B73+G73+L73</f>
        <v>0</v>
      </c>
      <c r="R73" s="75">
        <f t="shared" si="87"/>
        <v>0</v>
      </c>
      <c r="S73" s="75">
        <f t="shared" si="87"/>
        <v>0</v>
      </c>
      <c r="T73" s="75">
        <f t="shared" si="87"/>
        <v>7</v>
      </c>
      <c r="U73" s="76">
        <f t="shared" si="80"/>
        <v>7</v>
      </c>
      <c r="V73" s="2"/>
    </row>
    <row r="74" ht="15.0" customHeight="1">
      <c r="A74" s="74" t="s">
        <v>108</v>
      </c>
      <c r="B74" s="77"/>
      <c r="C74" s="77"/>
      <c r="D74" s="77"/>
      <c r="E74" s="77">
        <v>28.0</v>
      </c>
      <c r="F74" s="76">
        <f t="shared" si="76"/>
        <v>28</v>
      </c>
      <c r="G74" s="77"/>
      <c r="H74" s="77"/>
      <c r="I74" s="77"/>
      <c r="J74" s="77">
        <v>5.0</v>
      </c>
      <c r="K74" s="76">
        <f t="shared" si="77"/>
        <v>5</v>
      </c>
      <c r="L74" s="77"/>
      <c r="M74" s="77"/>
      <c r="N74" s="77"/>
      <c r="O74" s="77"/>
      <c r="P74" s="78">
        <f t="shared" si="78"/>
        <v>0</v>
      </c>
      <c r="Q74" s="75">
        <f t="shared" ref="Q74:T74" si="88">B74+G74+L74</f>
        <v>0</v>
      </c>
      <c r="R74" s="75">
        <f t="shared" si="88"/>
        <v>0</v>
      </c>
      <c r="S74" s="75">
        <f t="shared" si="88"/>
        <v>0</v>
      </c>
      <c r="T74" s="75">
        <f t="shared" si="88"/>
        <v>33</v>
      </c>
      <c r="U74" s="76">
        <f t="shared" si="80"/>
        <v>33</v>
      </c>
      <c r="V74" s="2"/>
    </row>
    <row r="75" ht="15.0" customHeight="1">
      <c r="A75" s="74" t="s">
        <v>109</v>
      </c>
      <c r="B75" s="77"/>
      <c r="C75" s="77"/>
      <c r="D75" s="77"/>
      <c r="E75" s="77">
        <v>17.0</v>
      </c>
      <c r="F75" s="76">
        <f t="shared" si="76"/>
        <v>17</v>
      </c>
      <c r="G75" s="77"/>
      <c r="H75" s="77"/>
      <c r="I75" s="77"/>
      <c r="J75" s="77">
        <v>2.0</v>
      </c>
      <c r="K75" s="76">
        <f t="shared" si="77"/>
        <v>2</v>
      </c>
      <c r="L75" s="77"/>
      <c r="M75" s="77"/>
      <c r="N75" s="77"/>
      <c r="O75" s="77"/>
      <c r="P75" s="78">
        <f t="shared" si="78"/>
        <v>0</v>
      </c>
      <c r="Q75" s="75">
        <f t="shared" ref="Q75:T75" si="89">B75+G75+L75</f>
        <v>0</v>
      </c>
      <c r="R75" s="75">
        <f t="shared" si="89"/>
        <v>0</v>
      </c>
      <c r="S75" s="75">
        <f t="shared" si="89"/>
        <v>0</v>
      </c>
      <c r="T75" s="75">
        <f t="shared" si="89"/>
        <v>19</v>
      </c>
      <c r="U75" s="76">
        <f t="shared" si="80"/>
        <v>19</v>
      </c>
      <c r="V75" s="2"/>
    </row>
    <row r="76" ht="15.0" customHeight="1">
      <c r="A76" s="74" t="s">
        <v>65</v>
      </c>
      <c r="B76" s="77"/>
      <c r="C76" s="77"/>
      <c r="D76" s="77"/>
      <c r="E76" s="77">
        <v>3.0</v>
      </c>
      <c r="F76" s="76">
        <f t="shared" si="76"/>
        <v>3</v>
      </c>
      <c r="G76" s="77"/>
      <c r="H76" s="77"/>
      <c r="I76" s="77"/>
      <c r="J76" s="77">
        <v>2.0</v>
      </c>
      <c r="K76" s="76">
        <f t="shared" si="77"/>
        <v>2</v>
      </c>
      <c r="L76" s="77"/>
      <c r="M76" s="77"/>
      <c r="N76" s="77"/>
      <c r="O76" s="77"/>
      <c r="P76" s="78">
        <f t="shared" si="78"/>
        <v>0</v>
      </c>
      <c r="Q76" s="75">
        <f t="shared" ref="Q76:T76" si="90">B76+G76+L76</f>
        <v>0</v>
      </c>
      <c r="R76" s="75">
        <f t="shared" si="90"/>
        <v>0</v>
      </c>
      <c r="S76" s="75">
        <f t="shared" si="90"/>
        <v>0</v>
      </c>
      <c r="T76" s="75">
        <f t="shared" si="90"/>
        <v>5</v>
      </c>
      <c r="U76" s="76">
        <f t="shared" si="80"/>
        <v>5</v>
      </c>
      <c r="V76" s="2"/>
    </row>
    <row r="77" ht="15.0" customHeight="1">
      <c r="A77" s="74" t="s">
        <v>110</v>
      </c>
      <c r="B77" s="77"/>
      <c r="C77" s="77"/>
      <c r="D77" s="77"/>
      <c r="E77" s="77">
        <v>16.0</v>
      </c>
      <c r="F77" s="76">
        <f t="shared" si="76"/>
        <v>16</v>
      </c>
      <c r="G77" s="77"/>
      <c r="H77" s="77"/>
      <c r="I77" s="77"/>
      <c r="J77" s="77">
        <v>24.0</v>
      </c>
      <c r="K77" s="76">
        <f t="shared" si="77"/>
        <v>24</v>
      </c>
      <c r="L77" s="77"/>
      <c r="M77" s="77"/>
      <c r="N77" s="77"/>
      <c r="O77" s="77"/>
      <c r="P77" s="78">
        <f t="shared" si="78"/>
        <v>0</v>
      </c>
      <c r="Q77" s="75">
        <f t="shared" ref="Q77:T77" si="91">B77+G77+L77</f>
        <v>0</v>
      </c>
      <c r="R77" s="75">
        <f t="shared" si="91"/>
        <v>0</v>
      </c>
      <c r="S77" s="75">
        <f t="shared" si="91"/>
        <v>0</v>
      </c>
      <c r="T77" s="75">
        <f t="shared" si="91"/>
        <v>40</v>
      </c>
      <c r="U77" s="76">
        <f t="shared" si="80"/>
        <v>40</v>
      </c>
      <c r="V77" s="2"/>
    </row>
    <row r="78" ht="15.0" customHeight="1">
      <c r="A78" s="74" t="s">
        <v>111</v>
      </c>
      <c r="B78" s="77"/>
      <c r="C78" s="77"/>
      <c r="D78" s="77"/>
      <c r="E78" s="77">
        <v>2.0</v>
      </c>
      <c r="F78" s="76">
        <f t="shared" si="76"/>
        <v>2</v>
      </c>
      <c r="G78" s="77"/>
      <c r="H78" s="77"/>
      <c r="I78" s="77"/>
      <c r="J78" s="77">
        <v>2.0</v>
      </c>
      <c r="K78" s="76">
        <f t="shared" si="77"/>
        <v>2</v>
      </c>
      <c r="L78" s="77"/>
      <c r="M78" s="77"/>
      <c r="N78" s="77"/>
      <c r="O78" s="77"/>
      <c r="P78" s="78">
        <f t="shared" si="78"/>
        <v>0</v>
      </c>
      <c r="Q78" s="75">
        <f t="shared" ref="Q78:T78" si="92">B78+G78+L78</f>
        <v>0</v>
      </c>
      <c r="R78" s="75">
        <f t="shared" si="92"/>
        <v>0</v>
      </c>
      <c r="S78" s="75">
        <f t="shared" si="92"/>
        <v>0</v>
      </c>
      <c r="T78" s="75">
        <f t="shared" si="92"/>
        <v>4</v>
      </c>
      <c r="U78" s="76">
        <f t="shared" si="80"/>
        <v>4</v>
      </c>
      <c r="V78" s="2"/>
    </row>
    <row r="79" ht="15.0" customHeight="1">
      <c r="A79" s="74" t="s">
        <v>112</v>
      </c>
      <c r="B79" s="77"/>
      <c r="C79" s="77"/>
      <c r="D79" s="77"/>
      <c r="E79" s="77"/>
      <c r="F79" s="78">
        <f t="shared" si="76"/>
        <v>0</v>
      </c>
      <c r="G79" s="77"/>
      <c r="H79" s="77"/>
      <c r="I79" s="77"/>
      <c r="J79" s="77"/>
      <c r="K79" s="76">
        <f t="shared" si="77"/>
        <v>0</v>
      </c>
      <c r="L79" s="77"/>
      <c r="M79" s="77"/>
      <c r="N79" s="77"/>
      <c r="O79" s="77"/>
      <c r="P79" s="78">
        <f t="shared" si="78"/>
        <v>0</v>
      </c>
      <c r="Q79" s="75">
        <f t="shared" ref="Q79:T79" si="93">B79+G79+L79</f>
        <v>0</v>
      </c>
      <c r="R79" s="75">
        <f t="shared" si="93"/>
        <v>0</v>
      </c>
      <c r="S79" s="75">
        <f t="shared" si="93"/>
        <v>0</v>
      </c>
      <c r="T79" s="75">
        <f t="shared" si="93"/>
        <v>0</v>
      </c>
      <c r="U79" s="76">
        <f t="shared" si="80"/>
        <v>0</v>
      </c>
      <c r="V79" s="2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R6:R8"/>
    <mergeCell ref="S6:S8"/>
    <mergeCell ref="T6:T8"/>
    <mergeCell ref="U6:U8"/>
    <mergeCell ref="A5:A8"/>
    <mergeCell ref="B5:F5"/>
    <mergeCell ref="G5:K5"/>
    <mergeCell ref="L5:P5"/>
    <mergeCell ref="Q5:U5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