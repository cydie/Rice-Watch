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2026 Cumulative" sheetId="1" r:id="rId5"/>
    <sheet state="visible" name="Sept 16-30" sheetId="2" r:id="rId6"/>
    <sheet state="visible" name="Sept 16-30 Materlist (2)" sheetId="3" r:id="rId7"/>
    <sheet state="visible" name="Oct 1-15" sheetId="4" r:id="rId8"/>
    <sheet state="visible" name="Oct 1-15 Materlist" sheetId="5" r:id="rId9"/>
    <sheet state="visible" name="Oct 16-31" sheetId="6" r:id="rId10"/>
    <sheet state="visible" name="Oct 16-31 Materlist" sheetId="7" r:id="rId11"/>
    <sheet state="visible" name="Nov 1-15" sheetId="8" r:id="rId12"/>
    <sheet state="visible" name="Nov 1-15 Materlist" sheetId="9" r:id="rId13"/>
    <sheet state="visible" name="Nov 16-30" sheetId="10" r:id="rId14"/>
    <sheet state="visible" name="Nov 16-31 Materlist" sheetId="11" r:id="rId15"/>
    <sheet state="visible" name="Dec 1-15" sheetId="12" r:id="rId16"/>
    <sheet state="visible" name="Dec 1-15 Materlist" sheetId="13" r:id="rId17"/>
    <sheet state="visible" name="Dec 16-31" sheetId="14" r:id="rId18"/>
    <sheet state="visible" name="Dec 16-31 Materlist" sheetId="15" r:id="rId19"/>
    <sheet state="visible" name="Jan 1-15" sheetId="16" r:id="rId20"/>
    <sheet state="visible" name="Jan 1-15 Materlist" sheetId="17" r:id="rId21"/>
    <sheet state="visible" name="Jan 16-31" sheetId="18" r:id="rId22"/>
    <sheet state="visible" name="Jan 16-31 Materlist" sheetId="19" r:id="rId23"/>
    <sheet state="visible" name="Feb 1-15" sheetId="20" r:id="rId24"/>
    <sheet state="visible" name="Feb 1-15 Materlist" sheetId="21" r:id="rId25"/>
    <sheet state="visible" name="Feb 16-28" sheetId="22" r:id="rId26"/>
    <sheet state="visible" name="Feb 16-28 Materlist" sheetId="23" r:id="rId27"/>
    <sheet state="visible" name="Mar 1-15" sheetId="24" r:id="rId28"/>
    <sheet state="visible" name="Mar 1-15 Materlist" sheetId="25" r:id="rId29"/>
  </sheets>
  <definedNames>
    <definedName hidden="1" localSheetId="2" name="_xlnm._FilterDatabase">'Sept 16-30 Materlist (2)'!$A$5:$O$125</definedName>
    <definedName hidden="1" localSheetId="4" name="_xlnm._FilterDatabase">'Oct 1-15 Materlist'!$A$5:$AC$88</definedName>
    <definedName hidden="1" localSheetId="6" name="_xlnm._FilterDatabase">'Oct 16-31 Materlist'!$A$6:$AC$42</definedName>
    <definedName hidden="1" localSheetId="8" name="_xlnm._FilterDatabase">'Nov 1-15 Materlist'!$A$6:$AC$117</definedName>
    <definedName hidden="1" localSheetId="10" name="_xlnm._FilterDatabase">'Nov 16-31 Materlist'!$A$5:$AC$117</definedName>
    <definedName hidden="1" localSheetId="12" name="_xlnm._FilterDatabase">'Dec 1-15 Materlist'!$A$5:$AC$282</definedName>
    <definedName hidden="1" localSheetId="16" name="_xlnm._FilterDatabase">'Jan 1-15 Materlist'!$A$5:$AC$304</definedName>
    <definedName hidden="1" localSheetId="18" name="_xlnm._FilterDatabase">'Jan 16-31 Materlist'!$A$6:$AC$133</definedName>
    <definedName hidden="1" localSheetId="20" name="_xlnm._FilterDatabase">'Feb 1-15 Materlist'!$A$5:$AC$390</definedName>
    <definedName hidden="1" localSheetId="22" name="_xlnm._FilterDatabase">'Feb 16-28 Materlist'!$A$4:$AC$472</definedName>
    <definedName hidden="1" localSheetId="24" name="_xlnm._FilterDatabase">'Mar 1-15 Materlist'!$A$5:$AC$82</definedName>
  </definedNames>
  <calcPr/>
</workbook>
</file>

<file path=xl/sharedStrings.xml><?xml version="1.0" encoding="utf-8"?>
<sst xmlns="http://schemas.openxmlformats.org/spreadsheetml/2006/main" count="15975" uniqueCount="3656">
  <si>
    <t>Department of Agriculture</t>
  </si>
  <si>
    <t>REGIONAL FIELD OFFICE MIMAROPA</t>
  </si>
  <si>
    <t>Rice Program</t>
  </si>
  <si>
    <t>DRY SEASON 2026 Planting Report</t>
  </si>
  <si>
    <t>MUNICIPALITY / BARANGAY</t>
  </si>
  <si>
    <t>NO. OF FARMER PLANTED</t>
  </si>
  <si>
    <t>IRRIGATED</t>
  </si>
  <si>
    <t>RAINFED</t>
  </si>
  <si>
    <t>REMARKS</t>
  </si>
  <si>
    <t>HYBRID SEEDS</t>
  </si>
  <si>
    <t>REGISTERED SEEDS</t>
  </si>
  <si>
    <t>CERTIFIED  SEEDS</t>
  </si>
  <si>
    <t>GOOD QUALITY SEEDS</t>
  </si>
  <si>
    <t>FARMERS HOME SAVED SEEDS / GS</t>
  </si>
  <si>
    <t>TOTAL</t>
  </si>
  <si>
    <t>LOWLAND</t>
  </si>
  <si>
    <t>UPLAND</t>
  </si>
  <si>
    <t>CERTIFIED SEEDS</t>
  </si>
  <si>
    <t>FARMERS HOME SAVED SEEDS</t>
  </si>
  <si>
    <t>Rizal</t>
  </si>
  <si>
    <t>Bunog</t>
  </si>
  <si>
    <t>Campong Ulay</t>
  </si>
  <si>
    <t>Candawaga</t>
  </si>
  <si>
    <t>Canipaan</t>
  </si>
  <si>
    <t>Culasian</t>
  </si>
  <si>
    <t>Iraan</t>
  </si>
  <si>
    <t>Latud</t>
  </si>
  <si>
    <t>Panalingaan</t>
  </si>
  <si>
    <t>Punta Baja</t>
  </si>
  <si>
    <t>Ransang</t>
  </si>
  <si>
    <t>Taburi</t>
  </si>
  <si>
    <t xml:space="preserve">  - to be submitted every 15th and 30th day of the month</t>
  </si>
  <si>
    <t xml:space="preserve">  - March 15 submission for terminal planting under DS cropping</t>
  </si>
  <si>
    <t>as of September  30, 2025</t>
  </si>
  <si>
    <t>-</t>
  </si>
  <si>
    <t>as of Sept 30</t>
  </si>
  <si>
    <t>Farm Location (Barangay)</t>
  </si>
  <si>
    <t>Name of farmer</t>
  </si>
  <si>
    <t>Area Planted (Hectares)</t>
  </si>
  <si>
    <t>Date of Crop Establishent</t>
  </si>
  <si>
    <t>Location</t>
  </si>
  <si>
    <t>Type of Seeds and Variety</t>
  </si>
  <si>
    <t>Seeding Rate (Kg/Ha.)</t>
  </si>
  <si>
    <t>Field source of water</t>
  </si>
  <si>
    <t>first_name</t>
  </si>
  <si>
    <t>middle_name</t>
  </si>
  <si>
    <t>last_name</t>
  </si>
  <si>
    <t>ext_name</t>
  </si>
  <si>
    <t>(Transplanting or Broadcasting)</t>
  </si>
  <si>
    <t>(Irrigated/ Rainfed Lowland/ Rainfed Upland)</t>
  </si>
  <si>
    <t>MARIANITA</t>
  </si>
  <si>
    <t>LEIDO</t>
  </si>
  <si>
    <t>EDEP</t>
  </si>
  <si>
    <t>RC 402</t>
  </si>
  <si>
    <t>Irrigated</t>
  </si>
  <si>
    <t>ELGEN</t>
  </si>
  <si>
    <t>AMIRELA</t>
  </si>
  <si>
    <t>NOYNOYAN</t>
  </si>
  <si>
    <t>RC402</t>
  </si>
  <si>
    <t>SAIDEL</t>
  </si>
  <si>
    <t>ERONG</t>
  </si>
  <si>
    <t>PONGO</t>
  </si>
  <si>
    <t>ROMMEL</t>
  </si>
  <si>
    <t>MARING</t>
  </si>
  <si>
    <t>EDWIN</t>
  </si>
  <si>
    <t>TUMACA</t>
  </si>
  <si>
    <t>SOLABO</t>
  </si>
  <si>
    <t>rc222</t>
  </si>
  <si>
    <t>MOISES</t>
  </si>
  <si>
    <t>GAPILANGO</t>
  </si>
  <si>
    <t>TABI</t>
  </si>
  <si>
    <t>JOJO</t>
  </si>
  <si>
    <t>NOMAN</t>
  </si>
  <si>
    <t>RC222</t>
  </si>
  <si>
    <t>Rainfed</t>
  </si>
  <si>
    <t>GEDION</t>
  </si>
  <si>
    <t>PERALTA</t>
  </si>
  <si>
    <t>BALDOS</t>
  </si>
  <si>
    <t>GIRLIE</t>
  </si>
  <si>
    <t>ENDRITA</t>
  </si>
  <si>
    <t>MAMUCO</t>
  </si>
  <si>
    <t>BONBON</t>
  </si>
  <si>
    <t>BLONDE</t>
  </si>
  <si>
    <t>ARENIO</t>
  </si>
  <si>
    <t>FAVILA</t>
  </si>
  <si>
    <t>BUNDAL</t>
  </si>
  <si>
    <t>JR</t>
  </si>
  <si>
    <t>SANTONY</t>
  </si>
  <si>
    <t>TRINIDAD</t>
  </si>
  <si>
    <t>CAYAO</t>
  </si>
  <si>
    <t>REX</t>
  </si>
  <si>
    <t>NICOR</t>
  </si>
  <si>
    <t>CLAVERIA</t>
  </si>
  <si>
    <t>JULIO</t>
  </si>
  <si>
    <t>CARDIJON</t>
  </si>
  <si>
    <t>MAGBANUA</t>
  </si>
  <si>
    <t>ANNABELLE</t>
  </si>
  <si>
    <t>CABATANA</t>
  </si>
  <si>
    <t>MANILINGAN</t>
  </si>
  <si>
    <t>GUILLERMA</t>
  </si>
  <si>
    <t>BAYADOS</t>
  </si>
  <si>
    <t>BRAHIM</t>
  </si>
  <si>
    <t>PASE</t>
  </si>
  <si>
    <t>VICTOR</t>
  </si>
  <si>
    <t>rc402</t>
  </si>
  <si>
    <t>DOMINADOR</t>
  </si>
  <si>
    <t>SILAO</t>
  </si>
  <si>
    <t>SAGUCIO</t>
  </si>
  <si>
    <t>ALBERTA</t>
  </si>
  <si>
    <t>EDDIE</t>
  </si>
  <si>
    <t>ERWIN</t>
  </si>
  <si>
    <t>QUIRICO</t>
  </si>
  <si>
    <t>rc22</t>
  </si>
  <si>
    <t>YOKO</t>
  </si>
  <si>
    <t>APOSTOL</t>
  </si>
  <si>
    <t>RICARDO</t>
  </si>
  <si>
    <t>LIGARDE</t>
  </si>
  <si>
    <t>VILLANUEVA</t>
  </si>
  <si>
    <t>rc218</t>
  </si>
  <si>
    <t>angella</t>
  </si>
  <si>
    <t>cayao</t>
  </si>
  <si>
    <t>trinidad</t>
  </si>
  <si>
    <t>LILIA</t>
  </si>
  <si>
    <t>ASPERA</t>
  </si>
  <si>
    <t>AZUELO</t>
  </si>
  <si>
    <t>TH 82</t>
  </si>
  <si>
    <t>ENECITA</t>
  </si>
  <si>
    <t>MIRANDA</t>
  </si>
  <si>
    <t>BALAURO</t>
  </si>
  <si>
    <t>BLANDI</t>
  </si>
  <si>
    <t>RENANTE</t>
  </si>
  <si>
    <t>LUSOC</t>
  </si>
  <si>
    <t>DUHAYLUNGSOD</t>
  </si>
  <si>
    <t>BLANDE</t>
  </si>
  <si>
    <t>JOLANE</t>
  </si>
  <si>
    <t>CAPUNONG</t>
  </si>
  <si>
    <t>GAITERA</t>
  </si>
  <si>
    <t>SR</t>
  </si>
  <si>
    <t>JOEMAR</t>
  </si>
  <si>
    <t>TABLANZA</t>
  </si>
  <si>
    <t>MONGCAL</t>
  </si>
  <si>
    <t>ALICIA</t>
  </si>
  <si>
    <t>CARTACIANO</t>
  </si>
  <si>
    <t>MONTARGO</t>
  </si>
  <si>
    <t>THAILAND</t>
  </si>
  <si>
    <t>ROSE MARIE ANN</t>
  </si>
  <si>
    <t>LUCERO</t>
  </si>
  <si>
    <t>BLASINO</t>
  </si>
  <si>
    <t>RC 218</t>
  </si>
  <si>
    <t>LOPE</t>
  </si>
  <si>
    <t>ENCARNACION</t>
  </si>
  <si>
    <t>BOHOL</t>
  </si>
  <si>
    <t>KINADOY</t>
  </si>
  <si>
    <t>LYN</t>
  </si>
  <si>
    <t>ESTEBAN</t>
  </si>
  <si>
    <t>RC 18</t>
  </si>
  <si>
    <t>NORBELIANO</t>
  </si>
  <si>
    <t>IGNACIO</t>
  </si>
  <si>
    <t>DEVIS</t>
  </si>
  <si>
    <t>TEOFILO</t>
  </si>
  <si>
    <t>BACALTOS</t>
  </si>
  <si>
    <t>ELEAZAR</t>
  </si>
  <si>
    <t>BELMOR</t>
  </si>
  <si>
    <t>TATO</t>
  </si>
  <si>
    <t>IBAG</t>
  </si>
  <si>
    <t>JOEL</t>
  </si>
  <si>
    <t>LAURIO</t>
  </si>
  <si>
    <t>NONALES</t>
  </si>
  <si>
    <t>RC 216</t>
  </si>
  <si>
    <t>RODOLFO</t>
  </si>
  <si>
    <t>VILLAROS</t>
  </si>
  <si>
    <t>PALAPAS</t>
  </si>
  <si>
    <t>RC 222</t>
  </si>
  <si>
    <t>SAPPAL</t>
  </si>
  <si>
    <t>LINGGISON</t>
  </si>
  <si>
    <t>HAMSON</t>
  </si>
  <si>
    <t>GUMER SINDO</t>
  </si>
  <si>
    <t>HERDA</t>
  </si>
  <si>
    <t>OBENZA</t>
  </si>
  <si>
    <t>HABILIS</t>
  </si>
  <si>
    <t>REYMUNDO</t>
  </si>
  <si>
    <t>SALVADOR</t>
  </si>
  <si>
    <t>TANDUG</t>
  </si>
  <si>
    <t>JASMINE</t>
  </si>
  <si>
    <t>NOEL</t>
  </si>
  <si>
    <t>CHAN</t>
  </si>
  <si>
    <t>TUPANAN</t>
  </si>
  <si>
    <t>as of October 15, 2025</t>
  </si>
  <si>
    <t>H</t>
  </si>
  <si>
    <t>CS</t>
  </si>
  <si>
    <t>FS</t>
  </si>
  <si>
    <t>as of Oct 15, 2025</t>
  </si>
  <si>
    <t>Name of Farmer</t>
  </si>
  <si>
    <t>YASHIR</t>
  </si>
  <si>
    <t>AMILASAN</t>
  </si>
  <si>
    <t>ALAM</t>
  </si>
  <si>
    <t>JACKPOT</t>
  </si>
  <si>
    <t>HADSMAR</t>
  </si>
  <si>
    <t>OMIS</t>
  </si>
  <si>
    <t>ESO</t>
  </si>
  <si>
    <t>JABEL</t>
  </si>
  <si>
    <t>b-4</t>
  </si>
  <si>
    <t>ARCHIE</t>
  </si>
  <si>
    <t>speed</t>
  </si>
  <si>
    <t>ALFREDO</t>
  </si>
  <si>
    <t>TAUBAN</t>
  </si>
  <si>
    <t>JURILLA SR.</t>
  </si>
  <si>
    <t>RAIDE</t>
  </si>
  <si>
    <t>JAIBE</t>
  </si>
  <si>
    <t>SAYROL</t>
  </si>
  <si>
    <t>rc 402</t>
  </si>
  <si>
    <t>ZENAIDA</t>
  </si>
  <si>
    <t>BADENAS</t>
  </si>
  <si>
    <t>DIESTA</t>
  </si>
  <si>
    <t>GEORGE</t>
  </si>
  <si>
    <t>TIPO</t>
  </si>
  <si>
    <t>LIANG</t>
  </si>
  <si>
    <t>MANOLING</t>
  </si>
  <si>
    <t>ANGELES</t>
  </si>
  <si>
    <t>MARTINEZ</t>
  </si>
  <si>
    <t>HAKIMIN</t>
  </si>
  <si>
    <t>ABDULAH</t>
  </si>
  <si>
    <t>SAYLILA</t>
  </si>
  <si>
    <t>JEFFREY</t>
  </si>
  <si>
    <t>ARLENE</t>
  </si>
  <si>
    <t>LORNA</t>
  </si>
  <si>
    <t>DELGADO</t>
  </si>
  <si>
    <t>ABIAS</t>
  </si>
  <si>
    <t>MONTIEL</t>
  </si>
  <si>
    <t>LIZA</t>
  </si>
  <si>
    <t>BALBERDE</t>
  </si>
  <si>
    <t>ANDRES</t>
  </si>
  <si>
    <t>LIBANAN</t>
  </si>
  <si>
    <t>ANTONIO</t>
  </si>
  <si>
    <t>STEPANIA</t>
  </si>
  <si>
    <t>DANA</t>
  </si>
  <si>
    <t>OMBI-ON</t>
  </si>
  <si>
    <t>JL</t>
  </si>
  <si>
    <t>JOLITO</t>
  </si>
  <si>
    <t>RONGCO</t>
  </si>
  <si>
    <t>DEXTER</t>
  </si>
  <si>
    <t>ROXAS</t>
  </si>
  <si>
    <t>SEMILLANO</t>
  </si>
  <si>
    <t>MERLYN</t>
  </si>
  <si>
    <t>DIALOGO</t>
  </si>
  <si>
    <t>VILLAFUERTE</t>
  </si>
  <si>
    <t>MALY</t>
  </si>
  <si>
    <t>BACALLA</t>
  </si>
  <si>
    <t>ALEJO</t>
  </si>
  <si>
    <t>HYDIE</t>
  </si>
  <si>
    <t>BELO</t>
  </si>
  <si>
    <t>BANTAN</t>
  </si>
  <si>
    <t>JONATHAN</t>
  </si>
  <si>
    <t>GUARIN</t>
  </si>
  <si>
    <t>BERTO</t>
  </si>
  <si>
    <t>ESMERALDA</t>
  </si>
  <si>
    <t>ANGCAR</t>
  </si>
  <si>
    <t>MALONES</t>
  </si>
  <si>
    <t>OSCAR</t>
  </si>
  <si>
    <t>BARDELOSA</t>
  </si>
  <si>
    <t>NIEGAS</t>
  </si>
  <si>
    <t>JERWEL</t>
  </si>
  <si>
    <t>BUHAWI</t>
  </si>
  <si>
    <t>GALIN</t>
  </si>
  <si>
    <t>NESTOR</t>
  </si>
  <si>
    <t>ENELONA</t>
  </si>
  <si>
    <t>rc 222</t>
  </si>
  <si>
    <t>JERSON</t>
  </si>
  <si>
    <t>SALEM</t>
  </si>
  <si>
    <t>PARADERO</t>
  </si>
  <si>
    <t>LAURIANO</t>
  </si>
  <si>
    <t>LUNAY</t>
  </si>
  <si>
    <t>POLANCOS</t>
  </si>
  <si>
    <t>NORAYA</t>
  </si>
  <si>
    <t>USOP</t>
  </si>
  <si>
    <t>ABDAN</t>
  </si>
  <si>
    <t>EDELYN</t>
  </si>
  <si>
    <t>DOLAR</t>
  </si>
  <si>
    <t>NORIN</t>
  </si>
  <si>
    <t>AMIN</t>
  </si>
  <si>
    <t>ASUTILLA</t>
  </si>
  <si>
    <t>EFRAIM</t>
  </si>
  <si>
    <t>PONCIANO</t>
  </si>
  <si>
    <t>BATACULIN</t>
  </si>
  <si>
    <t>RICHARD</t>
  </si>
  <si>
    <t>JALBUNA</t>
  </si>
  <si>
    <t>RAMEL</t>
  </si>
  <si>
    <t>BLANCIA</t>
  </si>
  <si>
    <t>VINCENT CORNEL</t>
  </si>
  <si>
    <t>NORENZA</t>
  </si>
  <si>
    <t>ABDURAZID</t>
  </si>
  <si>
    <t>ELMER</t>
  </si>
  <si>
    <t>BORRES</t>
  </si>
  <si>
    <t>CABILOQUE</t>
  </si>
  <si>
    <t>DIOSCORO</t>
  </si>
  <si>
    <t>QUINEQUITO</t>
  </si>
  <si>
    <t>JENNY</t>
  </si>
  <si>
    <t>MAMPAY</t>
  </si>
  <si>
    <t>EPIFANIO</t>
  </si>
  <si>
    <t>BARELA</t>
  </si>
  <si>
    <t>DAGON</t>
  </si>
  <si>
    <t>MARCOS</t>
  </si>
  <si>
    <t>CANETE</t>
  </si>
  <si>
    <t>GOMEZ</t>
  </si>
  <si>
    <t>B4</t>
  </si>
  <si>
    <t>ANDY BOY</t>
  </si>
  <si>
    <t>VILLARTA</t>
  </si>
  <si>
    <t>LANGUIDO</t>
  </si>
  <si>
    <t>JESUS</t>
  </si>
  <si>
    <t>TERANTE</t>
  </si>
  <si>
    <t>ARGEN</t>
  </si>
  <si>
    <t>HINGOYON</t>
  </si>
  <si>
    <t>NOBLEZA</t>
  </si>
  <si>
    <t>ERLIDA</t>
  </si>
  <si>
    <t>CRAEL</t>
  </si>
  <si>
    <t>OMISON</t>
  </si>
  <si>
    <t>MYRNA</t>
  </si>
  <si>
    <t>SARIL</t>
  </si>
  <si>
    <t>PALPARAN</t>
  </si>
  <si>
    <t>ROLLY</t>
  </si>
  <si>
    <t>MAPAGDALITA</t>
  </si>
  <si>
    <t>RODIL</t>
  </si>
  <si>
    <t>VALERIANO</t>
  </si>
  <si>
    <t>FERNANDO</t>
  </si>
  <si>
    <t>ARANGOTE</t>
  </si>
  <si>
    <t>TERESITO</t>
  </si>
  <si>
    <t>AGAC</t>
  </si>
  <si>
    <t>ARZAGA</t>
  </si>
  <si>
    <t>EDUARD</t>
  </si>
  <si>
    <t>SANCHEZ</t>
  </si>
  <si>
    <t>ASENTISTA</t>
  </si>
  <si>
    <t>MERCY</t>
  </si>
  <si>
    <t>TALAVER</t>
  </si>
  <si>
    <t>BACLAY</t>
  </si>
  <si>
    <t>GUILLERMO</t>
  </si>
  <si>
    <t>DAQUIA</t>
  </si>
  <si>
    <t>CABLAS</t>
  </si>
  <si>
    <t>CRISTOPHER</t>
  </si>
  <si>
    <t>CATAMORA</t>
  </si>
  <si>
    <t>CARBONILLA</t>
  </si>
  <si>
    <t>ARTHUR</t>
  </si>
  <si>
    <t>CUTAMURA</t>
  </si>
  <si>
    <t>DARUIS</t>
  </si>
  <si>
    <t>CUTAMORA</t>
  </si>
  <si>
    <t>VIRGELIO</t>
  </si>
  <si>
    <t>GILVERO</t>
  </si>
  <si>
    <t>CARREON</t>
  </si>
  <si>
    <t>DINORADO</t>
  </si>
  <si>
    <t>LUZVIMINDA</t>
  </si>
  <si>
    <t>GUILARAN</t>
  </si>
  <si>
    <t>GALLEGO</t>
  </si>
  <si>
    <t>LAWRENCE</t>
  </si>
  <si>
    <t>DAGUIA</t>
  </si>
  <si>
    <t>MARAASIN</t>
  </si>
  <si>
    <t>RAMON</t>
  </si>
  <si>
    <t>ESBERTO</t>
  </si>
  <si>
    <t>PASCASIO</t>
  </si>
  <si>
    <t>FRANCISCO</t>
  </si>
  <si>
    <t>SOLA</t>
  </si>
  <si>
    <t>PINES</t>
  </si>
  <si>
    <t>PAJARILLO</t>
  </si>
  <si>
    <t>CONIE</t>
  </si>
  <si>
    <t>BEDIORES</t>
  </si>
  <si>
    <t>TAMOLIN</t>
  </si>
  <si>
    <t>WACASI</t>
  </si>
  <si>
    <t>B</t>
  </si>
  <si>
    <t>JALAIN</t>
  </si>
  <si>
    <t>BULAO</t>
  </si>
  <si>
    <t>RUBEN</t>
  </si>
  <si>
    <t>A.</t>
  </si>
  <si>
    <t>BORDAJE</t>
  </si>
  <si>
    <t>C4</t>
  </si>
  <si>
    <t>JUNALYN</t>
  </si>
  <si>
    <t>MARCELINO</t>
  </si>
  <si>
    <t>ALISEN</t>
  </si>
  <si>
    <t>JONARD</t>
  </si>
  <si>
    <t>UGHAYON</t>
  </si>
  <si>
    <t>jackpot</t>
  </si>
  <si>
    <t>ALBERTO</t>
  </si>
  <si>
    <t>APE</t>
  </si>
  <si>
    <t>BATOON</t>
  </si>
  <si>
    <t>habilis</t>
  </si>
  <si>
    <t>JON JON</t>
  </si>
  <si>
    <t>LIAGONO</t>
  </si>
  <si>
    <t>BERNARDO</t>
  </si>
  <si>
    <t>LAHAWLAHAW</t>
  </si>
  <si>
    <t>CASTRO</t>
  </si>
  <si>
    <t>RENA</t>
  </si>
  <si>
    <t>ANDAYA</t>
  </si>
  <si>
    <t>CHIVA</t>
  </si>
  <si>
    <t>ROSALIE</t>
  </si>
  <si>
    <t>CABELLETA</t>
  </si>
  <si>
    <t>VISTA</t>
  </si>
  <si>
    <t>EFREN</t>
  </si>
  <si>
    <t>ALAYON</t>
  </si>
  <si>
    <t>ARANETA</t>
  </si>
  <si>
    <t>PERTIN</t>
  </si>
  <si>
    <t>AYOYO</t>
  </si>
  <si>
    <t>ASNAGUE</t>
  </si>
  <si>
    <t>VIRGINIO</t>
  </si>
  <si>
    <t>MADJI</t>
  </si>
  <si>
    <t>RAMSIK</t>
  </si>
  <si>
    <t>INGKAS</t>
  </si>
  <si>
    <t>TEO</t>
  </si>
  <si>
    <t>TOMAY</t>
  </si>
  <si>
    <t>as of Oct 31, 2025</t>
  </si>
  <si>
    <t>as of Oct 30</t>
  </si>
  <si>
    <t>CARLOS</t>
  </si>
  <si>
    <t>CACATIAN</t>
  </si>
  <si>
    <t>FLAVIANO</t>
  </si>
  <si>
    <t>MADEJA</t>
  </si>
  <si>
    <t>GUILER</t>
  </si>
  <si>
    <t>LINGKONG</t>
  </si>
  <si>
    <t>CASTIL</t>
  </si>
  <si>
    <t>MEDARDO</t>
  </si>
  <si>
    <t>BARCINAL</t>
  </si>
  <si>
    <t>DELES</t>
  </si>
  <si>
    <t>EDWARDO</t>
  </si>
  <si>
    <t>ESPINOSA</t>
  </si>
  <si>
    <t>ENRIQUEZ</t>
  </si>
  <si>
    <t>EDGAR</t>
  </si>
  <si>
    <t>BEJEGA</t>
  </si>
  <si>
    <t>NOBESIO</t>
  </si>
  <si>
    <t>CONEL</t>
  </si>
  <si>
    <t>LUMBAG</t>
  </si>
  <si>
    <t>ANNIE JOY</t>
  </si>
  <si>
    <t>RECTO</t>
  </si>
  <si>
    <t>DARLIDA</t>
  </si>
  <si>
    <t>GUMATA</t>
  </si>
  <si>
    <t>BUDONG</t>
  </si>
  <si>
    <t>CAPUYAN</t>
  </si>
  <si>
    <t>CARACOL</t>
  </si>
  <si>
    <t>BULLRICE</t>
  </si>
  <si>
    <t>DARIO</t>
  </si>
  <si>
    <t>COLIMBO</t>
  </si>
  <si>
    <t>FABURADA</t>
  </si>
  <si>
    <t>NENITA</t>
  </si>
  <si>
    <t>CAVENTA</t>
  </si>
  <si>
    <t>ONG</t>
  </si>
  <si>
    <t>RENEROSE</t>
  </si>
  <si>
    <t>DAUD</t>
  </si>
  <si>
    <t>NICHOLSON</t>
  </si>
  <si>
    <t>ABONO</t>
  </si>
  <si>
    <t>BOLEMA</t>
  </si>
  <si>
    <t>JULIE</t>
  </si>
  <si>
    <t>CONDESA</t>
  </si>
  <si>
    <t>REYNOLD</t>
  </si>
  <si>
    <t>TORRES</t>
  </si>
  <si>
    <t>CADUNGOG</t>
  </si>
  <si>
    <t>ALECASIO</t>
  </si>
  <si>
    <t>ESPIDES</t>
  </si>
  <si>
    <t>CRISPO</t>
  </si>
  <si>
    <t>JANICE</t>
  </si>
  <si>
    <t>CASIPONG</t>
  </si>
  <si>
    <t>NAMUCO</t>
  </si>
  <si>
    <t>ARIEL</t>
  </si>
  <si>
    <t>PAUDEN</t>
  </si>
  <si>
    <t>CARMIE</t>
  </si>
  <si>
    <t>NANGIT</t>
  </si>
  <si>
    <t>REYNO</t>
  </si>
  <si>
    <t>ELEONORA</t>
  </si>
  <si>
    <t>BARREDO</t>
  </si>
  <si>
    <t>RIOPAY</t>
  </si>
  <si>
    <t>HERON</t>
  </si>
  <si>
    <t>LONTES</t>
  </si>
  <si>
    <t>BOCOL</t>
  </si>
  <si>
    <t>MARK LEONARD</t>
  </si>
  <si>
    <t>PEDRIGOZA</t>
  </si>
  <si>
    <t>CATABAY</t>
  </si>
  <si>
    <t>JAIME</t>
  </si>
  <si>
    <t>ASINERO</t>
  </si>
  <si>
    <t>LODIVICO</t>
  </si>
  <si>
    <t>MASAYON</t>
  </si>
  <si>
    <t>COYOCA</t>
  </si>
  <si>
    <t>JENALD</t>
  </si>
  <si>
    <t>MALIKI</t>
  </si>
  <si>
    <t>BUDJAL</t>
  </si>
  <si>
    <t>ERLITO</t>
  </si>
  <si>
    <t>MATEO</t>
  </si>
  <si>
    <t>EMIL</t>
  </si>
  <si>
    <t>RC 160</t>
  </si>
  <si>
    <t>AMBONG</t>
  </si>
  <si>
    <t>TAGA</t>
  </si>
  <si>
    <t>as of November  15, 2025</t>
  </si>
  <si>
    <t>as of Nov 15, 2025</t>
  </si>
  <si>
    <t>h</t>
  </si>
  <si>
    <t>cs</t>
  </si>
  <si>
    <t>fs</t>
  </si>
  <si>
    <t>RAMIREZ</t>
  </si>
  <si>
    <t>BELNAS</t>
  </si>
  <si>
    <t>ROMEL</t>
  </si>
  <si>
    <t>ARADIN</t>
  </si>
  <si>
    <t>BLASCO</t>
  </si>
  <si>
    <t>JUMEL</t>
  </si>
  <si>
    <t>DEMETILLO</t>
  </si>
  <si>
    <t>CONCHITA</t>
  </si>
  <si>
    <t>ACOJEDO</t>
  </si>
  <si>
    <t>CABUENA</t>
  </si>
  <si>
    <t>JASON</t>
  </si>
  <si>
    <t>OCHEA</t>
  </si>
  <si>
    <t>GARGALLANO</t>
  </si>
  <si>
    <t>EDUARDO</t>
  </si>
  <si>
    <t>LAYES</t>
  </si>
  <si>
    <t>SUCAYRE</t>
  </si>
  <si>
    <t>HELARIA</t>
  </si>
  <si>
    <t>B-4</t>
  </si>
  <si>
    <t>JERIC</t>
  </si>
  <si>
    <t>CORTEZ</t>
  </si>
  <si>
    <t>JURILLA</t>
  </si>
  <si>
    <t>JASMIN</t>
  </si>
  <si>
    <t>ARNEL</t>
  </si>
  <si>
    <t>JAPOLE</t>
  </si>
  <si>
    <t>LACPAO</t>
  </si>
  <si>
    <t>THADZMAHAL</t>
  </si>
  <si>
    <t>SABDANI</t>
  </si>
  <si>
    <t>LACQUIN</t>
  </si>
  <si>
    <t>MARIO</t>
  </si>
  <si>
    <t>SURAO</t>
  </si>
  <si>
    <t>ABNER</t>
  </si>
  <si>
    <t>FEDERICO</t>
  </si>
  <si>
    <t>CAHILIG</t>
  </si>
  <si>
    <t>LANUZA</t>
  </si>
  <si>
    <t>CYRUS</t>
  </si>
  <si>
    <t>GARCIA</t>
  </si>
  <si>
    <t>MONSERATE</t>
  </si>
  <si>
    <t>ACE</t>
  </si>
  <si>
    <t>SPEED</t>
  </si>
  <si>
    <t>REY</t>
  </si>
  <si>
    <t>LEGARDA</t>
  </si>
  <si>
    <t>QUINDO</t>
  </si>
  <si>
    <t>ROSALINA</t>
  </si>
  <si>
    <t>SUAN</t>
  </si>
  <si>
    <t>GLADE</t>
  </si>
  <si>
    <t>NGALO NGALO</t>
  </si>
  <si>
    <t>SUMUGAT</t>
  </si>
  <si>
    <t>blande</t>
  </si>
  <si>
    <t>ANTHONY</t>
  </si>
  <si>
    <t>TABILI</t>
  </si>
  <si>
    <t>TAWTAWAN</t>
  </si>
  <si>
    <t>JHONLE MARK</t>
  </si>
  <si>
    <t>CORTAJE</t>
  </si>
  <si>
    <t>DRILON</t>
  </si>
  <si>
    <t>BUNOG</t>
  </si>
  <si>
    <t>CELSO</t>
  </si>
  <si>
    <t>ACEPCION</t>
  </si>
  <si>
    <t>RC438</t>
  </si>
  <si>
    <t>JURIEL</t>
  </si>
  <si>
    <t>RAMBUYOG</t>
  </si>
  <si>
    <t>LUBAS</t>
  </si>
  <si>
    <t>RC18</t>
  </si>
  <si>
    <t>NANCY</t>
  </si>
  <si>
    <t>RAMBUYONG</t>
  </si>
  <si>
    <t>GARGOLES</t>
  </si>
  <si>
    <t>MORERA</t>
  </si>
  <si>
    <t>GALLARDO</t>
  </si>
  <si>
    <t>ALBA</t>
  </si>
  <si>
    <t>SL19</t>
  </si>
  <si>
    <t>IVAN</t>
  </si>
  <si>
    <t>MONTANO</t>
  </si>
  <si>
    <t>ARAGON</t>
  </si>
  <si>
    <t>ARSENIA</t>
  </si>
  <si>
    <t>LEOCADIO</t>
  </si>
  <si>
    <t>BESALES</t>
  </si>
  <si>
    <t>NELLY</t>
  </si>
  <si>
    <t>BESITE</t>
  </si>
  <si>
    <t>CAMILON</t>
  </si>
  <si>
    <t>CELERINO</t>
  </si>
  <si>
    <t>MANGARAN</t>
  </si>
  <si>
    <t>FALCASANTOS</t>
  </si>
  <si>
    <t>FE</t>
  </si>
  <si>
    <t>FRESNILLO</t>
  </si>
  <si>
    <t>MALUNES</t>
  </si>
  <si>
    <t>BAYLON</t>
  </si>
  <si>
    <t>MAMON</t>
  </si>
  <si>
    <t>VEDASTO</t>
  </si>
  <si>
    <t>BALLAIS</t>
  </si>
  <si>
    <t>REYES</t>
  </si>
  <si>
    <t>ENDOY</t>
  </si>
  <si>
    <t>VIOVE CENTE</t>
  </si>
  <si>
    <t>ROMENA</t>
  </si>
  <si>
    <t>REDRICE</t>
  </si>
  <si>
    <t>GINA</t>
  </si>
  <si>
    <t>PEDRO</t>
  </si>
  <si>
    <t>ROQUERO</t>
  </si>
  <si>
    <t>TH82</t>
  </si>
  <si>
    <t>NARCISO</t>
  </si>
  <si>
    <t>GODELITO</t>
  </si>
  <si>
    <t>O</t>
  </si>
  <si>
    <t>DELOS SANTOS</t>
  </si>
  <si>
    <t>AIRYN</t>
  </si>
  <si>
    <t>DE MAYO</t>
  </si>
  <si>
    <t>CAMUGAO</t>
  </si>
  <si>
    <t>RIZALYN</t>
  </si>
  <si>
    <t>SOLANO</t>
  </si>
  <si>
    <t>DAVID</t>
  </si>
  <si>
    <t>JIMMY</t>
  </si>
  <si>
    <t>GONZALES</t>
  </si>
  <si>
    <t>OSHITA</t>
  </si>
  <si>
    <t>ROMANDO</t>
  </si>
  <si>
    <t>MEDIE</t>
  </si>
  <si>
    <t>SAMBER</t>
  </si>
  <si>
    <t>JORGE</t>
  </si>
  <si>
    <t>DESTAJO</t>
  </si>
  <si>
    <t>VIGO</t>
  </si>
  <si>
    <t>ARVAINA</t>
  </si>
  <si>
    <t>T</t>
  </si>
  <si>
    <t>MAGALLADORA</t>
  </si>
  <si>
    <t>MACARINA</t>
  </si>
  <si>
    <t>JESSIE</t>
  </si>
  <si>
    <t>SESTBERIO</t>
  </si>
  <si>
    <t>ESTRIBO</t>
  </si>
  <si>
    <t>ACANTO</t>
  </si>
  <si>
    <t>DIONESIO</t>
  </si>
  <si>
    <t>SARINO</t>
  </si>
  <si>
    <t>ALBISO</t>
  </si>
  <si>
    <t>HECTOR</t>
  </si>
  <si>
    <t>YAN</t>
  </si>
  <si>
    <t>BOQUILLA</t>
  </si>
  <si>
    <t>ROMEO</t>
  </si>
  <si>
    <t>CANTILA</t>
  </si>
  <si>
    <t>DONALD</t>
  </si>
  <si>
    <t>CASTILLA</t>
  </si>
  <si>
    <t>CARMELO</t>
  </si>
  <si>
    <t>LAILANIE</t>
  </si>
  <si>
    <t>HERMOSO</t>
  </si>
  <si>
    <t>CASAMPOL</t>
  </si>
  <si>
    <t>EVA</t>
  </si>
  <si>
    <t>ADONIS</t>
  </si>
  <si>
    <t>RUPENTA</t>
  </si>
  <si>
    <t>ESPANOLA</t>
  </si>
  <si>
    <t>JONALYN</t>
  </si>
  <si>
    <t>ESTACION</t>
  </si>
  <si>
    <t>HANCHEL</t>
  </si>
  <si>
    <t>ESTOCONING</t>
  </si>
  <si>
    <t>FLORENTINO</t>
  </si>
  <si>
    <t>WILSITO</t>
  </si>
  <si>
    <t>EDITHA</t>
  </si>
  <si>
    <t>FAT</t>
  </si>
  <si>
    <t>HANDOG</t>
  </si>
  <si>
    <t>ROSE EDEN</t>
  </si>
  <si>
    <t>ODONG</t>
  </si>
  <si>
    <t>TEODORO</t>
  </si>
  <si>
    <t>LAILA</t>
  </si>
  <si>
    <t>ANGELIN</t>
  </si>
  <si>
    <t>LAMPON</t>
  </si>
  <si>
    <t>RICKSMAN</t>
  </si>
  <si>
    <t>HERRERA</t>
  </si>
  <si>
    <t>FRANCIS</t>
  </si>
  <si>
    <t>OLIBIA</t>
  </si>
  <si>
    <t>YONGCOL</t>
  </si>
  <si>
    <t>MANOCE</t>
  </si>
  <si>
    <t>ALEGRIA</t>
  </si>
  <si>
    <t>MENDOZA</t>
  </si>
  <si>
    <t>ANANIAS</t>
  </si>
  <si>
    <t>GABOTERO</t>
  </si>
  <si>
    <t>JIIMMY</t>
  </si>
  <si>
    <t>YONGCAL</t>
  </si>
  <si>
    <t>ALEJANDRO</t>
  </si>
  <si>
    <t>PIALA</t>
  </si>
  <si>
    <t>MORTES</t>
  </si>
  <si>
    <t>VERGILIO</t>
  </si>
  <si>
    <t>ANTENORIO</t>
  </si>
  <si>
    <t>NEMENIO</t>
  </si>
  <si>
    <t>MARLON</t>
  </si>
  <si>
    <t>ANGELO</t>
  </si>
  <si>
    <t>CALAGO</t>
  </si>
  <si>
    <t>GRETCHEL</t>
  </si>
  <si>
    <t>SALCEDO</t>
  </si>
  <si>
    <t>MARIA FE</t>
  </si>
  <si>
    <t>JOE</t>
  </si>
  <si>
    <t>MELCHOR</t>
  </si>
  <si>
    <t>DEQUITO</t>
  </si>
  <si>
    <t>JOCELYN</t>
  </si>
  <si>
    <t>SANOL</t>
  </si>
  <si>
    <t>BORDO</t>
  </si>
  <si>
    <t>MANDEKE</t>
  </si>
  <si>
    <t>ANANAY</t>
  </si>
  <si>
    <t>LARRY</t>
  </si>
  <si>
    <t>TILO</t>
  </si>
  <si>
    <t>DECENA</t>
  </si>
  <si>
    <t>SEVERINO</t>
  </si>
  <si>
    <t>TAGALA</t>
  </si>
  <si>
    <t>GSR</t>
  </si>
  <si>
    <t>GIMIO</t>
  </si>
  <si>
    <t>GARDOSE</t>
  </si>
  <si>
    <t>REMARK</t>
  </si>
  <si>
    <t>MONATO</t>
  </si>
  <si>
    <t>GASPAR</t>
  </si>
  <si>
    <t>HENRY</t>
  </si>
  <si>
    <t>LEBROJO</t>
  </si>
  <si>
    <t>REDILLA</t>
  </si>
  <si>
    <t>JINO</t>
  </si>
  <si>
    <t>PATREX</t>
  </si>
  <si>
    <t>BALABA</t>
  </si>
  <si>
    <t>NAVAT</t>
  </si>
  <si>
    <t>MICHAEL</t>
  </si>
  <si>
    <t>GIL</t>
  </si>
  <si>
    <t>EDQUIBAL</t>
  </si>
  <si>
    <t>RODEN</t>
  </si>
  <si>
    <t>BENITO</t>
  </si>
  <si>
    <t>MAG ASO</t>
  </si>
  <si>
    <t>OPCIAR</t>
  </si>
  <si>
    <t>RICHMOND</t>
  </si>
  <si>
    <t>GONZAGA</t>
  </si>
  <si>
    <t>OPSIAR</t>
  </si>
  <si>
    <t>RAMER</t>
  </si>
  <si>
    <t>PABILLARAN</t>
  </si>
  <si>
    <t>ESPIE</t>
  </si>
  <si>
    <t>SANTOS</t>
  </si>
  <si>
    <t>PICARDAL</t>
  </si>
  <si>
    <t>RC 438</t>
  </si>
  <si>
    <t>ROGELIO</t>
  </si>
  <si>
    <t>SAMILLANO</t>
  </si>
  <si>
    <t>TEJANO</t>
  </si>
  <si>
    <t>ROYLAN</t>
  </si>
  <si>
    <t>OHOYLAN</t>
  </si>
  <si>
    <t>CHARLIMAE</t>
  </si>
  <si>
    <t>DONQUE</t>
  </si>
  <si>
    <t>TUZON</t>
  </si>
  <si>
    <t>KAREN JANE</t>
  </si>
  <si>
    <t>JULIUS</t>
  </si>
  <si>
    <t>STEVEN</t>
  </si>
  <si>
    <t>G</t>
  </si>
  <si>
    <t>JOVY</t>
  </si>
  <si>
    <t>P</t>
  </si>
  <si>
    <t>ESTIGOY</t>
  </si>
  <si>
    <t>VENUS</t>
  </si>
  <si>
    <t>SANTIAGO</t>
  </si>
  <si>
    <t>CONCEPCION</t>
  </si>
  <si>
    <t>BERNAS</t>
  </si>
  <si>
    <t>FELY</t>
  </si>
  <si>
    <t>DIOCADES</t>
  </si>
  <si>
    <t>DULLA</t>
  </si>
  <si>
    <t>JOEY</t>
  </si>
  <si>
    <t>FRANCO</t>
  </si>
  <si>
    <t>MARTINA</t>
  </si>
  <si>
    <t>CABUTIG</t>
  </si>
  <si>
    <t>MARIBEL</t>
  </si>
  <si>
    <t>GABAS</t>
  </si>
  <si>
    <t>QUISADA</t>
  </si>
  <si>
    <t>KANADOY</t>
  </si>
  <si>
    <t>as of November  30, 2025</t>
  </si>
  <si>
    <t>as of Nov 31</t>
  </si>
  <si>
    <t>JACOB</t>
  </si>
  <si>
    <t>AGOSTO</t>
  </si>
  <si>
    <t>MELODINA</t>
  </si>
  <si>
    <t>LAMOSTE</t>
  </si>
  <si>
    <t>AGUSTO</t>
  </si>
  <si>
    <t>REYNALDO</t>
  </si>
  <si>
    <t>BARTOLOME</t>
  </si>
  <si>
    <t>ALBACINO</t>
  </si>
  <si>
    <t>RAYMOND FRANCIS</t>
  </si>
  <si>
    <t>AVANCENA</t>
  </si>
  <si>
    <t>MA NIDA</t>
  </si>
  <si>
    <t>MEDEZ</t>
  </si>
  <si>
    <t>CARIM</t>
  </si>
  <si>
    <t>JEOTER</t>
  </si>
  <si>
    <t>FERNANDEZ</t>
  </si>
  <si>
    <t>DIONG</t>
  </si>
  <si>
    <t>IMELDA</t>
  </si>
  <si>
    <t>MAHUSAY</t>
  </si>
  <si>
    <t>JUAREZ</t>
  </si>
  <si>
    <t>CRYSLINE MAE</t>
  </si>
  <si>
    <t>BERMANDO</t>
  </si>
  <si>
    <t>ALMENDRALA</t>
  </si>
  <si>
    <t>MAGSAEL</t>
  </si>
  <si>
    <t>EDSAN</t>
  </si>
  <si>
    <t>MOLINA</t>
  </si>
  <si>
    <t>YUNGCOL</t>
  </si>
  <si>
    <t>LABA</t>
  </si>
  <si>
    <t>PILAYO</t>
  </si>
  <si>
    <t>FRANKLY</t>
  </si>
  <si>
    <t>MERCADO</t>
  </si>
  <si>
    <t>UTOH</t>
  </si>
  <si>
    <t>AMOR</t>
  </si>
  <si>
    <t>AGOILO</t>
  </si>
  <si>
    <t>ALLAN</t>
  </si>
  <si>
    <t>DALISAY</t>
  </si>
  <si>
    <t>ALEXANDER</t>
  </si>
  <si>
    <t>KHU</t>
  </si>
  <si>
    <t>SANILA</t>
  </si>
  <si>
    <t>LINGGAN</t>
  </si>
  <si>
    <t>AMPING</t>
  </si>
  <si>
    <t>MARCO</t>
  </si>
  <si>
    <t>GUERERRO</t>
  </si>
  <si>
    <t>BADAJOS</t>
  </si>
  <si>
    <t>ROMY</t>
  </si>
  <si>
    <t>ANTARAY</t>
  </si>
  <si>
    <t>BAILY</t>
  </si>
  <si>
    <t>MUYCO</t>
  </si>
  <si>
    <t>BANAS</t>
  </si>
  <si>
    <t>EVELYN</t>
  </si>
  <si>
    <t>AMBAIT</t>
  </si>
  <si>
    <t>BARAYOGA</t>
  </si>
  <si>
    <t>ACHMAN</t>
  </si>
  <si>
    <t>NIPA NIPA</t>
  </si>
  <si>
    <t>BERNAL</t>
  </si>
  <si>
    <t>FRANCING</t>
  </si>
  <si>
    <t>NIPA-NIPA</t>
  </si>
  <si>
    <t>RAZID</t>
  </si>
  <si>
    <t>ASUNCION</t>
  </si>
  <si>
    <t>CALLEJO</t>
  </si>
  <si>
    <t>BULRICE</t>
  </si>
  <si>
    <t>MICHAEL DAVE</t>
  </si>
  <si>
    <t>TACANCOY</t>
  </si>
  <si>
    <t>ELENA</t>
  </si>
  <si>
    <t>ARTOCILLA</t>
  </si>
  <si>
    <t>DACUTAN</t>
  </si>
  <si>
    <t>CRISOSTOMO</t>
  </si>
  <si>
    <t>LETECIA</t>
  </si>
  <si>
    <t>PARONG</t>
  </si>
  <si>
    <t>AGAGETA</t>
  </si>
  <si>
    <t>DAYHOP</t>
  </si>
  <si>
    <t>ROLINA</t>
  </si>
  <si>
    <t>ODA</t>
  </si>
  <si>
    <t>CRISPINA</t>
  </si>
  <si>
    <t>MARILOU</t>
  </si>
  <si>
    <t>ENDRICO</t>
  </si>
  <si>
    <t>ANAFE</t>
  </si>
  <si>
    <t>ASNARA</t>
  </si>
  <si>
    <t>FLORES</t>
  </si>
  <si>
    <t>RAMIE</t>
  </si>
  <si>
    <t>LIBROHJO</t>
  </si>
  <si>
    <t>MARY ANN</t>
  </si>
  <si>
    <t>VALENCIA</t>
  </si>
  <si>
    <t>DUMAYO</t>
  </si>
  <si>
    <t>JUDY</t>
  </si>
  <si>
    <t>ODOC</t>
  </si>
  <si>
    <t>REYNANTE</t>
  </si>
  <si>
    <t>RECOTE</t>
  </si>
  <si>
    <t>GENOL</t>
  </si>
  <si>
    <t>MURPHY</t>
  </si>
  <si>
    <t>HIPONIA</t>
  </si>
  <si>
    <t>GUELOS</t>
  </si>
  <si>
    <t>BALISTEN</t>
  </si>
  <si>
    <t>ELAHAN</t>
  </si>
  <si>
    <t>JATUHAN</t>
  </si>
  <si>
    <t>ENRILE</t>
  </si>
  <si>
    <t>JOAN</t>
  </si>
  <si>
    <t>ARVIE</t>
  </si>
  <si>
    <t>JABAGAT</t>
  </si>
  <si>
    <t>BERNARD</t>
  </si>
  <si>
    <t>TAOBAN</t>
  </si>
  <si>
    <t>ARMILETO</t>
  </si>
  <si>
    <t>EDNA</t>
  </si>
  <si>
    <t>ESMAEL</t>
  </si>
  <si>
    <t>MADIL</t>
  </si>
  <si>
    <t>BASTA</t>
  </si>
  <si>
    <t>ANDUNGAYAN</t>
  </si>
  <si>
    <t>MAGNAN</t>
  </si>
  <si>
    <t>MARLINO</t>
  </si>
  <si>
    <t>ELIS</t>
  </si>
  <si>
    <t>MALNAN</t>
  </si>
  <si>
    <t>JERALD</t>
  </si>
  <si>
    <t>LAPIS</t>
  </si>
  <si>
    <t>MANSING</t>
  </si>
  <si>
    <t>DE ASIS</t>
  </si>
  <si>
    <t>MAQUILING</t>
  </si>
  <si>
    <t>BERDIDA</t>
  </si>
  <si>
    <t>ALJOHN</t>
  </si>
  <si>
    <t>MARIALYN</t>
  </si>
  <si>
    <t>MONDIDO</t>
  </si>
  <si>
    <t>SAMUEL</t>
  </si>
  <si>
    <t>ATORDIDO</t>
  </si>
  <si>
    <t>MONTEJO</t>
  </si>
  <si>
    <t>JOY</t>
  </si>
  <si>
    <t>HISONA</t>
  </si>
  <si>
    <t>JANIBOY</t>
  </si>
  <si>
    <t>TAMPIK</t>
  </si>
  <si>
    <t>NAHA</t>
  </si>
  <si>
    <t>EVERCIO</t>
  </si>
  <si>
    <t>IRADER</t>
  </si>
  <si>
    <t>NAVARRA</t>
  </si>
  <si>
    <t>PABITERO</t>
  </si>
  <si>
    <t>ESPERANZA</t>
  </si>
  <si>
    <t>BAOANG</t>
  </si>
  <si>
    <t>PALU AY</t>
  </si>
  <si>
    <t>JEZRIEL</t>
  </si>
  <si>
    <t>BADANG</t>
  </si>
  <si>
    <t>PALU-AY</t>
  </si>
  <si>
    <t>LIEZEL</t>
  </si>
  <si>
    <t>TOMASIS</t>
  </si>
  <si>
    <t>PONCE DE LEON</t>
  </si>
  <si>
    <t>LACENA</t>
  </si>
  <si>
    <t>PUDO</t>
  </si>
  <si>
    <t>CHRIS</t>
  </si>
  <si>
    <t>PALARCA</t>
  </si>
  <si>
    <t>QUIOCSON</t>
  </si>
  <si>
    <t>BENJAMIN</t>
  </si>
  <si>
    <t>RELOTA</t>
  </si>
  <si>
    <t>DIPAYA</t>
  </si>
  <si>
    <t>REVILLO</t>
  </si>
  <si>
    <t>NIKYBOY</t>
  </si>
  <si>
    <t>MANSARI</t>
  </si>
  <si>
    <t>BONTOY</t>
  </si>
  <si>
    <t>ONOS</t>
  </si>
  <si>
    <t>NOLI</t>
  </si>
  <si>
    <t>LUPIGAN</t>
  </si>
  <si>
    <t>LEKI</t>
  </si>
  <si>
    <t>BOSAL</t>
  </si>
  <si>
    <t>RIPANG</t>
  </si>
  <si>
    <t>RONAROSE</t>
  </si>
  <si>
    <t>SARAHINA</t>
  </si>
  <si>
    <t>REGINA</t>
  </si>
  <si>
    <t>SEGAY</t>
  </si>
  <si>
    <t>MIRASOL</t>
  </si>
  <si>
    <t>TALHA</t>
  </si>
  <si>
    <t>MICHEAL VINCENT</t>
  </si>
  <si>
    <t>CAYAPAS</t>
  </si>
  <si>
    <t>TAPALLA</t>
  </si>
  <si>
    <t>SIMFORIANO</t>
  </si>
  <si>
    <t>ORTEGA</t>
  </si>
  <si>
    <t>TOLORIO</t>
  </si>
  <si>
    <t>DASIGAN</t>
  </si>
  <si>
    <t>TORENA</t>
  </si>
  <si>
    <t>JULIA</t>
  </si>
  <si>
    <t>TEMPLO</t>
  </si>
  <si>
    <t>TUMASIS</t>
  </si>
  <si>
    <t>JORIEL</t>
  </si>
  <si>
    <t>RENE</t>
  </si>
  <si>
    <t>RUSTIA</t>
  </si>
  <si>
    <t>YGOT</t>
  </si>
  <si>
    <t>LINO</t>
  </si>
  <si>
    <t>ANG ANGAN</t>
  </si>
  <si>
    <t>LONGPING</t>
  </si>
  <si>
    <t>WILFREDO</t>
  </si>
  <si>
    <t>CASPIS</t>
  </si>
  <si>
    <t>RODERICK</t>
  </si>
  <si>
    <t>GALARRITA</t>
  </si>
  <si>
    <t>BACULIO</t>
  </si>
  <si>
    <t>PETER</t>
  </si>
  <si>
    <t>CALDERON</t>
  </si>
  <si>
    <t>BRAVANTE</t>
  </si>
  <si>
    <t>AFRIQUITO</t>
  </si>
  <si>
    <t>DIMIGAYA</t>
  </si>
  <si>
    <t>CABILING</t>
  </si>
  <si>
    <t>VICENTE</t>
  </si>
  <si>
    <t>CLEMENTE</t>
  </si>
  <si>
    <t>PELAGIO</t>
  </si>
  <si>
    <t>LOPEZ</t>
  </si>
  <si>
    <t>CORPUZ</t>
  </si>
  <si>
    <t>DIAZ</t>
  </si>
  <si>
    <t>CRUSE</t>
  </si>
  <si>
    <t>DONA</t>
  </si>
  <si>
    <t>ESPADA</t>
  </si>
  <si>
    <t>JULUIS MARK</t>
  </si>
  <si>
    <t>UNTALAN</t>
  </si>
  <si>
    <t>LIMACO</t>
  </si>
  <si>
    <t>LUBATON</t>
  </si>
  <si>
    <t>ANALYN</t>
  </si>
  <si>
    <t>MAHINAY</t>
  </si>
  <si>
    <t>MINERVA</t>
  </si>
  <si>
    <t>GUEVARRA</t>
  </si>
  <si>
    <t>RENE BOY</t>
  </si>
  <si>
    <t>DONIE</t>
  </si>
  <si>
    <t>DALUDADO</t>
  </si>
  <si>
    <t>FRAGINAL</t>
  </si>
  <si>
    <t>NARRA</t>
  </si>
  <si>
    <t>GARSOLASCO</t>
  </si>
  <si>
    <t>PACADA</t>
  </si>
  <si>
    <t>LATORRE</t>
  </si>
  <si>
    <t>STA ANA</t>
  </si>
  <si>
    <t>QUEZON</t>
  </si>
  <si>
    <t>TABON</t>
  </si>
  <si>
    <t>BRAGANAZA</t>
  </si>
  <si>
    <t>TOLENTINO</t>
  </si>
  <si>
    <t>RAYMUNDO</t>
  </si>
  <si>
    <t>as of Dec 15, 2025</t>
  </si>
  <si>
    <t>SAIREL</t>
  </si>
  <si>
    <t>KILAN</t>
  </si>
  <si>
    <t>ABDUL</t>
  </si>
  <si>
    <t>ABDURAJAK</t>
  </si>
  <si>
    <t>VERZO</t>
  </si>
  <si>
    <t>AMAN</t>
  </si>
  <si>
    <t>MOHAMMAD</t>
  </si>
  <si>
    <t>MARTIN</t>
  </si>
  <si>
    <t>DUSONG</t>
  </si>
  <si>
    <t>DAREL</t>
  </si>
  <si>
    <t>METANTE</t>
  </si>
  <si>
    <t>BALAGOSA</t>
  </si>
  <si>
    <t>BARCENAL</t>
  </si>
  <si>
    <t>ROLINDA</t>
  </si>
  <si>
    <t>RODORA</t>
  </si>
  <si>
    <t>LAMBOT</t>
  </si>
  <si>
    <t>BEDLIKAN</t>
  </si>
  <si>
    <t>DEMEJELLO</t>
  </si>
  <si>
    <t>BEPINOSO</t>
  </si>
  <si>
    <t>ENRIQUITO</t>
  </si>
  <si>
    <t>BULANON</t>
  </si>
  <si>
    <t>ROLANDO</t>
  </si>
  <si>
    <t>ANTIQUERA</t>
  </si>
  <si>
    <t>CARBON</t>
  </si>
  <si>
    <t>SYNGENTA</t>
  </si>
  <si>
    <t>ARSADON</t>
  </si>
  <si>
    <t>ARBAIN</t>
  </si>
  <si>
    <t>CARIAN</t>
  </si>
  <si>
    <t>JACK POT</t>
  </si>
  <si>
    <t>PORTACIO</t>
  </si>
  <si>
    <t>DAJAY</t>
  </si>
  <si>
    <t>CORDERO</t>
  </si>
  <si>
    <t>FERNAND</t>
  </si>
  <si>
    <t>GINOL</t>
  </si>
  <si>
    <t>GREGORIO</t>
  </si>
  <si>
    <t>DALUMPINES</t>
  </si>
  <si>
    <t>PARENO</t>
  </si>
  <si>
    <t>DELICANA</t>
  </si>
  <si>
    <t>RICKY</t>
  </si>
  <si>
    <t>DELIO</t>
  </si>
  <si>
    <t>DELIA</t>
  </si>
  <si>
    <t>MORENO</t>
  </si>
  <si>
    <t>DORADO</t>
  </si>
  <si>
    <t>ALMARIO</t>
  </si>
  <si>
    <t>EMBORNIZA</t>
  </si>
  <si>
    <t>FREDDIE</t>
  </si>
  <si>
    <t>DEQUINA</t>
  </si>
  <si>
    <t>JOSE</t>
  </si>
  <si>
    <t>EMBORNISA</t>
  </si>
  <si>
    <t>CORAZON</t>
  </si>
  <si>
    <t>PUNZALAN</t>
  </si>
  <si>
    <t>DOLARTE</t>
  </si>
  <si>
    <t>ENDENCIO</t>
  </si>
  <si>
    <t>TUGADO</t>
  </si>
  <si>
    <t>ESPARAGOZA</t>
  </si>
  <si>
    <t>CENAL</t>
  </si>
  <si>
    <t>FORRO</t>
  </si>
  <si>
    <t>GALGO</t>
  </si>
  <si>
    <t>MARGARITA</t>
  </si>
  <si>
    <t>CAMIAS</t>
  </si>
  <si>
    <t>VERGIE</t>
  </si>
  <si>
    <t>JARDIN</t>
  </si>
  <si>
    <t>TEODOLFO</t>
  </si>
  <si>
    <t>EYOY</t>
  </si>
  <si>
    <t>GAMOSA</t>
  </si>
  <si>
    <t>GENEGOYO</t>
  </si>
  <si>
    <t>RODANTE</t>
  </si>
  <si>
    <t>IBANEZ</t>
  </si>
  <si>
    <t>AKRIN</t>
  </si>
  <si>
    <t>MENTOY</t>
  </si>
  <si>
    <t>JORNITA</t>
  </si>
  <si>
    <t>EGDAN</t>
  </si>
  <si>
    <t>RUSSEL</t>
  </si>
  <si>
    <t>EDDON</t>
  </si>
  <si>
    <t>MOYCO</t>
  </si>
  <si>
    <t>LAMIGO</t>
  </si>
  <si>
    <t>JOVEN</t>
  </si>
  <si>
    <t>PADILLA</t>
  </si>
  <si>
    <t>PENIDOR</t>
  </si>
  <si>
    <t>LAMIN</t>
  </si>
  <si>
    <t>LINDANGAN</t>
  </si>
  <si>
    <t>jack pot</t>
  </si>
  <si>
    <t>CELIA</t>
  </si>
  <si>
    <t>ESTRELLA</t>
  </si>
  <si>
    <t>MANSAMAD</t>
  </si>
  <si>
    <t>sygenta</t>
  </si>
  <si>
    <t>FLORENDA</t>
  </si>
  <si>
    <t>BESANEZ</t>
  </si>
  <si>
    <t>ESTRADA</t>
  </si>
  <si>
    <t>MONTANEZ</t>
  </si>
  <si>
    <t>ELVIRA</t>
  </si>
  <si>
    <t>NGALONGALO</t>
  </si>
  <si>
    <t>ALEX</t>
  </si>
  <si>
    <t>CUEVAS</t>
  </si>
  <si>
    <t>PALABRICA</t>
  </si>
  <si>
    <t>PALMA</t>
  </si>
  <si>
    <t>GRANADA</t>
  </si>
  <si>
    <t>MARILYN</t>
  </si>
  <si>
    <t>PARDILLO</t>
  </si>
  <si>
    <t>JONAS</t>
  </si>
  <si>
    <t>CAUTIBAR</t>
  </si>
  <si>
    <t>JERIEL</t>
  </si>
  <si>
    <t>ARCUYO</t>
  </si>
  <si>
    <t>HAJI</t>
  </si>
  <si>
    <t>EMRAN</t>
  </si>
  <si>
    <t>SABDULA</t>
  </si>
  <si>
    <t>ARLYN</t>
  </si>
  <si>
    <t>SUMAYO</t>
  </si>
  <si>
    <t>CATACATA</t>
  </si>
  <si>
    <t>SOTTO</t>
  </si>
  <si>
    <t>VILLEGAS</t>
  </si>
  <si>
    <t>TERESITA</t>
  </si>
  <si>
    <t>JHONNY</t>
  </si>
  <si>
    <t>BERBO</t>
  </si>
  <si>
    <t>APORADO</t>
  </si>
  <si>
    <t>BLANDIE</t>
  </si>
  <si>
    <t>HELENITA</t>
  </si>
  <si>
    <t>BAACO</t>
  </si>
  <si>
    <t>ALEXIS</t>
  </si>
  <si>
    <t>SAGA</t>
  </si>
  <si>
    <t>BERMUDEZ</t>
  </si>
  <si>
    <t>EUGENE</t>
  </si>
  <si>
    <t>BACUEL</t>
  </si>
  <si>
    <t>CABUQUID</t>
  </si>
  <si>
    <t>PALOMAR</t>
  </si>
  <si>
    <t>CADAYONA</t>
  </si>
  <si>
    <t>LUZVIE</t>
  </si>
  <si>
    <t>TAOM</t>
  </si>
  <si>
    <t>CASAM</t>
  </si>
  <si>
    <t>rc18</t>
  </si>
  <si>
    <t>MALO</t>
  </si>
  <si>
    <t>ALORRO</t>
  </si>
  <si>
    <t>blandie</t>
  </si>
  <si>
    <t>JESSA MAE</t>
  </si>
  <si>
    <t>syngenta</t>
  </si>
  <si>
    <t>DANILO</t>
  </si>
  <si>
    <t>BASA</t>
  </si>
  <si>
    <t>ESPURA</t>
  </si>
  <si>
    <t>AROMA</t>
  </si>
  <si>
    <t>RC216</t>
  </si>
  <si>
    <t>ORDONIO</t>
  </si>
  <si>
    <t>FLORA</t>
  </si>
  <si>
    <t>RC130</t>
  </si>
  <si>
    <t>ERIC</t>
  </si>
  <si>
    <t>GODOFREDO</t>
  </si>
  <si>
    <t>JAVAREZ</t>
  </si>
  <si>
    <t>JARDINERO</t>
  </si>
  <si>
    <t>JORAYNA</t>
  </si>
  <si>
    <t>BAHADDA</t>
  </si>
  <si>
    <t>NICASIO</t>
  </si>
  <si>
    <t>NONES</t>
  </si>
  <si>
    <t>ROGIE</t>
  </si>
  <si>
    <t>CAMBARI</t>
  </si>
  <si>
    <t>OMADLAO</t>
  </si>
  <si>
    <t>JOSELITO</t>
  </si>
  <si>
    <t>OMBION</t>
  </si>
  <si>
    <t>HERMINIA</t>
  </si>
  <si>
    <t>PACULAN</t>
  </si>
  <si>
    <t>CRISTO</t>
  </si>
  <si>
    <t>SEMONA</t>
  </si>
  <si>
    <t>BABY JAMAICA</t>
  </si>
  <si>
    <t>TABANGAY</t>
  </si>
  <si>
    <t>JOSE REY</t>
  </si>
  <si>
    <t>NAVAJA</t>
  </si>
  <si>
    <t>BOCALING</t>
  </si>
  <si>
    <t>LAQUIRES</t>
  </si>
  <si>
    <t>LAQUIREZ</t>
  </si>
  <si>
    <t>MOROLES</t>
  </si>
  <si>
    <t>LIMBOG</t>
  </si>
  <si>
    <t>DOROT</t>
  </si>
  <si>
    <t>JONEL</t>
  </si>
  <si>
    <t>CASIDSID</t>
  </si>
  <si>
    <t>DUROT</t>
  </si>
  <si>
    <t>FANNY</t>
  </si>
  <si>
    <t>GARZON</t>
  </si>
  <si>
    <t>longping</t>
  </si>
  <si>
    <t>ROTSIL</t>
  </si>
  <si>
    <t>RADIANY</t>
  </si>
  <si>
    <t>HOLGUIN</t>
  </si>
  <si>
    <t>CATILLO</t>
  </si>
  <si>
    <t>CASTILLO</t>
  </si>
  <si>
    <t>LUCIO</t>
  </si>
  <si>
    <t>BON BON</t>
  </si>
  <si>
    <t>rc 18</t>
  </si>
  <si>
    <t>sabturanie</t>
  </si>
  <si>
    <t>santillan</t>
  </si>
  <si>
    <t>sl-19</t>
  </si>
  <si>
    <t>RENATO</t>
  </si>
  <si>
    <t>ZARRIZ</t>
  </si>
  <si>
    <t>ADUAN</t>
  </si>
  <si>
    <t>SL-19H</t>
  </si>
  <si>
    <t>SATURNINA</t>
  </si>
  <si>
    <t>TOTO</t>
  </si>
  <si>
    <t>MARICEL</t>
  </si>
  <si>
    <t>BRILLANTES</t>
  </si>
  <si>
    <t>ALGOPERA</t>
  </si>
  <si>
    <t>JOSSEL</t>
  </si>
  <si>
    <t>ALIPOON</t>
  </si>
  <si>
    <t>FRESWENDA</t>
  </si>
  <si>
    <t>BESALEZ</t>
  </si>
  <si>
    <t>ROBERTO</t>
  </si>
  <si>
    <t>BACLAS</t>
  </si>
  <si>
    <t>ALMEDA</t>
  </si>
  <si>
    <t>PANDES</t>
  </si>
  <si>
    <t>AMADA</t>
  </si>
  <si>
    <t>WILLIE</t>
  </si>
  <si>
    <t>TAMISIS</t>
  </si>
  <si>
    <t>AMAR</t>
  </si>
  <si>
    <t>TAMISES</t>
  </si>
  <si>
    <t>MARVIC</t>
  </si>
  <si>
    <t>GABAYNO</t>
  </si>
  <si>
    <t>HOSEA</t>
  </si>
  <si>
    <t>NILDA</t>
  </si>
  <si>
    <t>SAMSONA</t>
  </si>
  <si>
    <t>JOSIE</t>
  </si>
  <si>
    <t>PECASIS</t>
  </si>
  <si>
    <t>RONELO</t>
  </si>
  <si>
    <t>TOBESA</t>
  </si>
  <si>
    <t>JOMAR</t>
  </si>
  <si>
    <t>AYES</t>
  </si>
  <si>
    <t>SUSAN</t>
  </si>
  <si>
    <t>BALDOVE</t>
  </si>
  <si>
    <t>GARIO</t>
  </si>
  <si>
    <t>BANGQUILLO</t>
  </si>
  <si>
    <t>NELSON</t>
  </si>
  <si>
    <t>PORQUIADO</t>
  </si>
  <si>
    <t>BARGOLA</t>
  </si>
  <si>
    <t>NENA</t>
  </si>
  <si>
    <t>CERIACO</t>
  </si>
  <si>
    <t>BASILIO</t>
  </si>
  <si>
    <t>GARIE</t>
  </si>
  <si>
    <t>DIONY BOY</t>
  </si>
  <si>
    <t>FRED</t>
  </si>
  <si>
    <t>FRANK</t>
  </si>
  <si>
    <t>KEVIN</t>
  </si>
  <si>
    <t>PERLIN</t>
  </si>
  <si>
    <t>JHENYVIE</t>
  </si>
  <si>
    <t>RAUL</t>
  </si>
  <si>
    <t>QUILIOPE</t>
  </si>
  <si>
    <t>BERNABE</t>
  </si>
  <si>
    <t>MESQUENAN</t>
  </si>
  <si>
    <t>ALMA</t>
  </si>
  <si>
    <t>EVANGELIO</t>
  </si>
  <si>
    <t>DEWELRY</t>
  </si>
  <si>
    <t>JAYSON</t>
  </si>
  <si>
    <t>RYAN</t>
  </si>
  <si>
    <t>CARLO</t>
  </si>
  <si>
    <t>CAUTEBAR</t>
  </si>
  <si>
    <t>BEUP</t>
  </si>
  <si>
    <t>PATRICIO</t>
  </si>
  <si>
    <t>CARL JAY</t>
  </si>
  <si>
    <t>DALIDA</t>
  </si>
  <si>
    <t>CRISANTO</t>
  </si>
  <si>
    <t>BURDADO</t>
  </si>
  <si>
    <t>MEDY</t>
  </si>
  <si>
    <t>MILLENDEZ</t>
  </si>
  <si>
    <t>CABODILLA</t>
  </si>
  <si>
    <t>BINARAO</t>
  </si>
  <si>
    <t>CAJILIG</t>
  </si>
  <si>
    <t>BENJIE</t>
  </si>
  <si>
    <t>MELAN</t>
  </si>
  <si>
    <t>CALDINO</t>
  </si>
  <si>
    <t>GUIBEL</t>
  </si>
  <si>
    <t>JANING</t>
  </si>
  <si>
    <t>MALAPITAN</t>
  </si>
  <si>
    <t>CAPANAS</t>
  </si>
  <si>
    <t>MARK ALLAN</t>
  </si>
  <si>
    <t>CHIN</t>
  </si>
  <si>
    <t>ROBBY</t>
  </si>
  <si>
    <t>TRINIO</t>
  </si>
  <si>
    <t>CLAUD</t>
  </si>
  <si>
    <t>JESBEL</t>
  </si>
  <si>
    <t>JACA</t>
  </si>
  <si>
    <t>COPIAS</t>
  </si>
  <si>
    <t>PATAGAYTAY</t>
  </si>
  <si>
    <t>VALDEZ</t>
  </si>
  <si>
    <t>SYLVIA</t>
  </si>
  <si>
    <t>CUENCA</t>
  </si>
  <si>
    <t>CHARITO</t>
  </si>
  <si>
    <t>DALMINO</t>
  </si>
  <si>
    <t>MARYCHEL</t>
  </si>
  <si>
    <t>SERATO</t>
  </si>
  <si>
    <t>DELA CRUZ</t>
  </si>
  <si>
    <t>DELOS REYES</t>
  </si>
  <si>
    <t>JOSENARI</t>
  </si>
  <si>
    <t>ARBAN</t>
  </si>
  <si>
    <t>MARIA</t>
  </si>
  <si>
    <t>ALAR</t>
  </si>
  <si>
    <t>DOMINGO</t>
  </si>
  <si>
    <t>MARCIANA</t>
  </si>
  <si>
    <t>DUENAS</t>
  </si>
  <si>
    <t>JOVELYN</t>
  </si>
  <si>
    <t>OPERIANO</t>
  </si>
  <si>
    <t>EQUINAN</t>
  </si>
  <si>
    <t>LUDERIO</t>
  </si>
  <si>
    <t>EUSEBIO</t>
  </si>
  <si>
    <t>JUDA</t>
  </si>
  <si>
    <t>PABILLAR</t>
  </si>
  <si>
    <t>JOHN VINCENT</t>
  </si>
  <si>
    <t>NARRAZID</t>
  </si>
  <si>
    <t>ROBERT</t>
  </si>
  <si>
    <t>GACILLOS</t>
  </si>
  <si>
    <t>FETALVERO</t>
  </si>
  <si>
    <t>LUNINGNING</t>
  </si>
  <si>
    <t>2,7</t>
  </si>
  <si>
    <t>FAUSTINO</t>
  </si>
  <si>
    <t>JULIETA</t>
  </si>
  <si>
    <t>MERA</t>
  </si>
  <si>
    <t>VILLAREN</t>
  </si>
  <si>
    <t>GREGAS</t>
  </si>
  <si>
    <t>HERMIE</t>
  </si>
  <si>
    <t>GEMOTO</t>
  </si>
  <si>
    <t>RHODALYN</t>
  </si>
  <si>
    <t>TRONGCO</t>
  </si>
  <si>
    <t>DUCAY</t>
  </si>
  <si>
    <t>TABUD</t>
  </si>
  <si>
    <t>STEPHEN</t>
  </si>
  <si>
    <t>TITA</t>
  </si>
  <si>
    <t>AMISOLA</t>
  </si>
  <si>
    <t>LAZARTE</t>
  </si>
  <si>
    <t>Syngenta</t>
  </si>
  <si>
    <t>CHICANO</t>
  </si>
  <si>
    <t>HULLEZA</t>
  </si>
  <si>
    <t>RAQUEL</t>
  </si>
  <si>
    <t>JACOBO</t>
  </si>
  <si>
    <t>ANALIZA</t>
  </si>
  <si>
    <t>AMBONAN</t>
  </si>
  <si>
    <t>JACOLBE</t>
  </si>
  <si>
    <t>RONIE</t>
  </si>
  <si>
    <t>JIMENEZ</t>
  </si>
  <si>
    <t>VILLALOS</t>
  </si>
  <si>
    <t>ARMANDO</t>
  </si>
  <si>
    <t>FERRER</t>
  </si>
  <si>
    <t>NATHANAEL</t>
  </si>
  <si>
    <t>LICAWAN</t>
  </si>
  <si>
    <t>ELEONOR</t>
  </si>
  <si>
    <t>JERICO</t>
  </si>
  <si>
    <t>TUDAN</t>
  </si>
  <si>
    <t>LONGWA</t>
  </si>
  <si>
    <t>RODNIE</t>
  </si>
  <si>
    <t>MABAYAG</t>
  </si>
  <si>
    <t>MALUMAY</t>
  </si>
  <si>
    <t>ENRIQUE</t>
  </si>
  <si>
    <t>CONANAN</t>
  </si>
  <si>
    <t>MANGAOANG</t>
  </si>
  <si>
    <t>MARY GRACE</t>
  </si>
  <si>
    <t>ELVIN</t>
  </si>
  <si>
    <t>BALORO</t>
  </si>
  <si>
    <t>MARIANO</t>
  </si>
  <si>
    <t>MARQUEZ</t>
  </si>
  <si>
    <t>FLORDELIZA</t>
  </si>
  <si>
    <t>SILVA</t>
  </si>
  <si>
    <t>PEPITO</t>
  </si>
  <si>
    <t>CYNTHIA</t>
  </si>
  <si>
    <t>DEL ROSARIO</t>
  </si>
  <si>
    <t>THEODORE</t>
  </si>
  <si>
    <t>MARS</t>
  </si>
  <si>
    <t>MAYO</t>
  </si>
  <si>
    <t>BALADJAY</t>
  </si>
  <si>
    <t>MONDEJAR</t>
  </si>
  <si>
    <t>NICOLAS</t>
  </si>
  <si>
    <t>LEAH</t>
  </si>
  <si>
    <t>NAGATO</t>
  </si>
  <si>
    <t>HELEN</t>
  </si>
  <si>
    <t>PATAGATAY</t>
  </si>
  <si>
    <t>LILIAN</t>
  </si>
  <si>
    <t>ORGIN</t>
  </si>
  <si>
    <t>ELESIO</t>
  </si>
  <si>
    <t>OWEBAR</t>
  </si>
  <si>
    <t>ARTURO</t>
  </si>
  <si>
    <t>MIRALES</t>
  </si>
  <si>
    <t>PALAY</t>
  </si>
  <si>
    <t>EMILY</t>
  </si>
  <si>
    <t>PARRENO</t>
  </si>
  <si>
    <t>JOCELLE MAY</t>
  </si>
  <si>
    <t>GERARDO</t>
  </si>
  <si>
    <t>AREVALO</t>
  </si>
  <si>
    <t>JORY</t>
  </si>
  <si>
    <t>MEDER</t>
  </si>
  <si>
    <t>PRANDE</t>
  </si>
  <si>
    <t>ENEMISIO</t>
  </si>
  <si>
    <t>OLPOS</t>
  </si>
  <si>
    <t>QUELLOPE</t>
  </si>
  <si>
    <t>QUILLOPE</t>
  </si>
  <si>
    <t>HELFRED</t>
  </si>
  <si>
    <t>CABUAL</t>
  </si>
  <si>
    <t>CHARLOTTE</t>
  </si>
  <si>
    <t>BANEZ</t>
  </si>
  <si>
    <t>QUINONES</t>
  </si>
  <si>
    <t>RODRIGO</t>
  </si>
  <si>
    <t>IRISH JIREH</t>
  </si>
  <si>
    <t>AMILIA</t>
  </si>
  <si>
    <t>SALIENTE</t>
  </si>
  <si>
    <t>ALFONSO</t>
  </si>
  <si>
    <t>FUENTES</t>
  </si>
  <si>
    <t>TEMBLOR</t>
  </si>
  <si>
    <t>DOPLES</t>
  </si>
  <si>
    <t>TOGONON</t>
  </si>
  <si>
    <t>JOSEREY</t>
  </si>
  <si>
    <t>SAROL</t>
  </si>
  <si>
    <t>CHRISTIAN</t>
  </si>
  <si>
    <t>VILLALVA</t>
  </si>
  <si>
    <t>JENALYN</t>
  </si>
  <si>
    <t>TANAYA</t>
  </si>
  <si>
    <t>TUBONGBANUA</t>
  </si>
  <si>
    <t>YOLIZA</t>
  </si>
  <si>
    <t>VILLARMA</t>
  </si>
  <si>
    <t>FORTUNATO</t>
  </si>
  <si>
    <t>SICORSICOR</t>
  </si>
  <si>
    <t>LAYCA</t>
  </si>
  <si>
    <t>LERIOS</t>
  </si>
  <si>
    <t>CEFERINO</t>
  </si>
  <si>
    <t>ENILOG</t>
  </si>
  <si>
    <t>ARQUISAL</t>
  </si>
  <si>
    <t>ASIS</t>
  </si>
  <si>
    <t>LUDENIA</t>
  </si>
  <si>
    <t>TUMIMBANG</t>
  </si>
  <si>
    <t>MA MERISA</t>
  </si>
  <si>
    <t>NACIONALES</t>
  </si>
  <si>
    <t>BANDIOLA</t>
  </si>
  <si>
    <t>FLORITA</t>
  </si>
  <si>
    <t>VILLAR</t>
  </si>
  <si>
    <t>JOHNNY</t>
  </si>
  <si>
    <t>BARAHIM</t>
  </si>
  <si>
    <t>DUMAAN</t>
  </si>
  <si>
    <t>JOUMAR</t>
  </si>
  <si>
    <t>ENDAB</t>
  </si>
  <si>
    <t>GEMINA</t>
  </si>
  <si>
    <t>LENY</t>
  </si>
  <si>
    <t>CAHAPONON</t>
  </si>
  <si>
    <t>HALON</t>
  </si>
  <si>
    <t>FALMAYRA</t>
  </si>
  <si>
    <t>JAPHET</t>
  </si>
  <si>
    <t>INDOY</t>
  </si>
  <si>
    <t>CESARIA</t>
  </si>
  <si>
    <t>LIMPIADO</t>
  </si>
  <si>
    <t>ERNESTO</t>
  </si>
  <si>
    <t>MORATA</t>
  </si>
  <si>
    <t>MAGSIPOC</t>
  </si>
  <si>
    <t>RYAN JHUN</t>
  </si>
  <si>
    <t>BERGONIA</t>
  </si>
  <si>
    <t>SONNY</t>
  </si>
  <si>
    <t>MASLOC</t>
  </si>
  <si>
    <t>OMAMBONG</t>
  </si>
  <si>
    <t>FRAGATA</t>
  </si>
  <si>
    <t>PACCIAL</t>
  </si>
  <si>
    <t>DEQUILLO</t>
  </si>
  <si>
    <t>TASA</t>
  </si>
  <si>
    <t>PANTALITA</t>
  </si>
  <si>
    <t>BOBBY</t>
  </si>
  <si>
    <t>JERIMEY</t>
  </si>
  <si>
    <t>ESCALARZA</t>
  </si>
  <si>
    <t>KEY JORDAN</t>
  </si>
  <si>
    <t>SARDIDO</t>
  </si>
  <si>
    <t>ALINDAJAO</t>
  </si>
  <si>
    <t>SARMIENTO</t>
  </si>
  <si>
    <t>MYRA</t>
  </si>
  <si>
    <t>VIERNES</t>
  </si>
  <si>
    <t>NINFA</t>
  </si>
  <si>
    <t>VALOROSO</t>
  </si>
  <si>
    <t>VILLAREAL</t>
  </si>
  <si>
    <t>ARDIE</t>
  </si>
  <si>
    <t>MIRAFUENTES</t>
  </si>
  <si>
    <t>ABADIES</t>
  </si>
  <si>
    <t>PASTOLERO</t>
  </si>
  <si>
    <t>BATALLADOR</t>
  </si>
  <si>
    <t>FREDERICK</t>
  </si>
  <si>
    <t>ST 25</t>
  </si>
  <si>
    <t>REO</t>
  </si>
  <si>
    <t>ARIB</t>
  </si>
  <si>
    <t>NIFRAS</t>
  </si>
  <si>
    <t>MENCITO</t>
  </si>
  <si>
    <t>JESSIEHIM</t>
  </si>
  <si>
    <t>PALU UY</t>
  </si>
  <si>
    <t>ERLINDA</t>
  </si>
  <si>
    <t>BORLAZA</t>
  </si>
  <si>
    <t>ROMUALDEZ</t>
  </si>
  <si>
    <t>BAJALAN</t>
  </si>
  <si>
    <t>ROY</t>
  </si>
  <si>
    <t>TIGAS</t>
  </si>
  <si>
    <t>BELGICA</t>
  </si>
  <si>
    <t>ALBERT</t>
  </si>
  <si>
    <t>DERACO</t>
  </si>
  <si>
    <t>NORBERTO</t>
  </si>
  <si>
    <t>DENSO</t>
  </si>
  <si>
    <t>LORETA</t>
  </si>
  <si>
    <t>PANCHO</t>
  </si>
  <si>
    <t>as of Dec  31, 2025</t>
  </si>
  <si>
    <t>as of Dec 31, 2025</t>
  </si>
  <si>
    <t>REGIE</t>
  </si>
  <si>
    <t>AGAS</t>
  </si>
  <si>
    <t>ALA</t>
  </si>
  <si>
    <t>MONTIKALBO</t>
  </si>
  <si>
    <t>EHIGEN</t>
  </si>
  <si>
    <t>BIGANTE</t>
  </si>
  <si>
    <t>BASANES</t>
  </si>
  <si>
    <t>FAJANILBO</t>
  </si>
  <si>
    <t>ERNIE</t>
  </si>
  <si>
    <t>ARCONES</t>
  </si>
  <si>
    <t>CARMELITO</t>
  </si>
  <si>
    <t>RUBIO</t>
  </si>
  <si>
    <t>GUARDIANO</t>
  </si>
  <si>
    <t>TIMBANGAN</t>
  </si>
  <si>
    <t>ALCAIDE</t>
  </si>
  <si>
    <t>JERUEL</t>
  </si>
  <si>
    <t>CANONAYON</t>
  </si>
  <si>
    <t>ARSINO</t>
  </si>
  <si>
    <t>PORFERIO</t>
  </si>
  <si>
    <t>CASTIS</t>
  </si>
  <si>
    <t>JOSE RENE</t>
  </si>
  <si>
    <t>GRECIA</t>
  </si>
  <si>
    <t>GLODOVIE</t>
  </si>
  <si>
    <t>EROSA</t>
  </si>
  <si>
    <t>JOHN MARK</t>
  </si>
  <si>
    <t>MARK JOHN</t>
  </si>
  <si>
    <t>DANIEL</t>
  </si>
  <si>
    <t>RADOC</t>
  </si>
  <si>
    <t>EVINA</t>
  </si>
  <si>
    <t>TOM</t>
  </si>
  <si>
    <t>GILNIE</t>
  </si>
  <si>
    <t>AROL</t>
  </si>
  <si>
    <t>DIANA JOY</t>
  </si>
  <si>
    <t>GUEMO</t>
  </si>
  <si>
    <t>IRENE MAE</t>
  </si>
  <si>
    <t>LIMIT</t>
  </si>
  <si>
    <t>TAMAYO</t>
  </si>
  <si>
    <t>NONAN</t>
  </si>
  <si>
    <t>ARSENO</t>
  </si>
  <si>
    <t>ONDONA</t>
  </si>
  <si>
    <t>DOMINGA</t>
  </si>
  <si>
    <t>DABATOS</t>
  </si>
  <si>
    <t>PADON</t>
  </si>
  <si>
    <t>ROMIE</t>
  </si>
  <si>
    <t>TADEJA</t>
  </si>
  <si>
    <t>ASIYA</t>
  </si>
  <si>
    <t>ANGGOY</t>
  </si>
  <si>
    <t>ABDULA</t>
  </si>
  <si>
    <t>JULHAN</t>
  </si>
  <si>
    <t>MAULAHA</t>
  </si>
  <si>
    <t>ABDURAJIK</t>
  </si>
  <si>
    <t>CAISIDO</t>
  </si>
  <si>
    <t>ABES</t>
  </si>
  <si>
    <t>ANIL</t>
  </si>
  <si>
    <t>BUANGKAN</t>
  </si>
  <si>
    <t>AHADAN</t>
  </si>
  <si>
    <t>MAC MAC</t>
  </si>
  <si>
    <t>ABE MAEL</t>
  </si>
  <si>
    <t>VILMA</t>
  </si>
  <si>
    <t>YSTAEL</t>
  </si>
  <si>
    <t>RUEL</t>
  </si>
  <si>
    <t>RENY</t>
  </si>
  <si>
    <t>BORELA</t>
  </si>
  <si>
    <t>AZARES</t>
  </si>
  <si>
    <t>OLBIDADO</t>
  </si>
  <si>
    <t>BLANDO</t>
  </si>
  <si>
    <t>ELSITA</t>
  </si>
  <si>
    <t>PANASANG</t>
  </si>
  <si>
    <t>MARVIN</t>
  </si>
  <si>
    <t>ZALDY BOY</t>
  </si>
  <si>
    <t>NONOY</t>
  </si>
  <si>
    <t>BALDOSA</t>
  </si>
  <si>
    <t>JUNIE</t>
  </si>
  <si>
    <t>EMOL</t>
  </si>
  <si>
    <t>NAKIM</t>
  </si>
  <si>
    <t>OTOH</t>
  </si>
  <si>
    <t>ERENIO</t>
  </si>
  <si>
    <t>GAPULAO</t>
  </si>
  <si>
    <t>RADSMA</t>
  </si>
  <si>
    <t>ANGELA</t>
  </si>
  <si>
    <t>CESAR</t>
  </si>
  <si>
    <t>CARDEJON</t>
  </si>
  <si>
    <t>LINDA</t>
  </si>
  <si>
    <t>ARCADIO</t>
  </si>
  <si>
    <t>VERDE</t>
  </si>
  <si>
    <t>CHAVEZ</t>
  </si>
  <si>
    <t>NECOR</t>
  </si>
  <si>
    <t>RACLEM</t>
  </si>
  <si>
    <t>MELIA</t>
  </si>
  <si>
    <t>ROBELYO</t>
  </si>
  <si>
    <t>CADOR</t>
  </si>
  <si>
    <t>CORMAS</t>
  </si>
  <si>
    <t>HENGCO</t>
  </si>
  <si>
    <t>ECHAVEZ</t>
  </si>
  <si>
    <t>TERESA</t>
  </si>
  <si>
    <t>HULGUIN</t>
  </si>
  <si>
    <t>ERGALO</t>
  </si>
  <si>
    <t>IRENEO</t>
  </si>
  <si>
    <t>SANTILLAN</t>
  </si>
  <si>
    <t>GALICIA</t>
  </si>
  <si>
    <t>GIMOTO</t>
  </si>
  <si>
    <t>GIGANTO</t>
  </si>
  <si>
    <t>ROMULO</t>
  </si>
  <si>
    <t>FONDAL</t>
  </si>
  <si>
    <t>RONDUKAN</t>
  </si>
  <si>
    <t>GINDAYA</t>
  </si>
  <si>
    <t>RITO</t>
  </si>
  <si>
    <t>RONDUCAN</t>
  </si>
  <si>
    <t>MAHATHER</t>
  </si>
  <si>
    <t>ABDULHAMID</t>
  </si>
  <si>
    <t>GUIA</t>
  </si>
  <si>
    <t>RANILLO</t>
  </si>
  <si>
    <t>JUANILLO</t>
  </si>
  <si>
    <t>PUTONG</t>
  </si>
  <si>
    <t>CATA</t>
  </si>
  <si>
    <t>LUBYAG</t>
  </si>
  <si>
    <t>RAMIR</t>
  </si>
  <si>
    <t>VELASCO</t>
  </si>
  <si>
    <t>MACAULING</t>
  </si>
  <si>
    <t>RANDY</t>
  </si>
  <si>
    <t>BENSOR</t>
  </si>
  <si>
    <t>ELNA</t>
  </si>
  <si>
    <t>RICA VINA</t>
  </si>
  <si>
    <t>ROSARIO</t>
  </si>
  <si>
    <t>ABIRIN</t>
  </si>
  <si>
    <t>MALA</t>
  </si>
  <si>
    <t>MISUARI</t>
  </si>
  <si>
    <t>NORCASIM</t>
  </si>
  <si>
    <t>SABLI</t>
  </si>
  <si>
    <t>MUSTAFA</t>
  </si>
  <si>
    <t>JELLY</t>
  </si>
  <si>
    <t>PONTOY</t>
  </si>
  <si>
    <t>FLORENCE</t>
  </si>
  <si>
    <t>VICENCIO</t>
  </si>
  <si>
    <t>RIVERA</t>
  </si>
  <si>
    <t>ESTELA</t>
  </si>
  <si>
    <t>RODRIGUEZ</t>
  </si>
  <si>
    <t>TONG</t>
  </si>
  <si>
    <t>BAYANI</t>
  </si>
  <si>
    <t>SAIBUDIN</t>
  </si>
  <si>
    <t>DONNEL</t>
  </si>
  <si>
    <t>ALIDOON</t>
  </si>
  <si>
    <t>EDLYN</t>
  </si>
  <si>
    <t>AMIS</t>
  </si>
  <si>
    <t>ELMAR</t>
  </si>
  <si>
    <t>ORPIA</t>
  </si>
  <si>
    <t>GERRY MARK</t>
  </si>
  <si>
    <t>BENEDICTO</t>
  </si>
  <si>
    <t>ARSENIO</t>
  </si>
  <si>
    <t>MELVIN</t>
  </si>
  <si>
    <t>MARITES</t>
  </si>
  <si>
    <t>CELIS</t>
  </si>
  <si>
    <t>ARTACHO</t>
  </si>
  <si>
    <t>BABY LYN</t>
  </si>
  <si>
    <t>ATIENZA</t>
  </si>
  <si>
    <t>SOPNET</t>
  </si>
  <si>
    <t>BADUA</t>
  </si>
  <si>
    <t>GANANCIAL</t>
  </si>
  <si>
    <t>BARISON</t>
  </si>
  <si>
    <t>PATATAS</t>
  </si>
  <si>
    <t>RUTH</t>
  </si>
  <si>
    <t>TIMTIM</t>
  </si>
  <si>
    <t>BARRIOS</t>
  </si>
  <si>
    <t>MART</t>
  </si>
  <si>
    <t>BUENDIA</t>
  </si>
  <si>
    <t>BERNARDITA</t>
  </si>
  <si>
    <t>JAMANDRON</t>
  </si>
  <si>
    <t>CAPULAC</t>
  </si>
  <si>
    <t>ROSALINO</t>
  </si>
  <si>
    <t>DIAMA</t>
  </si>
  <si>
    <t>CARATAO</t>
  </si>
  <si>
    <t>CATAMA</t>
  </si>
  <si>
    <t>CLARON</t>
  </si>
  <si>
    <t>JOLLY</t>
  </si>
  <si>
    <t>LODERIO</t>
  </si>
  <si>
    <t>ADRINITO</t>
  </si>
  <si>
    <t>FABELLAR</t>
  </si>
  <si>
    <t>ROSALYN</t>
  </si>
  <si>
    <t>ALIPIOSA</t>
  </si>
  <si>
    <t>NICANOR</t>
  </si>
  <si>
    <t>JELO</t>
  </si>
  <si>
    <t>GANAGANAG</t>
  </si>
  <si>
    <t>GRAPA</t>
  </si>
  <si>
    <t>JHON REY</t>
  </si>
  <si>
    <t>GEMMA</t>
  </si>
  <si>
    <t>MARANG</t>
  </si>
  <si>
    <t>GAN</t>
  </si>
  <si>
    <t>LAZARO</t>
  </si>
  <si>
    <t>ELIZER</t>
  </si>
  <si>
    <t>DIDOMO</t>
  </si>
  <si>
    <t>MABAN</t>
  </si>
  <si>
    <t>DUMARIG</t>
  </si>
  <si>
    <t>MARK CARLO</t>
  </si>
  <si>
    <t>GACAYAN</t>
  </si>
  <si>
    <t>MAGURA</t>
  </si>
  <si>
    <t>TAN</t>
  </si>
  <si>
    <t>LAIDA</t>
  </si>
  <si>
    <t>GALITA</t>
  </si>
  <si>
    <t>MINANO</t>
  </si>
  <si>
    <t>ROSANA</t>
  </si>
  <si>
    <t>GAUDENCIO</t>
  </si>
  <si>
    <t>ABELION</t>
  </si>
  <si>
    <t>TRAYFALGAR</t>
  </si>
  <si>
    <t>ABANILLA</t>
  </si>
  <si>
    <t>CORTEL</t>
  </si>
  <si>
    <t>AGA</t>
  </si>
  <si>
    <t>CHARLIE</t>
  </si>
  <si>
    <t>ESPENO</t>
  </si>
  <si>
    <t>JOSE FIDEL</t>
  </si>
  <si>
    <t>OMAN</t>
  </si>
  <si>
    <t>GALPO</t>
  </si>
  <si>
    <t>RAMOS</t>
  </si>
  <si>
    <t>SILVERIO</t>
  </si>
  <si>
    <t>MANUEL</t>
  </si>
  <si>
    <t>MAYANG</t>
  </si>
  <si>
    <t>MONTERO</t>
  </si>
  <si>
    <t>MARLYN</t>
  </si>
  <si>
    <t>MORALES</t>
  </si>
  <si>
    <t>PREQUENZA</t>
  </si>
  <si>
    <t>CECILE</t>
  </si>
  <si>
    <t>CUBA</t>
  </si>
  <si>
    <t>REMEGIO</t>
  </si>
  <si>
    <t>NONITA</t>
  </si>
  <si>
    <t>FLOREDO</t>
  </si>
  <si>
    <t>ROSALIA</t>
  </si>
  <si>
    <t>VIRGILIO</t>
  </si>
  <si>
    <t>ALBINO</t>
  </si>
  <si>
    <t>ROSELIE</t>
  </si>
  <si>
    <t>ARQUIO</t>
  </si>
  <si>
    <t>BAILLO</t>
  </si>
  <si>
    <t>RANULFO</t>
  </si>
  <si>
    <t>CARILLO</t>
  </si>
  <si>
    <t>DAMIAN</t>
  </si>
  <si>
    <t>GABRIEL</t>
  </si>
  <si>
    <t>EDMUNDO</t>
  </si>
  <si>
    <t>ROQUE</t>
  </si>
  <si>
    <t>TIRANTE</t>
  </si>
  <si>
    <t>VINTAR</t>
  </si>
  <si>
    <t>COLLADO</t>
  </si>
  <si>
    <t>LAURENCIO</t>
  </si>
  <si>
    <t>PATACSIL</t>
  </si>
  <si>
    <t>CUDAL</t>
  </si>
  <si>
    <t>VICTORIA</t>
  </si>
  <si>
    <t>MONTESANO</t>
  </si>
  <si>
    <t>ESCORIAL</t>
  </si>
  <si>
    <t>WARLITO</t>
  </si>
  <si>
    <t>NORA</t>
  </si>
  <si>
    <t>YONGOL</t>
  </si>
  <si>
    <t>ELIZABETH</t>
  </si>
  <si>
    <t>BUNAG</t>
  </si>
  <si>
    <t>NEMENO</t>
  </si>
  <si>
    <t>GENARDINO</t>
  </si>
  <si>
    <t>HARIO</t>
  </si>
  <si>
    <t>PINWILA</t>
  </si>
  <si>
    <t>MICHAEL JON</t>
  </si>
  <si>
    <t>TAAS</t>
  </si>
  <si>
    <t>BARQUILLA</t>
  </si>
  <si>
    <t>DE PAZ</t>
  </si>
  <si>
    <t>ANITA</t>
  </si>
  <si>
    <t>SUMALBAG</t>
  </si>
  <si>
    <t>TACANLOY</t>
  </si>
  <si>
    <t>QUINIQUITO</t>
  </si>
  <si>
    <t>CAPUNANG</t>
  </si>
  <si>
    <t>GUALBERTO</t>
  </si>
  <si>
    <t>CATAGUE</t>
  </si>
  <si>
    <t>CASTOR</t>
  </si>
  <si>
    <t>ULDARICO</t>
  </si>
  <si>
    <t>ORTIS</t>
  </si>
  <si>
    <t>TINDIN</t>
  </si>
  <si>
    <t>JANNO</t>
  </si>
  <si>
    <t>FEOLOG</t>
  </si>
  <si>
    <t>TEJADA</t>
  </si>
  <si>
    <t>ODOL</t>
  </si>
  <si>
    <t>AGNAS</t>
  </si>
  <si>
    <t>GAYUMA</t>
  </si>
  <si>
    <t>JEPOY</t>
  </si>
  <si>
    <t>JATOHAN</t>
  </si>
  <si>
    <t>LAURENCE</t>
  </si>
  <si>
    <t>JAVIER</t>
  </si>
  <si>
    <t>RONALDO</t>
  </si>
  <si>
    <t>TARBOK</t>
  </si>
  <si>
    <t>BRYAN</t>
  </si>
  <si>
    <t>ALAY</t>
  </si>
  <si>
    <t>MENENDEZ</t>
  </si>
  <si>
    <t>JOEMARIE</t>
  </si>
  <si>
    <t>GENOVIA</t>
  </si>
  <si>
    <t>OLAYRA</t>
  </si>
  <si>
    <t>HAROLD</t>
  </si>
  <si>
    <t>VILLAGRACIA</t>
  </si>
  <si>
    <t>ALBANO</t>
  </si>
  <si>
    <t>LANDRICO</t>
  </si>
  <si>
    <t>PENALBER</t>
  </si>
  <si>
    <t>ALCAMPOR</t>
  </si>
  <si>
    <t>ELDEWIN</t>
  </si>
  <si>
    <t>PALIGUMBA</t>
  </si>
  <si>
    <t>ALEJANDRINO</t>
  </si>
  <si>
    <t>AMELANTO</t>
  </si>
  <si>
    <t>LUNIZA</t>
  </si>
  <si>
    <t>BANDALOG</t>
  </si>
  <si>
    <t>ANIT</t>
  </si>
  <si>
    <t>REGANA</t>
  </si>
  <si>
    <t>CAABAY</t>
  </si>
  <si>
    <t>RONAS</t>
  </si>
  <si>
    <t>CONRADO</t>
  </si>
  <si>
    <t>MILO</t>
  </si>
  <si>
    <t>BALADIANG</t>
  </si>
  <si>
    <t>JONALD</t>
  </si>
  <si>
    <t>AQUINO</t>
  </si>
  <si>
    <t>DE GUZMAN</t>
  </si>
  <si>
    <t>JR III</t>
  </si>
  <si>
    <t>RONALYN</t>
  </si>
  <si>
    <t>BELLAROSA</t>
  </si>
  <si>
    <t>GALON</t>
  </si>
  <si>
    <t>BAYATE</t>
  </si>
  <si>
    <t>LAURETA</t>
  </si>
  <si>
    <t>BAYLE</t>
  </si>
  <si>
    <t>MAGALLANES</t>
  </si>
  <si>
    <t>BENBAN</t>
  </si>
  <si>
    <t>PERIO</t>
  </si>
  <si>
    <t>CATIBOD</t>
  </si>
  <si>
    <t>BRUCE</t>
  </si>
  <si>
    <t>ANNABEL</t>
  </si>
  <si>
    <t>NOVIDA</t>
  </si>
  <si>
    <t>CADANG</t>
  </si>
  <si>
    <t>CAPANGYARIHAN</t>
  </si>
  <si>
    <t>MARITA</t>
  </si>
  <si>
    <t>CABITANA</t>
  </si>
  <si>
    <t>CATIMBANG</t>
  </si>
  <si>
    <t>TENIANO</t>
  </si>
  <si>
    <t>DELANTES</t>
  </si>
  <si>
    <t>DEMONTEVERDE</t>
  </si>
  <si>
    <t>RIVEN</t>
  </si>
  <si>
    <t>PRODIGO</t>
  </si>
  <si>
    <t>DIVINA</t>
  </si>
  <si>
    <t>CABILLO</t>
  </si>
  <si>
    <t>MARTINET</t>
  </si>
  <si>
    <t>ELPIDIO</t>
  </si>
  <si>
    <t>GULINGAN</t>
  </si>
  <si>
    <t>JULIEFE</t>
  </si>
  <si>
    <t>AGUILER</t>
  </si>
  <si>
    <t>RABANES</t>
  </si>
  <si>
    <t>JUDY ANN</t>
  </si>
  <si>
    <t>ESCALA</t>
  </si>
  <si>
    <t>RESMUNDO</t>
  </si>
  <si>
    <t>SABALLA</t>
  </si>
  <si>
    <t>OSIAS</t>
  </si>
  <si>
    <t>ELEGINO</t>
  </si>
  <si>
    <t>RUMBAOA</t>
  </si>
  <si>
    <t>ELSIE</t>
  </si>
  <si>
    <t>SALVA</t>
  </si>
  <si>
    <t>JAY</t>
  </si>
  <si>
    <t>CARSOLASCO</t>
  </si>
  <si>
    <t>SAMARINTA</t>
  </si>
  <si>
    <t>ORDENEZ</t>
  </si>
  <si>
    <t>ZAPRA</t>
  </si>
  <si>
    <t>SEMILLA</t>
  </si>
  <si>
    <t>FROPUNGA</t>
  </si>
  <si>
    <t>DIONISIO</t>
  </si>
  <si>
    <t>SECWATIN</t>
  </si>
  <si>
    <t>TIBALBAG</t>
  </si>
  <si>
    <t>ALVIN</t>
  </si>
  <si>
    <t>SULAN</t>
  </si>
  <si>
    <t>CHETSONG</t>
  </si>
  <si>
    <t>DELLOMUS</t>
  </si>
  <si>
    <t>UNSAN</t>
  </si>
  <si>
    <t>DILLOMUS</t>
  </si>
  <si>
    <t>CARL</t>
  </si>
  <si>
    <t>ALABADO</t>
  </si>
  <si>
    <t>AGUSTING</t>
  </si>
  <si>
    <t>ISIDRO</t>
  </si>
  <si>
    <t>PERAAN</t>
  </si>
  <si>
    <t>ALBURO</t>
  </si>
  <si>
    <t>ORLANDO</t>
  </si>
  <si>
    <t>DALINGDING</t>
  </si>
  <si>
    <t>MERALITO</t>
  </si>
  <si>
    <t>SEMIROS</t>
  </si>
  <si>
    <t>DAYANDAYAN</t>
  </si>
  <si>
    <t>DIERY</t>
  </si>
  <si>
    <t>GUARDIAN</t>
  </si>
  <si>
    <t>TIRSO</t>
  </si>
  <si>
    <t>TINORIO</t>
  </si>
  <si>
    <t>GABINETE</t>
  </si>
  <si>
    <t>WINNIE</t>
  </si>
  <si>
    <t>GALANGA</t>
  </si>
  <si>
    <t>RAMIRO</t>
  </si>
  <si>
    <t>GAAD</t>
  </si>
  <si>
    <t>SOLIS</t>
  </si>
  <si>
    <t>GALIVIO</t>
  </si>
  <si>
    <t>ERICKSON</t>
  </si>
  <si>
    <t>PABILLO</t>
  </si>
  <si>
    <t>DIONOR JAKE</t>
  </si>
  <si>
    <t>RONDINA</t>
  </si>
  <si>
    <t>GAURAN</t>
  </si>
  <si>
    <t>II</t>
  </si>
  <si>
    <t>NELIA</t>
  </si>
  <si>
    <t>MATILLA</t>
  </si>
  <si>
    <t>GIMOTEA</t>
  </si>
  <si>
    <t>MAGRAMO</t>
  </si>
  <si>
    <t>EDSEL</t>
  </si>
  <si>
    <t>KADUSALE</t>
  </si>
  <si>
    <t>BARONA</t>
  </si>
  <si>
    <t>NICK</t>
  </si>
  <si>
    <t>AMBANGAN</t>
  </si>
  <si>
    <t>MINGKOL</t>
  </si>
  <si>
    <t>WILLY</t>
  </si>
  <si>
    <t>TABA</t>
  </si>
  <si>
    <t>SALNAP</t>
  </si>
  <si>
    <t>TARNONG</t>
  </si>
  <si>
    <t>SILVESTRE</t>
  </si>
  <si>
    <t>BONALES</t>
  </si>
  <si>
    <t>PELONIA</t>
  </si>
  <si>
    <t>SABE</t>
  </si>
  <si>
    <t>CONALES</t>
  </si>
  <si>
    <t>BARGOYO</t>
  </si>
  <si>
    <t>RUFENA</t>
  </si>
  <si>
    <t>CARING</t>
  </si>
  <si>
    <t>BADONG</t>
  </si>
  <si>
    <t>YUKONG</t>
  </si>
  <si>
    <t>CENO</t>
  </si>
  <si>
    <t>SOLATORIO</t>
  </si>
  <si>
    <t>DE PADUA</t>
  </si>
  <si>
    <t>PULANG</t>
  </si>
  <si>
    <t>AGAGAS</t>
  </si>
  <si>
    <t>ESCABARTE</t>
  </si>
  <si>
    <t>ESPINO</t>
  </si>
  <si>
    <t>REYNAN</t>
  </si>
  <si>
    <t>PACQUIN</t>
  </si>
  <si>
    <t>GAPUZ</t>
  </si>
  <si>
    <t>CASENIO</t>
  </si>
  <si>
    <t>ROMIL</t>
  </si>
  <si>
    <t>ADOS</t>
  </si>
  <si>
    <t>JAMPANG</t>
  </si>
  <si>
    <t>EBIS</t>
  </si>
  <si>
    <t>MANDARAT</t>
  </si>
  <si>
    <t>KALAD</t>
  </si>
  <si>
    <t>JANJAN</t>
  </si>
  <si>
    <t>SINONA</t>
  </si>
  <si>
    <t>LABTICAN</t>
  </si>
  <si>
    <t>LOZADA</t>
  </si>
  <si>
    <t>LACHICA</t>
  </si>
  <si>
    <t>GILBERT</t>
  </si>
  <si>
    <t>OTCHIA</t>
  </si>
  <si>
    <t>MATIONG</t>
  </si>
  <si>
    <t>HAVEL</t>
  </si>
  <si>
    <t>OCAMPO</t>
  </si>
  <si>
    <t>REVINA</t>
  </si>
  <si>
    <t>FUNCION</t>
  </si>
  <si>
    <t>REYMOND</t>
  </si>
  <si>
    <t>ANGYAW</t>
  </si>
  <si>
    <t>PARNAY</t>
  </si>
  <si>
    <t>JOE LUIS</t>
  </si>
  <si>
    <t>ESLAVA</t>
  </si>
  <si>
    <t>PEREZ</t>
  </si>
  <si>
    <t>JOELUIS</t>
  </si>
  <si>
    <t>PERZ</t>
  </si>
  <si>
    <t>JAY AR</t>
  </si>
  <si>
    <t>SAN JOSE</t>
  </si>
  <si>
    <t>SAHI</t>
  </si>
  <si>
    <t>MALILONG</t>
  </si>
  <si>
    <t>BASTRE</t>
  </si>
  <si>
    <t>ADULA</t>
  </si>
  <si>
    <t>ETAW</t>
  </si>
  <si>
    <t>MASTIRO</t>
  </si>
  <si>
    <t>TUKING</t>
  </si>
  <si>
    <t>BETOY</t>
  </si>
  <si>
    <t>TUWAKAL</t>
  </si>
  <si>
    <t>JALNA</t>
  </si>
  <si>
    <t>DIME</t>
  </si>
  <si>
    <t>CADDIMA</t>
  </si>
  <si>
    <t>as of Jan 15, 2026</t>
  </si>
  <si>
    <t>S</t>
  </si>
  <si>
    <t>as of Jan 15</t>
  </si>
  <si>
    <t>ALONTAR</t>
  </si>
  <si>
    <t>DEMIGILLO</t>
  </si>
  <si>
    <t>CABASAL</t>
  </si>
  <si>
    <t>sl-19h</t>
  </si>
  <si>
    <t>ODONEL</t>
  </si>
  <si>
    <t>CASAGNAP</t>
  </si>
  <si>
    <t>PRUDENCIO</t>
  </si>
  <si>
    <t>DOCTO</t>
  </si>
  <si>
    <t>ASUCENA</t>
  </si>
  <si>
    <t>DEMACLID</t>
  </si>
  <si>
    <t>LEONIZA</t>
  </si>
  <si>
    <t>DURAN</t>
  </si>
  <si>
    <t>LEGARA</t>
  </si>
  <si>
    <t>FAUSTO</t>
  </si>
  <si>
    <t>EDMAR</t>
  </si>
  <si>
    <t>CABALTERA</t>
  </si>
  <si>
    <t>HARDIN</t>
  </si>
  <si>
    <t>PIAMONTE</t>
  </si>
  <si>
    <t>LIBO ON</t>
  </si>
  <si>
    <t>LEONY</t>
  </si>
  <si>
    <t>CIPRIANO</t>
  </si>
  <si>
    <t>NABONG</t>
  </si>
  <si>
    <t>RAYMOND</t>
  </si>
  <si>
    <t>ALVARES</t>
  </si>
  <si>
    <t>PAGUNTALAN</t>
  </si>
  <si>
    <t>SALTIN</t>
  </si>
  <si>
    <t>ARCOYO</t>
  </si>
  <si>
    <t>LIEZL</t>
  </si>
  <si>
    <t>SABLAD</t>
  </si>
  <si>
    <t>SOFIA</t>
  </si>
  <si>
    <t>CABANAG</t>
  </si>
  <si>
    <t>BLANCO</t>
  </si>
  <si>
    <t>MERLITA</t>
  </si>
  <si>
    <t>MAG-ASO</t>
  </si>
  <si>
    <t>CABRAL</t>
  </si>
  <si>
    <t>JAMES RYAN</t>
  </si>
  <si>
    <t>LOMER</t>
  </si>
  <si>
    <t>SORINIO</t>
  </si>
  <si>
    <t>DOGOL DOGOL</t>
  </si>
  <si>
    <t>JOANNA MARIE</t>
  </si>
  <si>
    <t>LUBAN</t>
  </si>
  <si>
    <t>IAN</t>
  </si>
  <si>
    <t>LALAINE</t>
  </si>
  <si>
    <t>SAWALDI</t>
  </si>
  <si>
    <t>JEMINA</t>
  </si>
  <si>
    <t>CANADOY</t>
  </si>
  <si>
    <t>JOHNY</t>
  </si>
  <si>
    <t>LAPUS</t>
  </si>
  <si>
    <t>AZ8433</t>
  </si>
  <si>
    <t>LOUIE GEORGE</t>
  </si>
  <si>
    <t>MAVILLE ANNE</t>
  </si>
  <si>
    <t>MESA</t>
  </si>
  <si>
    <t>CARPENTERO</t>
  </si>
  <si>
    <t>JOEM</t>
  </si>
  <si>
    <t>JANSEN</t>
  </si>
  <si>
    <t>RADAM</t>
  </si>
  <si>
    <t>RUBY ELAINE</t>
  </si>
  <si>
    <t>YANDAY</t>
  </si>
  <si>
    <t>SISTEBERIO</t>
  </si>
  <si>
    <t>KIVEN</t>
  </si>
  <si>
    <t>SANTO</t>
  </si>
  <si>
    <t>ADLAWAN</t>
  </si>
  <si>
    <t>ELPEDES</t>
  </si>
  <si>
    <t>ALAS</t>
  </si>
  <si>
    <t>ALBOG</t>
  </si>
  <si>
    <t>MARTINO</t>
  </si>
  <si>
    <t>CANDAO</t>
  </si>
  <si>
    <t>WILLIAM</t>
  </si>
  <si>
    <t>JALBONA</t>
  </si>
  <si>
    <t>MARIQUITA</t>
  </si>
  <si>
    <t>CORTASE</t>
  </si>
  <si>
    <t>AMACNA</t>
  </si>
  <si>
    <t>BAYNO</t>
  </si>
  <si>
    <t>RICHIELYN</t>
  </si>
  <si>
    <t>ROSENDA</t>
  </si>
  <si>
    <t>EMILITA</t>
  </si>
  <si>
    <t>ESCORA</t>
  </si>
  <si>
    <t>BINTAR</t>
  </si>
  <si>
    <t>DODOY</t>
  </si>
  <si>
    <t>CIBOAN</t>
  </si>
  <si>
    <t>DALADA</t>
  </si>
  <si>
    <t>TABLA</t>
  </si>
  <si>
    <t>IRISH</t>
  </si>
  <si>
    <t>ENCONTRO</t>
  </si>
  <si>
    <t>FELOMINO</t>
  </si>
  <si>
    <t>BUSTANTE</t>
  </si>
  <si>
    <t>ESCANO</t>
  </si>
  <si>
    <t>RANITA</t>
  </si>
  <si>
    <t>GINTAB</t>
  </si>
  <si>
    <t>JUHIDA</t>
  </si>
  <si>
    <t>COLON</t>
  </si>
  <si>
    <t>MILLENIA</t>
  </si>
  <si>
    <t>ELBERTO</t>
  </si>
  <si>
    <t>MAMIGO</t>
  </si>
  <si>
    <t>MARTOS</t>
  </si>
  <si>
    <t>TRANQUILINO</t>
  </si>
  <si>
    <t>BANTILAN</t>
  </si>
  <si>
    <t>MELENDRES</t>
  </si>
  <si>
    <t>HILADO</t>
  </si>
  <si>
    <t>REMO</t>
  </si>
  <si>
    <t>CANDARI</t>
  </si>
  <si>
    <t>JOLIBERT</t>
  </si>
  <si>
    <t>SAPILAN</t>
  </si>
  <si>
    <t>GIRMA</t>
  </si>
  <si>
    <t>SOLIG</t>
  </si>
  <si>
    <t>FLORANTE</t>
  </si>
  <si>
    <t>TALEON</t>
  </si>
  <si>
    <t>JUVIC</t>
  </si>
  <si>
    <t>TEVES</t>
  </si>
  <si>
    <t>PONTINO</t>
  </si>
  <si>
    <t>RULA</t>
  </si>
  <si>
    <t>TILAD</t>
  </si>
  <si>
    <t>REMEDIOS</t>
  </si>
  <si>
    <t>ESOLA</t>
  </si>
  <si>
    <t>DE LEON</t>
  </si>
  <si>
    <t>TREYES</t>
  </si>
  <si>
    <t>AMALLA</t>
  </si>
  <si>
    <t>INSANI</t>
  </si>
  <si>
    <t>ALIE</t>
  </si>
  <si>
    <t>LATUD</t>
  </si>
  <si>
    <t>NK5017</t>
  </si>
  <si>
    <t>AMBOC</t>
  </si>
  <si>
    <t>AMBOY</t>
  </si>
  <si>
    <t>BANGGALI</t>
  </si>
  <si>
    <t>ANECITO</t>
  </si>
  <si>
    <t>SAMMY</t>
  </si>
  <si>
    <t>ULAN</t>
  </si>
  <si>
    <t>ARCEGA</t>
  </si>
  <si>
    <t>DEMERIN</t>
  </si>
  <si>
    <t>LEDESMA</t>
  </si>
  <si>
    <t>BACALSO</t>
  </si>
  <si>
    <t>SARATON</t>
  </si>
  <si>
    <t>ANGGAW</t>
  </si>
  <si>
    <t>BARAWE</t>
  </si>
  <si>
    <t>JOREN</t>
  </si>
  <si>
    <t>MARCILINO</t>
  </si>
  <si>
    <t>FREVEN</t>
  </si>
  <si>
    <t>JONALD CRIS</t>
  </si>
  <si>
    <t>DORANDIL</t>
  </si>
  <si>
    <t>GERONIMO</t>
  </si>
  <si>
    <t>LERIAS</t>
  </si>
  <si>
    <t>COLIT</t>
  </si>
  <si>
    <t>LALAY</t>
  </si>
  <si>
    <t>GUMBAS</t>
  </si>
  <si>
    <t>MAGMAG</t>
  </si>
  <si>
    <t>RENSI</t>
  </si>
  <si>
    <t>INDANUM</t>
  </si>
  <si>
    <t>MORRIS</t>
  </si>
  <si>
    <t>LADJAHALI</t>
  </si>
  <si>
    <t>KAMARIA</t>
  </si>
  <si>
    <t>ENNNI</t>
  </si>
  <si>
    <t>WANGYO</t>
  </si>
  <si>
    <t>HASIM</t>
  </si>
  <si>
    <t>JAMASALI</t>
  </si>
  <si>
    <t>LIPUNAN</t>
  </si>
  <si>
    <t>SALI</t>
  </si>
  <si>
    <t>KASIM</t>
  </si>
  <si>
    <t>DODONG</t>
  </si>
  <si>
    <t>ANGAS</t>
  </si>
  <si>
    <t>MAKAHELEG</t>
  </si>
  <si>
    <t>ALCANI</t>
  </si>
  <si>
    <t>MISTERO</t>
  </si>
  <si>
    <t>JEMEZIER</t>
  </si>
  <si>
    <t>NAMOC</t>
  </si>
  <si>
    <t>AMBON</t>
  </si>
  <si>
    <t>GUSTAM</t>
  </si>
  <si>
    <t>ANALY</t>
  </si>
  <si>
    <t>DEPEDRO</t>
  </si>
  <si>
    <t>RACE</t>
  </si>
  <si>
    <t>DE PEDRO</t>
  </si>
  <si>
    <t>TAYBOL</t>
  </si>
  <si>
    <t>TAMBUYONG</t>
  </si>
  <si>
    <t>UNOS</t>
  </si>
  <si>
    <t>JOENALYN</t>
  </si>
  <si>
    <t>ROMILLO</t>
  </si>
  <si>
    <t>BARCELONA</t>
  </si>
  <si>
    <t>JOPAY</t>
  </si>
  <si>
    <t>RUSTY</t>
  </si>
  <si>
    <t>BELMONTE</t>
  </si>
  <si>
    <t>TALON</t>
  </si>
  <si>
    <t>BEATRIZ</t>
  </si>
  <si>
    <t>MAYOLA</t>
  </si>
  <si>
    <t>ALANIS</t>
  </si>
  <si>
    <t>BAYOT</t>
  </si>
  <si>
    <t>APOSAGA</t>
  </si>
  <si>
    <t>BONIFACIO</t>
  </si>
  <si>
    <t>PATALAN</t>
  </si>
  <si>
    <t>JIONES</t>
  </si>
  <si>
    <t>LIGAYA</t>
  </si>
  <si>
    <t>MANGIBAT</t>
  </si>
  <si>
    <t>AURORA</t>
  </si>
  <si>
    <t>JHABILIS</t>
  </si>
  <si>
    <t>SOLOMON</t>
  </si>
  <si>
    <t>CARCELER</t>
  </si>
  <si>
    <t>RANNY</t>
  </si>
  <si>
    <t>DAQUILA</t>
  </si>
  <si>
    <t>BRANZUELA</t>
  </si>
  <si>
    <t>CANBOD</t>
  </si>
  <si>
    <t>HESONA</t>
  </si>
  <si>
    <t>BUENAFLOR</t>
  </si>
  <si>
    <t>TESSIE</t>
  </si>
  <si>
    <t>CABEGUIN</t>
  </si>
  <si>
    <t>JANVER</t>
  </si>
  <si>
    <t>CARLITO</t>
  </si>
  <si>
    <t>TITONG</t>
  </si>
  <si>
    <t>DANASAN</t>
  </si>
  <si>
    <t>DAGSAAN</t>
  </si>
  <si>
    <t>JOIN</t>
  </si>
  <si>
    <t>ATAB</t>
  </si>
  <si>
    <t>EPIFANIA</t>
  </si>
  <si>
    <t>TINIANO</t>
  </si>
  <si>
    <t>WILCLEM</t>
  </si>
  <si>
    <t>DUMAGPI</t>
  </si>
  <si>
    <t>PELAYO</t>
  </si>
  <si>
    <t>BOTOLAN</t>
  </si>
  <si>
    <t>EDJAN</t>
  </si>
  <si>
    <t>CYRIL</t>
  </si>
  <si>
    <t>EUGENIO</t>
  </si>
  <si>
    <t>BENIGNO</t>
  </si>
  <si>
    <t>OLIVEROS</t>
  </si>
  <si>
    <t>ALIMOJANED</t>
  </si>
  <si>
    <t>ALIMUJAMED</t>
  </si>
  <si>
    <t>APRIL FATIMA</t>
  </si>
  <si>
    <t>BALAHIM</t>
  </si>
  <si>
    <t>TANATO</t>
  </si>
  <si>
    <t>ANICO</t>
  </si>
  <si>
    <t>GRANDE</t>
  </si>
  <si>
    <t>HERCULES</t>
  </si>
  <si>
    <t>MARTINICO</t>
  </si>
  <si>
    <t>GUINTOS</t>
  </si>
  <si>
    <t>LEMUEL</t>
  </si>
  <si>
    <t>LUCAS</t>
  </si>
  <si>
    <t>LACAR</t>
  </si>
  <si>
    <t>DINA</t>
  </si>
  <si>
    <t>GALLA</t>
  </si>
  <si>
    <t>LAGAN</t>
  </si>
  <si>
    <t>SUPERAL</t>
  </si>
  <si>
    <t>LEGAJE</t>
  </si>
  <si>
    <t>MAXIMO</t>
  </si>
  <si>
    <t>BAQUILLER</t>
  </si>
  <si>
    <t>MAGDASAL</t>
  </si>
  <si>
    <t>APOLONIO</t>
  </si>
  <si>
    <t>MAGUSIB</t>
  </si>
  <si>
    <t>DANTE</t>
  </si>
  <si>
    <t>ABENDAN</t>
  </si>
  <si>
    <t>BAGUIO</t>
  </si>
  <si>
    <t>HILARION</t>
  </si>
  <si>
    <t>SANTARITA</t>
  </si>
  <si>
    <t>SAGUN</t>
  </si>
  <si>
    <t>BENSABIS</t>
  </si>
  <si>
    <t>DANSALAN</t>
  </si>
  <si>
    <t>ONONGAN</t>
  </si>
  <si>
    <t>PACUNDO</t>
  </si>
  <si>
    <t>REZALIE</t>
  </si>
  <si>
    <t>DALIA</t>
  </si>
  <si>
    <t>REPIQUE</t>
  </si>
  <si>
    <t>MACION</t>
  </si>
  <si>
    <t>CRISTITA</t>
  </si>
  <si>
    <t>ESPARAR</t>
  </si>
  <si>
    <t>MERLO</t>
  </si>
  <si>
    <t>JENNELYN</t>
  </si>
  <si>
    <t>ATTANG</t>
  </si>
  <si>
    <t>ABACA</t>
  </si>
  <si>
    <t>DURIAN</t>
  </si>
  <si>
    <t>BUDIMAN</t>
  </si>
  <si>
    <t>ABAY</t>
  </si>
  <si>
    <t>BIASON</t>
  </si>
  <si>
    <t>ALMORATO</t>
  </si>
  <si>
    <t>JOMAN</t>
  </si>
  <si>
    <t>CANOL</t>
  </si>
  <si>
    <t>MARODO</t>
  </si>
  <si>
    <t>PRECY</t>
  </si>
  <si>
    <t>SENIORINO</t>
  </si>
  <si>
    <t>TABANGAW</t>
  </si>
  <si>
    <t>BETING</t>
  </si>
  <si>
    <t>MARUDO</t>
  </si>
  <si>
    <t>PULOY</t>
  </si>
  <si>
    <t>SIMAYA</t>
  </si>
  <si>
    <t>NIKEL</t>
  </si>
  <si>
    <t>MONTAL</t>
  </si>
  <si>
    <t>SONNY BOY</t>
  </si>
  <si>
    <t>MASTERO</t>
  </si>
  <si>
    <t>JUN</t>
  </si>
  <si>
    <t>ATZUELA</t>
  </si>
  <si>
    <t>MAUTAL</t>
  </si>
  <si>
    <t>JOLENA</t>
  </si>
  <si>
    <t>EMPON</t>
  </si>
  <si>
    <t>MERIN</t>
  </si>
  <si>
    <t>TINGLO</t>
  </si>
  <si>
    <t>ANLAN</t>
  </si>
  <si>
    <t>ALAYYA</t>
  </si>
  <si>
    <t>JAPAL</t>
  </si>
  <si>
    <t>AIKIE</t>
  </si>
  <si>
    <t>LOUIE</t>
  </si>
  <si>
    <t>AGUSTINA</t>
  </si>
  <si>
    <t>SUMANGA</t>
  </si>
  <si>
    <t>TERRY</t>
  </si>
  <si>
    <t>ESTE</t>
  </si>
  <si>
    <t>ARES</t>
  </si>
  <si>
    <t>BOKTOT</t>
  </si>
  <si>
    <t>SANGLITO</t>
  </si>
  <si>
    <t>ASNAGUI</t>
  </si>
  <si>
    <t>RUDOLFO</t>
  </si>
  <si>
    <t>ATSUELA</t>
  </si>
  <si>
    <t>RODEL</t>
  </si>
  <si>
    <t>ASTON</t>
  </si>
  <si>
    <t>MARCELO</t>
  </si>
  <si>
    <t>KALINKIN</t>
  </si>
  <si>
    <t>ATAD</t>
  </si>
  <si>
    <t>RONNIE</t>
  </si>
  <si>
    <t>LIDAYAN</t>
  </si>
  <si>
    <t>LENLITA</t>
  </si>
  <si>
    <t>RANSAWI</t>
  </si>
  <si>
    <t>SARIOL</t>
  </si>
  <si>
    <t>ALFIE</t>
  </si>
  <si>
    <t>PUYONG</t>
  </si>
  <si>
    <t>AWADI</t>
  </si>
  <si>
    <t>APAW</t>
  </si>
  <si>
    <t>BIKYATAN</t>
  </si>
  <si>
    <t>AWAY</t>
  </si>
  <si>
    <t>RONILO</t>
  </si>
  <si>
    <t>VICENTA</t>
  </si>
  <si>
    <t>OBINA</t>
  </si>
  <si>
    <t>CABATIC</t>
  </si>
  <si>
    <t>NK 5017</t>
  </si>
  <si>
    <t>CABOKTOLAN</t>
  </si>
  <si>
    <t>CALUGAS</t>
  </si>
  <si>
    <t>MARK</t>
  </si>
  <si>
    <t>PRADO</t>
  </si>
  <si>
    <t>ARLY</t>
  </si>
  <si>
    <t>OBSANGA</t>
  </si>
  <si>
    <t>RESTITUTO</t>
  </si>
  <si>
    <t>CAGAYAN</t>
  </si>
  <si>
    <t>INSANG</t>
  </si>
  <si>
    <t>MONCATAR</t>
  </si>
  <si>
    <t>KILEM</t>
  </si>
  <si>
    <t>DUMARAN</t>
  </si>
  <si>
    <t>LAMANILAO</t>
  </si>
  <si>
    <t>nk5017</t>
  </si>
  <si>
    <t>MUSANG</t>
  </si>
  <si>
    <t>SEGUNDO</t>
  </si>
  <si>
    <t>RALA</t>
  </si>
  <si>
    <t>MADIA</t>
  </si>
  <si>
    <t>JANIRON</t>
  </si>
  <si>
    <t>SALINAN</t>
  </si>
  <si>
    <t>MADJE</t>
  </si>
  <si>
    <t>SEPLITA</t>
  </si>
  <si>
    <t>MALASGAY</t>
  </si>
  <si>
    <t>LODINAN</t>
  </si>
  <si>
    <t>PANTANGAN</t>
  </si>
  <si>
    <t>RONALD</t>
  </si>
  <si>
    <t>NOLIDO</t>
  </si>
  <si>
    <t>MALINAO</t>
  </si>
  <si>
    <t>VENSON</t>
  </si>
  <si>
    <t>SUMBILING</t>
  </si>
  <si>
    <t>LAGSIK</t>
  </si>
  <si>
    <t>LUCITO</t>
  </si>
  <si>
    <t>OSE</t>
  </si>
  <si>
    <t>OBINO</t>
  </si>
  <si>
    <t>INLANG</t>
  </si>
  <si>
    <t>ERSINA</t>
  </si>
  <si>
    <t>ABREN</t>
  </si>
  <si>
    <t>SUNGDUAN</t>
  </si>
  <si>
    <t>UNI</t>
  </si>
  <si>
    <t>DORINCIO</t>
  </si>
  <si>
    <t>WILSON</t>
  </si>
  <si>
    <t>OPEN</t>
  </si>
  <si>
    <t>ROMENIA</t>
  </si>
  <si>
    <t>NORILYN</t>
  </si>
  <si>
    <t>ADARAY</t>
  </si>
  <si>
    <t>BATCHIE</t>
  </si>
  <si>
    <t>BATSI</t>
  </si>
  <si>
    <t>ROSE</t>
  </si>
  <si>
    <t>BELARDE</t>
  </si>
  <si>
    <t>JAY ALLAN</t>
  </si>
  <si>
    <t>MAGALONA</t>
  </si>
  <si>
    <t>CABIGON</t>
  </si>
  <si>
    <t>LAURO</t>
  </si>
  <si>
    <t>SINAHID</t>
  </si>
  <si>
    <t>CABRERA</t>
  </si>
  <si>
    <t>BURO</t>
  </si>
  <si>
    <t>BENNY</t>
  </si>
  <si>
    <t>MATIO</t>
  </si>
  <si>
    <t>MINIS</t>
  </si>
  <si>
    <t>DENERSON</t>
  </si>
  <si>
    <t>ALDIN</t>
  </si>
  <si>
    <t>MADJELI</t>
  </si>
  <si>
    <t>ABREA</t>
  </si>
  <si>
    <t>CEZAR</t>
  </si>
  <si>
    <t>ROSIE</t>
  </si>
  <si>
    <t>JOSEPH</t>
  </si>
  <si>
    <t>BASAL</t>
  </si>
  <si>
    <t>DAWAAN</t>
  </si>
  <si>
    <t>EDMUND</t>
  </si>
  <si>
    <t>SULATORIO</t>
  </si>
  <si>
    <t>DEPADUA</t>
  </si>
  <si>
    <t>MAURICIO</t>
  </si>
  <si>
    <t>PARENAS</t>
  </si>
  <si>
    <t>WENEFREDO</t>
  </si>
  <si>
    <t>REBECCA</t>
  </si>
  <si>
    <t>MENO</t>
  </si>
  <si>
    <t>INTAB</t>
  </si>
  <si>
    <t>OSEDIN</t>
  </si>
  <si>
    <t>KIYAB</t>
  </si>
  <si>
    <t>PELTINA</t>
  </si>
  <si>
    <t>EDING</t>
  </si>
  <si>
    <t>LIGO</t>
  </si>
  <si>
    <t>JUN JUN</t>
  </si>
  <si>
    <t>GILANUN</t>
  </si>
  <si>
    <t>LIYAW</t>
  </si>
  <si>
    <t>FELVIN</t>
  </si>
  <si>
    <t>MAGDAYAO</t>
  </si>
  <si>
    <t>NAIT</t>
  </si>
  <si>
    <t>SITIYO</t>
  </si>
  <si>
    <t>MAJORING</t>
  </si>
  <si>
    <t>ABDON</t>
  </si>
  <si>
    <t>ADDAN</t>
  </si>
  <si>
    <t>ANZON</t>
  </si>
  <si>
    <t>MANDIHO</t>
  </si>
  <si>
    <t>NORJEN</t>
  </si>
  <si>
    <t>JAN-JAN</t>
  </si>
  <si>
    <t>MANDIJO</t>
  </si>
  <si>
    <t>KIM</t>
  </si>
  <si>
    <t>KIAB</t>
  </si>
  <si>
    <t>JOMRATE</t>
  </si>
  <si>
    <t>MAYPA</t>
  </si>
  <si>
    <t>SEDANG</t>
  </si>
  <si>
    <t>TANTALI</t>
  </si>
  <si>
    <t>MENTARO</t>
  </si>
  <si>
    <t>JHUN</t>
  </si>
  <si>
    <t>LUMANA</t>
  </si>
  <si>
    <t>MISTE</t>
  </si>
  <si>
    <t>MODJE</t>
  </si>
  <si>
    <t>SAMSARIA</t>
  </si>
  <si>
    <t>BERTITO</t>
  </si>
  <si>
    <t>PANLANG</t>
  </si>
  <si>
    <t>JING</t>
  </si>
  <si>
    <t>OSMAN</t>
  </si>
  <si>
    <t>BOBEN</t>
  </si>
  <si>
    <t>UTARA</t>
  </si>
  <si>
    <t>SALISI</t>
  </si>
  <si>
    <t>ALKIN</t>
  </si>
  <si>
    <t>UTAY</t>
  </si>
  <si>
    <t>OBET</t>
  </si>
  <si>
    <t>OTAY</t>
  </si>
  <si>
    <t>JENEL</t>
  </si>
  <si>
    <t>SIMPONAN</t>
  </si>
  <si>
    <t>JERRY</t>
  </si>
  <si>
    <t>SINUNA</t>
  </si>
  <si>
    <t>TABANGAO</t>
  </si>
  <si>
    <t>DOWELL</t>
  </si>
  <si>
    <t>TALAME</t>
  </si>
  <si>
    <t>SALAYAN</t>
  </si>
  <si>
    <t>PEPE</t>
  </si>
  <si>
    <t>ROFENO</t>
  </si>
  <si>
    <t>SANNYBOY</t>
  </si>
  <si>
    <t>TUWALI</t>
  </si>
  <si>
    <t>DERMAN</t>
  </si>
  <si>
    <t>JAPEN</t>
  </si>
  <si>
    <t>as of Jan 31, 2026</t>
  </si>
  <si>
    <t>f</t>
  </si>
  <si>
    <t>CRUZ</t>
  </si>
  <si>
    <t>ALVAREZ</t>
  </si>
  <si>
    <t>BRADY</t>
  </si>
  <si>
    <t>BOLHANIE</t>
  </si>
  <si>
    <t>LORENA</t>
  </si>
  <si>
    <t>BESCANO</t>
  </si>
  <si>
    <t>LOBIRIO</t>
  </si>
  <si>
    <t>LABIT</t>
  </si>
  <si>
    <t>JOSEPHINE</t>
  </si>
  <si>
    <t>DUGADUGA</t>
  </si>
  <si>
    <t>ROWIE</t>
  </si>
  <si>
    <t>MARIKIEL</t>
  </si>
  <si>
    <t>LENIO</t>
  </si>
  <si>
    <t>JOVITO</t>
  </si>
  <si>
    <t>QUNMADO</t>
  </si>
  <si>
    <t>OPINA</t>
  </si>
  <si>
    <t>ANGELITO</t>
  </si>
  <si>
    <t>BELTRAN</t>
  </si>
  <si>
    <t>CATALOGO</t>
  </si>
  <si>
    <t>T.</t>
  </si>
  <si>
    <t>CLARITA</t>
  </si>
  <si>
    <t>LAMPAGO</t>
  </si>
  <si>
    <t>MAGELINA</t>
  </si>
  <si>
    <t>LOURDES</t>
  </si>
  <si>
    <t>PRASIO</t>
  </si>
  <si>
    <t>DALDE</t>
  </si>
  <si>
    <t>SINOY</t>
  </si>
  <si>
    <t>JAY-R</t>
  </si>
  <si>
    <t>NMN</t>
  </si>
  <si>
    <t>TUKARAN</t>
  </si>
  <si>
    <t>GILDO</t>
  </si>
  <si>
    <t>ANGONA</t>
  </si>
  <si>
    <t>TALLA</t>
  </si>
  <si>
    <t>JUANITO</t>
  </si>
  <si>
    <t>ESPLANA</t>
  </si>
  <si>
    <t>RAFFIE</t>
  </si>
  <si>
    <t>FABRIGAS</t>
  </si>
  <si>
    <t>CHERYL</t>
  </si>
  <si>
    <t>WELLIE</t>
  </si>
  <si>
    <t>CABOTIG</t>
  </si>
  <si>
    <t>HERBERT</t>
  </si>
  <si>
    <t>DUMA O</t>
  </si>
  <si>
    <t>ALEGRE</t>
  </si>
  <si>
    <t>JONTILANO</t>
  </si>
  <si>
    <t>ESNELIA</t>
  </si>
  <si>
    <t>SHERYL</t>
  </si>
  <si>
    <t>NALDA</t>
  </si>
  <si>
    <t>PALUAY</t>
  </si>
  <si>
    <t>SHEINAMAE GAY</t>
  </si>
  <si>
    <t>LLORITO</t>
  </si>
  <si>
    <t>JESSIEHM</t>
  </si>
  <si>
    <t>JULIE FE</t>
  </si>
  <si>
    <t>PANIS</t>
  </si>
  <si>
    <t>FERIA</t>
  </si>
  <si>
    <t>MACARIO</t>
  </si>
  <si>
    <t>MARISSA</t>
  </si>
  <si>
    <t>ROSS</t>
  </si>
  <si>
    <t>CHRISTOPHER</t>
  </si>
  <si>
    <t>TOLAN</t>
  </si>
  <si>
    <t>ODE</t>
  </si>
  <si>
    <t>TAMBIS</t>
  </si>
  <si>
    <t>LORENZO</t>
  </si>
  <si>
    <t>TOMESA</t>
  </si>
  <si>
    <t>RONEL</t>
  </si>
  <si>
    <t>KAPONG</t>
  </si>
  <si>
    <t>TORONG</t>
  </si>
  <si>
    <t>DON VIER</t>
  </si>
  <si>
    <t>ROSTIA</t>
  </si>
  <si>
    <t>JOANS</t>
  </si>
  <si>
    <t>SALINGUHAY</t>
  </si>
  <si>
    <t>ABA</t>
  </si>
  <si>
    <t>LEO</t>
  </si>
  <si>
    <t>ABELLON</t>
  </si>
  <si>
    <t>EFRENIA</t>
  </si>
  <si>
    <t>CAGAS</t>
  </si>
  <si>
    <t>AGUILAR</t>
  </si>
  <si>
    <t>JOFFREY</t>
  </si>
  <si>
    <t>TABUENA</t>
  </si>
  <si>
    <t>MELY</t>
  </si>
  <si>
    <t>BEVERLY</t>
  </si>
  <si>
    <t>BUAYA</t>
  </si>
  <si>
    <t>ALAGOS</t>
  </si>
  <si>
    <t>REMENTILLA</t>
  </si>
  <si>
    <t>GALA</t>
  </si>
  <si>
    <t>LIBRE</t>
  </si>
  <si>
    <t>ALONSABE</t>
  </si>
  <si>
    <t>BONGBONG</t>
  </si>
  <si>
    <t>NIGONG</t>
  </si>
  <si>
    <t>AMNGAN</t>
  </si>
  <si>
    <t>RODGER</t>
  </si>
  <si>
    <t>JANITO</t>
  </si>
  <si>
    <t>DAYAWAN</t>
  </si>
  <si>
    <t>ATO</t>
  </si>
  <si>
    <t>DERNITO</t>
  </si>
  <si>
    <t>LEGPOS</t>
  </si>
  <si>
    <t>BANGGOR</t>
  </si>
  <si>
    <t>GERLITO</t>
  </si>
  <si>
    <t>CALOG</t>
  </si>
  <si>
    <t>JEMHIL</t>
  </si>
  <si>
    <t>MONSERAT</t>
  </si>
  <si>
    <t>BRINDIRA</t>
  </si>
  <si>
    <t>BERRY</t>
  </si>
  <si>
    <t>BLAS</t>
  </si>
  <si>
    <t>JAMILIE</t>
  </si>
  <si>
    <t>ROSELYN</t>
  </si>
  <si>
    <t>BURAC</t>
  </si>
  <si>
    <t>COSME</t>
  </si>
  <si>
    <t>ABENOJA</t>
  </si>
  <si>
    <t>COLONIA</t>
  </si>
  <si>
    <t>PAYOS</t>
  </si>
  <si>
    <t>DURO</t>
  </si>
  <si>
    <t>ANGELITA</t>
  </si>
  <si>
    <t>ROPYO</t>
  </si>
  <si>
    <t>SANDELAN</t>
  </si>
  <si>
    <t>DINO</t>
  </si>
  <si>
    <t>TUMANAN</t>
  </si>
  <si>
    <t>DIEGO</t>
  </si>
  <si>
    <t>MIGUEL</t>
  </si>
  <si>
    <t>CANUTO</t>
  </si>
  <si>
    <t>ENGRACIA</t>
  </si>
  <si>
    <t>HANIBAL</t>
  </si>
  <si>
    <t>AIDA</t>
  </si>
  <si>
    <t>PANGILINAN</t>
  </si>
  <si>
    <t>DUMLAO</t>
  </si>
  <si>
    <t>YOLANDO</t>
  </si>
  <si>
    <t>OBILLO</t>
  </si>
  <si>
    <t>ECHALAS</t>
  </si>
  <si>
    <t>JONNEDY</t>
  </si>
  <si>
    <t>BALLESTEROS</t>
  </si>
  <si>
    <t>BAYONETA</t>
  </si>
  <si>
    <t>ELDO</t>
  </si>
  <si>
    <t>RC 219</t>
  </si>
  <si>
    <t>AJMER</t>
  </si>
  <si>
    <t>RC 220</t>
  </si>
  <si>
    <t>JUDITH</t>
  </si>
  <si>
    <t>GRUZALES</t>
  </si>
  <si>
    <t>ELLAGA</t>
  </si>
  <si>
    <t>ERIMAN</t>
  </si>
  <si>
    <t>CRISOS</t>
  </si>
  <si>
    <t>BOCQUIA</t>
  </si>
  <si>
    <t>PABILA</t>
  </si>
  <si>
    <t>MAMERTO</t>
  </si>
  <si>
    <t>OTILLA</t>
  </si>
  <si>
    <t>AURELIO</t>
  </si>
  <si>
    <t>FREDELUCES</t>
  </si>
  <si>
    <t>ZACARIAS</t>
  </si>
  <si>
    <t>GUILAKAN</t>
  </si>
  <si>
    <t>LIGPOS</t>
  </si>
  <si>
    <t>MAXINE</t>
  </si>
  <si>
    <t>JAMO-AY</t>
  </si>
  <si>
    <t>GANDO</t>
  </si>
  <si>
    <t>GATUCAO</t>
  </si>
  <si>
    <t>GLECERIO</t>
  </si>
  <si>
    <t>MERLY</t>
  </si>
  <si>
    <t>BAJA</t>
  </si>
  <si>
    <t>LEONILO</t>
  </si>
  <si>
    <t>SARIME</t>
  </si>
  <si>
    <t>JAWARI</t>
  </si>
  <si>
    <t>ELSA</t>
  </si>
  <si>
    <t>SUMAGA</t>
  </si>
  <si>
    <t>JUBILAN</t>
  </si>
  <si>
    <t>APRIL GRACE</t>
  </si>
  <si>
    <t>REGENCIA</t>
  </si>
  <si>
    <t>LOGATOC</t>
  </si>
  <si>
    <t>DIONISIA</t>
  </si>
  <si>
    <t>LARICAN</t>
  </si>
  <si>
    <t>ELMA</t>
  </si>
  <si>
    <t>MACAHIPAY</t>
  </si>
  <si>
    <t>CRIEZAYRA</t>
  </si>
  <si>
    <t>MANGARIN</t>
  </si>
  <si>
    <t>BODDEMAN</t>
  </si>
  <si>
    <t>DADAY</t>
  </si>
  <si>
    <t>MATARIA</t>
  </si>
  <si>
    <t>JOCEL</t>
  </si>
  <si>
    <t>LEGASPI</t>
  </si>
  <si>
    <t>JUVAN</t>
  </si>
  <si>
    <t>GARNICA</t>
  </si>
  <si>
    <t>TUANDA</t>
  </si>
  <si>
    <t>ALDRIN</t>
  </si>
  <si>
    <t>LAO</t>
  </si>
  <si>
    <t>RAGONTON</t>
  </si>
  <si>
    <t>PINEDA</t>
  </si>
  <si>
    <t>as of Feb 15, 2026</t>
  </si>
  <si>
    <t>as of Feb 15</t>
  </si>
  <si>
    <t>EMMANUEL</t>
  </si>
  <si>
    <t>MABINI</t>
  </si>
  <si>
    <t>ARREGLADO</t>
  </si>
  <si>
    <t>JOHN PAUL</t>
  </si>
  <si>
    <t>ATAWI</t>
  </si>
  <si>
    <t>ABORDAJE</t>
  </si>
  <si>
    <t>AHINGGA</t>
  </si>
  <si>
    <t>DUMIO</t>
  </si>
  <si>
    <t>ABENIO</t>
  </si>
  <si>
    <t>VERONICA</t>
  </si>
  <si>
    <t>RIEZAGENE</t>
  </si>
  <si>
    <t>JULIVERT</t>
  </si>
  <si>
    <t>GAJO</t>
  </si>
  <si>
    <t>GEANGA</t>
  </si>
  <si>
    <t>ARJIE</t>
  </si>
  <si>
    <t>CURTIZ</t>
  </si>
  <si>
    <t>ACEBEZ</t>
  </si>
  <si>
    <t>SARCINA</t>
  </si>
  <si>
    <t>CRISLETA</t>
  </si>
  <si>
    <t>RENAMNAM</t>
  </si>
  <si>
    <t>JERICK</t>
  </si>
  <si>
    <t>HARDEN</t>
  </si>
  <si>
    <t>ENGELBERT</t>
  </si>
  <si>
    <t>CABILI</t>
  </si>
  <si>
    <t>LASCONIA</t>
  </si>
  <si>
    <t>RUELAN</t>
  </si>
  <si>
    <t>LUMPOT</t>
  </si>
  <si>
    <t>MISAL</t>
  </si>
  <si>
    <t>JENEFER</t>
  </si>
  <si>
    <t>RIC</t>
  </si>
  <si>
    <t>MANDY</t>
  </si>
  <si>
    <t>RICO</t>
  </si>
  <si>
    <t>SALAM</t>
  </si>
  <si>
    <t>ADIA</t>
  </si>
  <si>
    <t>ASAN</t>
  </si>
  <si>
    <t>ARGUELLES</t>
  </si>
  <si>
    <t>MAMOD</t>
  </si>
  <si>
    <t>AYOB</t>
  </si>
  <si>
    <t>NORPIN</t>
  </si>
  <si>
    <t>ESONG</t>
  </si>
  <si>
    <t>PLAZA</t>
  </si>
  <si>
    <t>TELESFORO</t>
  </si>
  <si>
    <t>BUNGALSO</t>
  </si>
  <si>
    <t>FELICIDAD</t>
  </si>
  <si>
    <t>MERIEL</t>
  </si>
  <si>
    <t>CASABAR</t>
  </si>
  <si>
    <t>NAPSAYA</t>
  </si>
  <si>
    <t>THRISHA MAE</t>
  </si>
  <si>
    <t>ZANDRO</t>
  </si>
  <si>
    <t>LACORTE</t>
  </si>
  <si>
    <t>ESTIMO</t>
  </si>
  <si>
    <t>GODFREY</t>
  </si>
  <si>
    <t>PRESTO</t>
  </si>
  <si>
    <t>CAPOCONG</t>
  </si>
  <si>
    <t>JUAB</t>
  </si>
  <si>
    <t>DIOSO</t>
  </si>
  <si>
    <t>AMPONE</t>
  </si>
  <si>
    <t>ABRINA</t>
  </si>
  <si>
    <t>RONNIEL</t>
  </si>
  <si>
    <t>FEDALIZO</t>
  </si>
  <si>
    <t>RIZAL</t>
  </si>
  <si>
    <t>IRENE</t>
  </si>
  <si>
    <t>M.</t>
  </si>
  <si>
    <t>JADE</t>
  </si>
  <si>
    <t>CUELLO</t>
  </si>
  <si>
    <t>SITTI RANA</t>
  </si>
  <si>
    <t>HARON</t>
  </si>
  <si>
    <t>DELING</t>
  </si>
  <si>
    <t>MARINSEL</t>
  </si>
  <si>
    <t>EZ8433</t>
  </si>
  <si>
    <t>LEQUIN</t>
  </si>
  <si>
    <t>MINGABON</t>
  </si>
  <si>
    <t>SITTI SARAH</t>
  </si>
  <si>
    <t>MINULLA</t>
  </si>
  <si>
    <t>GUNDAO</t>
  </si>
  <si>
    <t>GUILLER</t>
  </si>
  <si>
    <t>TUPAL</t>
  </si>
  <si>
    <t>ELIJAN</t>
  </si>
  <si>
    <t>CHARLEMEN</t>
  </si>
  <si>
    <t>ACIBRON</t>
  </si>
  <si>
    <t>ALEPIOSA</t>
  </si>
  <si>
    <t>MAHAMOD</t>
  </si>
  <si>
    <t>SUYONG</t>
  </si>
  <si>
    <t>ALHARE</t>
  </si>
  <si>
    <t>AIDABEL</t>
  </si>
  <si>
    <t>LAGUNAY</t>
  </si>
  <si>
    <t>CHARLENE</t>
  </si>
  <si>
    <t>MERILYN</t>
  </si>
  <si>
    <t>MONCHING</t>
  </si>
  <si>
    <t>CAJOLO</t>
  </si>
  <si>
    <t>BULAWAN</t>
  </si>
  <si>
    <t>CAMOT</t>
  </si>
  <si>
    <t>ELBERT</t>
  </si>
  <si>
    <t>FARILA</t>
  </si>
  <si>
    <t>NORMA</t>
  </si>
  <si>
    <t>FRESNILLIO</t>
  </si>
  <si>
    <t>EMMA</t>
  </si>
  <si>
    <t>NEOVIE</t>
  </si>
  <si>
    <t>MARIVIC</t>
  </si>
  <si>
    <t>PUIG</t>
  </si>
  <si>
    <t>CABATO</t>
  </si>
  <si>
    <t>ROGELINA</t>
  </si>
  <si>
    <t>AMELINA</t>
  </si>
  <si>
    <t>BINANA</t>
  </si>
  <si>
    <t>RONILA</t>
  </si>
  <si>
    <t>DIOSDADO</t>
  </si>
  <si>
    <t>HILODIALA</t>
  </si>
  <si>
    <t>MACAHILOS</t>
  </si>
  <si>
    <t>GOERGE</t>
  </si>
  <si>
    <t>DANNY</t>
  </si>
  <si>
    <t>CABOSAS</t>
  </si>
  <si>
    <t>JUANITAS</t>
  </si>
  <si>
    <t>JORELYN</t>
  </si>
  <si>
    <t>NALE</t>
  </si>
  <si>
    <t>JAKARIA</t>
  </si>
  <si>
    <t>LENNIE</t>
  </si>
  <si>
    <t>BERMIUDEZ</t>
  </si>
  <si>
    <t>ELIGIO</t>
  </si>
  <si>
    <t>PARANGUE</t>
  </si>
  <si>
    <t>SHERLY</t>
  </si>
  <si>
    <t>DIANNE</t>
  </si>
  <si>
    <t>SEGURITAN</t>
  </si>
  <si>
    <t>PURITA</t>
  </si>
  <si>
    <t>RENIE BOY</t>
  </si>
  <si>
    <t>SUICO</t>
  </si>
  <si>
    <t>RICHIE</t>
  </si>
  <si>
    <t>CARVAJAL</t>
  </si>
  <si>
    <t>ALIOS</t>
  </si>
  <si>
    <t>TALAK</t>
  </si>
  <si>
    <t>MA THERESA</t>
  </si>
  <si>
    <t>WELFREDO</t>
  </si>
  <si>
    <t>WAGAS</t>
  </si>
  <si>
    <t>ARQUILLES</t>
  </si>
  <si>
    <t>TRASPORTE</t>
  </si>
  <si>
    <t>REJEN</t>
  </si>
  <si>
    <t>TUMPAG</t>
  </si>
  <si>
    <t>MA CECILIA</t>
  </si>
  <si>
    <t>ULARTE</t>
  </si>
  <si>
    <t>VENTURILLO</t>
  </si>
  <si>
    <t>TRAYPALGAR</t>
  </si>
  <si>
    <t>MELANIE</t>
  </si>
  <si>
    <t>ONLAGANDA</t>
  </si>
  <si>
    <t>ABEL</t>
  </si>
  <si>
    <t>ROEL</t>
  </si>
  <si>
    <t>ROY ROY</t>
  </si>
  <si>
    <t>ALLAGA</t>
  </si>
  <si>
    <t>VINCENT</t>
  </si>
  <si>
    <t>ALWALID</t>
  </si>
  <si>
    <t>MELICIO</t>
  </si>
  <si>
    <t>ANLAP</t>
  </si>
  <si>
    <t>DANLY</t>
  </si>
  <si>
    <t>ANSIONG</t>
  </si>
  <si>
    <t>BOGA</t>
  </si>
  <si>
    <t>ANTOT</t>
  </si>
  <si>
    <t>DEQ</t>
  </si>
  <si>
    <t>JULFO</t>
  </si>
  <si>
    <t>MOGTOM</t>
  </si>
  <si>
    <t>BONGORAN</t>
  </si>
  <si>
    <t>TOMAS</t>
  </si>
  <si>
    <t>NIPANIPA</t>
  </si>
  <si>
    <t>ROSALDO</t>
  </si>
  <si>
    <t>NAVARO</t>
  </si>
  <si>
    <t>CALARION</t>
  </si>
  <si>
    <t>CALOPEZ</t>
  </si>
  <si>
    <t>SUSANO</t>
  </si>
  <si>
    <t>GARGANIRA</t>
  </si>
  <si>
    <t>PRINCES LYRA</t>
  </si>
  <si>
    <t>CORNEJO</t>
  </si>
  <si>
    <t>GENELYN</t>
  </si>
  <si>
    <t>DECHIMO</t>
  </si>
  <si>
    <t>PATATAG</t>
  </si>
  <si>
    <t>ROBELYN</t>
  </si>
  <si>
    <t>PANGGE</t>
  </si>
  <si>
    <t>DEMAYO</t>
  </si>
  <si>
    <t>JEMSON</t>
  </si>
  <si>
    <t>PASCILIO</t>
  </si>
  <si>
    <t>ERICK</t>
  </si>
  <si>
    <t>JULIAN</t>
  </si>
  <si>
    <t>EMY</t>
  </si>
  <si>
    <t>CEBUANO</t>
  </si>
  <si>
    <t>CARBAJOSA</t>
  </si>
  <si>
    <t>LLADA</t>
  </si>
  <si>
    <t>ZALDY</t>
  </si>
  <si>
    <t>LONDRES</t>
  </si>
  <si>
    <t>DOLORES</t>
  </si>
  <si>
    <t>MONTEVILLA</t>
  </si>
  <si>
    <t>GITJAR</t>
  </si>
  <si>
    <t>SALVACION</t>
  </si>
  <si>
    <t>ADOL</t>
  </si>
  <si>
    <t>MANONGSONG</t>
  </si>
  <si>
    <t>PARADIRO</t>
  </si>
  <si>
    <t>IAN DEL</t>
  </si>
  <si>
    <t>SARZUELA</t>
  </si>
  <si>
    <t>PASCUAL</t>
  </si>
  <si>
    <t>RETCHIE</t>
  </si>
  <si>
    <t>PAULO</t>
  </si>
  <si>
    <t>TOLINGGO</t>
  </si>
  <si>
    <t>SAMBAY</t>
  </si>
  <si>
    <t>JOLINO</t>
  </si>
  <si>
    <t>MEDE</t>
  </si>
  <si>
    <t>RAMIL</t>
  </si>
  <si>
    <t>ALONZO</t>
  </si>
  <si>
    <t>SUALOG</t>
  </si>
  <si>
    <t>ARMAN</t>
  </si>
  <si>
    <t>BUYOK</t>
  </si>
  <si>
    <t>ARNOLD</t>
  </si>
  <si>
    <t>SARLITO</t>
  </si>
  <si>
    <t>MAOD</t>
  </si>
  <si>
    <t>TAWADI</t>
  </si>
  <si>
    <t>TETO</t>
  </si>
  <si>
    <t>TISURERO</t>
  </si>
  <si>
    <t>BAKERIN</t>
  </si>
  <si>
    <t>GIO</t>
  </si>
  <si>
    <t>TOQUIRRE</t>
  </si>
  <si>
    <t>RANDOLFO</t>
  </si>
  <si>
    <t>TUISA</t>
  </si>
  <si>
    <t>DAHLIA</t>
  </si>
  <si>
    <t>JHON RAY</t>
  </si>
  <si>
    <t>LEONCIO</t>
  </si>
  <si>
    <t>VILLEZA</t>
  </si>
  <si>
    <t>FAJARDO</t>
  </si>
  <si>
    <t>MAILYN</t>
  </si>
  <si>
    <t>ZABALO</t>
  </si>
  <si>
    <t>JANET</t>
  </si>
  <si>
    <t>ALBIOSO</t>
  </si>
  <si>
    <t>DIONESIA</t>
  </si>
  <si>
    <t>ALFUERTO</t>
  </si>
  <si>
    <t>MENDRES</t>
  </si>
  <si>
    <t>PILAR</t>
  </si>
  <si>
    <t>ESPADILLA</t>
  </si>
  <si>
    <t>CARMEN</t>
  </si>
  <si>
    <t>ARBADO</t>
  </si>
  <si>
    <t>MANALO</t>
  </si>
  <si>
    <t>ARCABAL</t>
  </si>
  <si>
    <t>EVANGELENE</t>
  </si>
  <si>
    <t>LEONARD</t>
  </si>
  <si>
    <t>JENYREPERS</t>
  </si>
  <si>
    <t>LACADMAN</t>
  </si>
  <si>
    <t>BARDOC</t>
  </si>
  <si>
    <t>MARY JOY</t>
  </si>
  <si>
    <t>DALUMPINIS</t>
  </si>
  <si>
    <t>BIONGAN</t>
  </si>
  <si>
    <t>LIRA</t>
  </si>
  <si>
    <t>PAZ</t>
  </si>
  <si>
    <t>MANLAPAO</t>
  </si>
  <si>
    <t>CUERVO</t>
  </si>
  <si>
    <t>NOLIEMER</t>
  </si>
  <si>
    <t>MAQUINLY</t>
  </si>
  <si>
    <t>JUNE</t>
  </si>
  <si>
    <t>PAGALAWAN</t>
  </si>
  <si>
    <t>ELISAN</t>
  </si>
  <si>
    <t>LEONITA</t>
  </si>
  <si>
    <t>SUMOGAT</t>
  </si>
  <si>
    <t>ANER</t>
  </si>
  <si>
    <t>BARAIM</t>
  </si>
  <si>
    <t>EVERLYN</t>
  </si>
  <si>
    <t>GAGA-A</t>
  </si>
  <si>
    <t>AMBO</t>
  </si>
  <si>
    <t>JOEFFREY</t>
  </si>
  <si>
    <t>INDAB</t>
  </si>
  <si>
    <t>NARANJO</t>
  </si>
  <si>
    <t>BATIANCILA</t>
  </si>
  <si>
    <t>HOQUITON</t>
  </si>
  <si>
    <t>PANALIGAN</t>
  </si>
  <si>
    <t>CADAPAN</t>
  </si>
  <si>
    <t>JABAYBAY</t>
  </si>
  <si>
    <t>LALUNA</t>
  </si>
  <si>
    <t>ABAPO</t>
  </si>
  <si>
    <t>LARAYA</t>
  </si>
  <si>
    <t>RONQUILLO</t>
  </si>
  <si>
    <t>BERNADEZ</t>
  </si>
  <si>
    <t>THELMA</t>
  </si>
  <si>
    <t>LEOTILLA</t>
  </si>
  <si>
    <t>JOANN</t>
  </si>
  <si>
    <t>CHRISTOPER</t>
  </si>
  <si>
    <t>CECILIA</t>
  </si>
  <si>
    <t>NONITO</t>
  </si>
  <si>
    <t>LUDOG</t>
  </si>
  <si>
    <t>MAGSULAO</t>
  </si>
  <si>
    <t>ADJALI</t>
  </si>
  <si>
    <t>MAJINDAH</t>
  </si>
  <si>
    <t>MAJINDIH</t>
  </si>
  <si>
    <t>YARA</t>
  </si>
  <si>
    <t>MANALON</t>
  </si>
  <si>
    <t>JUN-JUN</t>
  </si>
  <si>
    <t>ROSITA</t>
  </si>
  <si>
    <t>DELFIN</t>
  </si>
  <si>
    <t>ORLY</t>
  </si>
  <si>
    <t>RUBY</t>
  </si>
  <si>
    <t>MEDALLA</t>
  </si>
  <si>
    <t>NEMENZO</t>
  </si>
  <si>
    <t>MALAH</t>
  </si>
  <si>
    <t>ULLAH</t>
  </si>
  <si>
    <t>OMAR</t>
  </si>
  <si>
    <t>FERLAN</t>
  </si>
  <si>
    <t>OMONG</t>
  </si>
  <si>
    <t>FELAN</t>
  </si>
  <si>
    <t>LOIDA</t>
  </si>
  <si>
    <t>ORIEL</t>
  </si>
  <si>
    <t>MERBERT</t>
  </si>
  <si>
    <t>ROLAN</t>
  </si>
  <si>
    <t>TOMAYA</t>
  </si>
  <si>
    <t>PAONER</t>
  </si>
  <si>
    <t>ANGEL</t>
  </si>
  <si>
    <t>GO</t>
  </si>
  <si>
    <t>PILAPIL</t>
  </si>
  <si>
    <t>LEBERATO</t>
  </si>
  <si>
    <t>KINLAT</t>
  </si>
  <si>
    <t>RC 152</t>
  </si>
  <si>
    <t>ROSENDO</t>
  </si>
  <si>
    <t>BENITEZ</t>
  </si>
  <si>
    <t>QUIJANO</t>
  </si>
  <si>
    <t>VITALLANO</t>
  </si>
  <si>
    <t>RIVAS</t>
  </si>
  <si>
    <t>RAVALO</t>
  </si>
  <si>
    <t>JIT LEE</t>
  </si>
  <si>
    <t>TABANGCURA</t>
  </si>
  <si>
    <t>ATONDUCAN</t>
  </si>
  <si>
    <t>REBUCAN</t>
  </si>
  <si>
    <t>CARMELITA</t>
  </si>
  <si>
    <t>WILLAM</t>
  </si>
  <si>
    <t>BORALES</t>
  </si>
  <si>
    <t>RUADO</t>
  </si>
  <si>
    <t>YBA</t>
  </si>
  <si>
    <t>RUAMAR</t>
  </si>
  <si>
    <t>RURAL</t>
  </si>
  <si>
    <t>BADDANG</t>
  </si>
  <si>
    <t>SUMAGPI</t>
  </si>
  <si>
    <t>MONTESINO</t>
  </si>
  <si>
    <t>SABLAON</t>
  </si>
  <si>
    <t>FATIMA</t>
  </si>
  <si>
    <t>MANAP</t>
  </si>
  <si>
    <t>JEREMY</t>
  </si>
  <si>
    <t>ESCALARGA</t>
  </si>
  <si>
    <t>CLAUDIO</t>
  </si>
  <si>
    <t>BAQUERAN</t>
  </si>
  <si>
    <t>BAQUIRAN</t>
  </si>
  <si>
    <t>JOAQUIN</t>
  </si>
  <si>
    <t>DADOSANO</t>
  </si>
  <si>
    <t>SOBRETODO</t>
  </si>
  <si>
    <t>VILLAMOR</t>
  </si>
  <si>
    <t>PASTORIS</t>
  </si>
  <si>
    <t>VICTORIANO</t>
  </si>
  <si>
    <t>MAGBATO</t>
  </si>
  <si>
    <t>RUDY</t>
  </si>
  <si>
    <t>EVANGELINE</t>
  </si>
  <si>
    <t>ORTIZ</t>
  </si>
  <si>
    <t>ADIYA</t>
  </si>
  <si>
    <t>VALOR</t>
  </si>
  <si>
    <t>PIODOS</t>
  </si>
  <si>
    <t>ORDEZ</t>
  </si>
  <si>
    <t>ANILYN</t>
  </si>
  <si>
    <t>QAIZAR</t>
  </si>
  <si>
    <t>SIATA</t>
  </si>
  <si>
    <t>AMI</t>
  </si>
  <si>
    <t>EMIL REY</t>
  </si>
  <si>
    <t>ONCE</t>
  </si>
  <si>
    <t>ANTENERO</t>
  </si>
  <si>
    <t>CALMANI</t>
  </si>
  <si>
    <t>GADON</t>
  </si>
  <si>
    <t>BUHAWE</t>
  </si>
  <si>
    <t>LINGGISAN</t>
  </si>
  <si>
    <t>ORDILLAS</t>
  </si>
  <si>
    <t>SANDOT</t>
  </si>
  <si>
    <t>DELA TORRE</t>
  </si>
  <si>
    <t>DEMEREN</t>
  </si>
  <si>
    <t>HISAAD</t>
  </si>
  <si>
    <t>ESNIRAIA</t>
  </si>
  <si>
    <t>MAJAHALI</t>
  </si>
  <si>
    <t>TAYA</t>
  </si>
  <si>
    <t>SAKORA</t>
  </si>
  <si>
    <t>KAWAS</t>
  </si>
  <si>
    <t>KUWANG</t>
  </si>
  <si>
    <t>DOMINO</t>
  </si>
  <si>
    <t>TADJILIN</t>
  </si>
  <si>
    <t>MOBEN</t>
  </si>
  <si>
    <t>TAMPICAO</t>
  </si>
  <si>
    <t>FELIMON</t>
  </si>
  <si>
    <t>VALDESTAMON</t>
  </si>
  <si>
    <t>REYNALD</t>
  </si>
  <si>
    <t>SAMPARAN</t>
  </si>
  <si>
    <t>GIL(abner)</t>
  </si>
  <si>
    <t>MAGLUYAN</t>
  </si>
  <si>
    <t>HIGONA</t>
  </si>
  <si>
    <t>ENRICO</t>
  </si>
  <si>
    <t>ABIAN</t>
  </si>
  <si>
    <t>VIRIGILLO</t>
  </si>
  <si>
    <t>SANO</t>
  </si>
  <si>
    <t>CARDAMA</t>
  </si>
  <si>
    <t>JUNEL</t>
  </si>
  <si>
    <t>HERNAIZ</t>
  </si>
  <si>
    <t>MATUOG</t>
  </si>
  <si>
    <t>MARK KENNETH</t>
  </si>
  <si>
    <t>JETHRO</t>
  </si>
  <si>
    <t>LABRADOR</t>
  </si>
  <si>
    <t>DEGILLO</t>
  </si>
  <si>
    <t>ARC ULYSES</t>
  </si>
  <si>
    <t>EPHRAIM JOEY</t>
  </si>
  <si>
    <t>CALASANG</t>
  </si>
  <si>
    <t>FANCUBILA</t>
  </si>
  <si>
    <t>ABO</t>
  </si>
  <si>
    <t>TABANG</t>
  </si>
  <si>
    <t>LAGROSA</t>
  </si>
  <si>
    <t>FLORGEN</t>
  </si>
  <si>
    <t>DENNIS</t>
  </si>
  <si>
    <t>ARIBAL</t>
  </si>
  <si>
    <t>MAGNIFICO</t>
  </si>
  <si>
    <t>RONELIO</t>
  </si>
  <si>
    <t>NAVARETE</t>
  </si>
  <si>
    <t>MINAW</t>
  </si>
  <si>
    <t>MERRY</t>
  </si>
  <si>
    <t>PENWELA</t>
  </si>
  <si>
    <t>SUBALDO</t>
  </si>
  <si>
    <t>WELMER</t>
  </si>
  <si>
    <t>FEDELITO</t>
  </si>
  <si>
    <t>DILLOMOS</t>
  </si>
  <si>
    <t>DELLOMOS</t>
  </si>
  <si>
    <t>VILLARUEL</t>
  </si>
  <si>
    <t>CALOHO</t>
  </si>
  <si>
    <t>AVON</t>
  </si>
  <si>
    <t>JANILLO</t>
  </si>
  <si>
    <t>ATCHINA</t>
  </si>
  <si>
    <t>CABORNAY</t>
  </si>
  <si>
    <t>UNDASI</t>
  </si>
  <si>
    <t>ATAR</t>
  </si>
  <si>
    <t>ESCAL</t>
  </si>
  <si>
    <t>TUMAY</t>
  </si>
  <si>
    <t>ELLEN</t>
  </si>
  <si>
    <t>ILANGOS</t>
  </si>
  <si>
    <t>SALCIDO</t>
  </si>
  <si>
    <t>INSIK</t>
  </si>
  <si>
    <t>TORING</t>
  </si>
  <si>
    <t>LIGITAN</t>
  </si>
  <si>
    <t>PADRINO</t>
  </si>
  <si>
    <t>ENLANG</t>
  </si>
  <si>
    <t>ROCHELLE</t>
  </si>
  <si>
    <t>LUNGCAS</t>
  </si>
  <si>
    <t>FRANKIE</t>
  </si>
  <si>
    <t>JOAYA</t>
  </si>
  <si>
    <t>LIGAWA</t>
  </si>
  <si>
    <t>MILYO</t>
  </si>
  <si>
    <t>PADYAK</t>
  </si>
  <si>
    <t>VENER</t>
  </si>
  <si>
    <t>FACTOR</t>
  </si>
  <si>
    <t>MARISON</t>
  </si>
  <si>
    <t>MAGALAY</t>
  </si>
  <si>
    <t>DORMOC</t>
  </si>
  <si>
    <t>RAMSEK</t>
  </si>
  <si>
    <t>RICKY BOY</t>
  </si>
  <si>
    <t>RURONG</t>
  </si>
  <si>
    <t>JAKIRON</t>
  </si>
  <si>
    <t>QUEEN</t>
  </si>
  <si>
    <t>ABDUCARI</t>
  </si>
  <si>
    <t>RICHEL</t>
  </si>
  <si>
    <t>SIGUA</t>
  </si>
  <si>
    <t>MALKEN</t>
  </si>
  <si>
    <t>GREG</t>
  </si>
  <si>
    <t>MANLIKO</t>
  </si>
  <si>
    <t>HUGO</t>
  </si>
  <si>
    <t>TANQUERIDO</t>
  </si>
  <si>
    <t>ELY</t>
  </si>
  <si>
    <t>SUNGKALING</t>
  </si>
  <si>
    <t>YOKONG</t>
  </si>
  <si>
    <t>ALAVANZA</t>
  </si>
  <si>
    <t>MANIPOL</t>
  </si>
  <si>
    <t>TOPEZ</t>
  </si>
  <si>
    <t>BAGONA</t>
  </si>
  <si>
    <t>OMAPAS</t>
  </si>
  <si>
    <t>BASONG</t>
  </si>
  <si>
    <t>PALACA</t>
  </si>
  <si>
    <t>NEGRO</t>
  </si>
  <si>
    <t>TATAD</t>
  </si>
  <si>
    <t>AGRIPINO</t>
  </si>
  <si>
    <t>EDALLA</t>
  </si>
  <si>
    <t>DOMINICA</t>
  </si>
  <si>
    <t>CARACAS</t>
  </si>
  <si>
    <t>SANGCALANG</t>
  </si>
  <si>
    <t>ELEUTERIO</t>
  </si>
  <si>
    <t>as of Feb 28, 2026</t>
  </si>
  <si>
    <t>as of Feb  28, 2028</t>
  </si>
  <si>
    <t>MARIELLE</t>
  </si>
  <si>
    <t>ANTOC</t>
  </si>
  <si>
    <t>EPLITO</t>
  </si>
  <si>
    <t>SALDIN</t>
  </si>
  <si>
    <t>ANDONA</t>
  </si>
  <si>
    <t>INTAL</t>
  </si>
  <si>
    <t>JUANILO</t>
  </si>
  <si>
    <t>NALNALAN</t>
  </si>
  <si>
    <t>QUEMADO</t>
  </si>
  <si>
    <t>ADELA</t>
  </si>
  <si>
    <t>PAQUIAO</t>
  </si>
  <si>
    <t>SANCHES</t>
  </si>
  <si>
    <t>ROWEL</t>
  </si>
  <si>
    <t>PATRIARCA</t>
  </si>
  <si>
    <t>BUCAYRA</t>
  </si>
  <si>
    <t>PONDO</t>
  </si>
  <si>
    <t>ARTILADO</t>
  </si>
  <si>
    <t>MARJUN</t>
  </si>
  <si>
    <t>RAFFY</t>
  </si>
  <si>
    <t>RANIE</t>
  </si>
  <si>
    <t>SUYAO</t>
  </si>
  <si>
    <t>ABAJAR</t>
  </si>
  <si>
    <t>AZ 8433</t>
  </si>
  <si>
    <t>HAZEL</t>
  </si>
  <si>
    <t>ALAVE</t>
  </si>
  <si>
    <t>ALBEO</t>
  </si>
  <si>
    <t>GRACE</t>
  </si>
  <si>
    <t>ANGGUHAN</t>
  </si>
  <si>
    <t>MONRANO</t>
  </si>
  <si>
    <t>GERRY</t>
  </si>
  <si>
    <t>ARLIE</t>
  </si>
  <si>
    <t>CONCHETA</t>
  </si>
  <si>
    <t>ASER</t>
  </si>
  <si>
    <t>ELMAR CHRISTIAN</t>
  </si>
  <si>
    <t>LENELYN MAE</t>
  </si>
  <si>
    <t>JHON VER</t>
  </si>
  <si>
    <t>ELVIE</t>
  </si>
  <si>
    <t>DECERA</t>
  </si>
  <si>
    <t>ROGER</t>
  </si>
  <si>
    <t>JAUD</t>
  </si>
  <si>
    <t>CALAOGAO</t>
  </si>
  <si>
    <t>MARGIE</t>
  </si>
  <si>
    <t>PORRAS</t>
  </si>
  <si>
    <t>GALGANERA</t>
  </si>
  <si>
    <t>FITERO</t>
  </si>
  <si>
    <t>CABANGAL</t>
  </si>
  <si>
    <t>BERNIE</t>
  </si>
  <si>
    <t>PJ</t>
  </si>
  <si>
    <t>GAMOS</t>
  </si>
  <si>
    <t>ALVIOR</t>
  </si>
  <si>
    <t>JULIE MAY</t>
  </si>
  <si>
    <t>MENCHIE</t>
  </si>
  <si>
    <t>GADOR</t>
  </si>
  <si>
    <t>JHEB</t>
  </si>
  <si>
    <t>NUNEZ</t>
  </si>
  <si>
    <t>TIOZON</t>
  </si>
  <si>
    <t>VIOLETA</t>
  </si>
  <si>
    <t>JERWIN</t>
  </si>
  <si>
    <t>ENERO</t>
  </si>
  <si>
    <t>ESPARTERO</t>
  </si>
  <si>
    <t>NITA</t>
  </si>
  <si>
    <t>EDESON</t>
  </si>
  <si>
    <t>OBOGAN</t>
  </si>
  <si>
    <t>FUERTE</t>
  </si>
  <si>
    <t>JEMUEL</t>
  </si>
  <si>
    <t>AMBIC</t>
  </si>
  <si>
    <t>JOLITA</t>
  </si>
  <si>
    <t>LAPU</t>
  </si>
  <si>
    <t>MADELYN</t>
  </si>
  <si>
    <t>LECADIO</t>
  </si>
  <si>
    <t>MARK ERNIE</t>
  </si>
  <si>
    <t>JUAN</t>
  </si>
  <si>
    <t>DAMASO</t>
  </si>
  <si>
    <t>CASIBUAL</t>
  </si>
  <si>
    <t>LISUD</t>
  </si>
  <si>
    <t>NANETH</t>
  </si>
  <si>
    <t>FELISA</t>
  </si>
  <si>
    <t>JEFREY</t>
  </si>
  <si>
    <t>BILLY BOY</t>
  </si>
  <si>
    <t>ENDINO</t>
  </si>
  <si>
    <t>MIRAL</t>
  </si>
  <si>
    <t>ALMANA</t>
  </si>
  <si>
    <t>MONDIN</t>
  </si>
  <si>
    <t>ZUELA</t>
  </si>
  <si>
    <t>ROCO</t>
  </si>
  <si>
    <t>JESSICA</t>
  </si>
  <si>
    <t>DEGVIL</t>
  </si>
  <si>
    <t>JOSEF</t>
  </si>
  <si>
    <t>SALLY</t>
  </si>
  <si>
    <t>GUMALID</t>
  </si>
  <si>
    <t>ROMELYN</t>
  </si>
  <si>
    <t>ANONAT</t>
  </si>
  <si>
    <t>GEHIL</t>
  </si>
  <si>
    <t>DOLITIN</t>
  </si>
  <si>
    <t>OBANIANA</t>
  </si>
  <si>
    <t>ROSA</t>
  </si>
  <si>
    <t>INDOSO</t>
  </si>
  <si>
    <t>PERLITA</t>
  </si>
  <si>
    <t>MILAGROS</t>
  </si>
  <si>
    <t>EMELIZA</t>
  </si>
  <si>
    <t>ELEJAN</t>
  </si>
  <si>
    <t>PACIONES</t>
  </si>
  <si>
    <t>PADIJAS</t>
  </si>
  <si>
    <t>JUYAD</t>
  </si>
  <si>
    <t>PAGARAN</t>
  </si>
  <si>
    <t>ARTCHIE</t>
  </si>
  <si>
    <t>GONZALEZ</t>
  </si>
  <si>
    <t>PIDO</t>
  </si>
  <si>
    <t>FELIX</t>
  </si>
  <si>
    <t>COLCOL</t>
  </si>
  <si>
    <t>QUEZADA</t>
  </si>
  <si>
    <t>FRANKLYN</t>
  </si>
  <si>
    <t>BANTOG</t>
  </si>
  <si>
    <t>GAUDIOSA</t>
  </si>
  <si>
    <t>ROSAYNA</t>
  </si>
  <si>
    <t>ESNI</t>
  </si>
  <si>
    <t>RANCES</t>
  </si>
  <si>
    <t>GLYN</t>
  </si>
  <si>
    <t>ZAPICO</t>
  </si>
  <si>
    <t>RAVAL</t>
  </si>
  <si>
    <t>ALUPAY</t>
  </si>
  <si>
    <t>ESTEVEN</t>
  </si>
  <si>
    <t>ALONGSAGAY</t>
  </si>
  <si>
    <t>RUBION</t>
  </si>
  <si>
    <t>GALIGAD</t>
  </si>
  <si>
    <t>TOBIAS</t>
  </si>
  <si>
    <t>ARTH</t>
  </si>
  <si>
    <t>NOEME</t>
  </si>
  <si>
    <t>BEVELYN</t>
  </si>
  <si>
    <t>MOZO</t>
  </si>
  <si>
    <t>MECHELLE</t>
  </si>
  <si>
    <t>TANGERES</t>
  </si>
  <si>
    <t>ABAD</t>
  </si>
  <si>
    <t>BARNILLO</t>
  </si>
  <si>
    <t>MARIAFE</t>
  </si>
  <si>
    <t>VENTOZA</t>
  </si>
  <si>
    <t>ELIJAH</t>
  </si>
  <si>
    <t>BELINDA</t>
  </si>
  <si>
    <t>MONTICINO</t>
  </si>
  <si>
    <t>ENGULLO</t>
  </si>
  <si>
    <t>AGUSTIN</t>
  </si>
  <si>
    <t>NOAMI</t>
  </si>
  <si>
    <t>ENGUILLO</t>
  </si>
  <si>
    <t>ALIJAN</t>
  </si>
  <si>
    <t>ARHGEI</t>
  </si>
  <si>
    <t>GLORIA</t>
  </si>
  <si>
    <t>MORINA</t>
  </si>
  <si>
    <t>VENJI</t>
  </si>
  <si>
    <t>N.</t>
  </si>
  <si>
    <t>BARBACENA</t>
  </si>
  <si>
    <t>ADRIANO</t>
  </si>
  <si>
    <t>CACHERO</t>
  </si>
  <si>
    <t>SHINA</t>
  </si>
  <si>
    <t>FAVILLAR</t>
  </si>
  <si>
    <t>MILDRED</t>
  </si>
  <si>
    <t>ZORIAGA</t>
  </si>
  <si>
    <t>DOLLOTE</t>
  </si>
  <si>
    <t>MATILLANO</t>
  </si>
  <si>
    <t>LEOPOLDO</t>
  </si>
  <si>
    <t>MONTESA</t>
  </si>
  <si>
    <t>MANYBOY</t>
  </si>
  <si>
    <t>GALICHA</t>
  </si>
  <si>
    <t>BALDEMAR</t>
  </si>
  <si>
    <t>ALIWAL</t>
  </si>
  <si>
    <t>PRECILA</t>
  </si>
  <si>
    <t>BORDADO</t>
  </si>
  <si>
    <t>MANILYN</t>
  </si>
  <si>
    <t>ALCAZARIN</t>
  </si>
  <si>
    <t>JOEMIL</t>
  </si>
  <si>
    <t>RONAR</t>
  </si>
  <si>
    <t>RIOJA</t>
  </si>
  <si>
    <t>RADJEKEN</t>
  </si>
  <si>
    <t>SOMON</t>
  </si>
  <si>
    <t>JESON</t>
  </si>
  <si>
    <t>LIAM</t>
  </si>
  <si>
    <t>BOREOK</t>
  </si>
  <si>
    <t>RABNOT</t>
  </si>
  <si>
    <t>TINGKISAN</t>
  </si>
  <si>
    <t>OMIR</t>
  </si>
  <si>
    <t>BAKER</t>
  </si>
  <si>
    <t>TITO</t>
  </si>
  <si>
    <t>CENTINO</t>
  </si>
  <si>
    <t>TORNANDIZO</t>
  </si>
  <si>
    <t>TUIZA</t>
  </si>
  <si>
    <t>JESREL</t>
  </si>
  <si>
    <t>MARIELYN</t>
  </si>
  <si>
    <t>JONIFER</t>
  </si>
  <si>
    <t>VELADO</t>
  </si>
  <si>
    <t>JAYAWON</t>
  </si>
  <si>
    <t>RODELYN</t>
  </si>
  <si>
    <t>GAGA A</t>
  </si>
  <si>
    <t>BOHOLANO</t>
  </si>
  <si>
    <t>ASEJO</t>
  </si>
  <si>
    <t>CALIBO</t>
  </si>
  <si>
    <t>AUSTIAL</t>
  </si>
  <si>
    <t>JOMARK</t>
  </si>
  <si>
    <t>SEPULAN</t>
  </si>
  <si>
    <t>CAMONIAS</t>
  </si>
  <si>
    <t>CHILLA</t>
  </si>
  <si>
    <t>CABODILLO</t>
  </si>
  <si>
    <t>LUCITA</t>
  </si>
  <si>
    <t>CONSTANCION</t>
  </si>
  <si>
    <t>ARCHEDERA</t>
  </si>
  <si>
    <t>CASAPOL</t>
  </si>
  <si>
    <t>DIZON</t>
  </si>
  <si>
    <t>CASTULO</t>
  </si>
  <si>
    <t>BACARO</t>
  </si>
  <si>
    <t>DAPROSA</t>
  </si>
  <si>
    <t>EROSIDO</t>
  </si>
  <si>
    <t>ARCILY</t>
  </si>
  <si>
    <t>ALFUERTA</t>
  </si>
  <si>
    <t>ELOSTRADO</t>
  </si>
  <si>
    <t>SOTERO</t>
  </si>
  <si>
    <t>JUANITES</t>
  </si>
  <si>
    <t>HABIG</t>
  </si>
  <si>
    <t>KARREL</t>
  </si>
  <si>
    <t>CUIZON</t>
  </si>
  <si>
    <t>JOEVER</t>
  </si>
  <si>
    <t>VIRALLO</t>
  </si>
  <si>
    <t>HIMAYA</t>
  </si>
  <si>
    <t>FAITH JOY</t>
  </si>
  <si>
    <t>HILARIO</t>
  </si>
  <si>
    <t>CATANG CATANG</t>
  </si>
  <si>
    <t>RECAFORTE</t>
  </si>
  <si>
    <t>MANUBAG</t>
  </si>
  <si>
    <t>MORTEZ</t>
  </si>
  <si>
    <t>RIQUE</t>
  </si>
  <si>
    <t>CARTERA</t>
  </si>
  <si>
    <t>JUNE GABRIEL</t>
  </si>
  <si>
    <t>JAMES JOSEPH</t>
  </si>
  <si>
    <t>BIRGONYA</t>
  </si>
  <si>
    <t>CRISELDA</t>
  </si>
  <si>
    <t>VASQUEZ</t>
  </si>
  <si>
    <t>NODALO</t>
  </si>
  <si>
    <t>CHECHERICO</t>
  </si>
  <si>
    <t>EDDIE BOY</t>
  </si>
  <si>
    <t>EUFRECINA</t>
  </si>
  <si>
    <t>HERNANDO</t>
  </si>
  <si>
    <t>RANNIE</t>
  </si>
  <si>
    <t>JINKY</t>
  </si>
  <si>
    <t>TALAVERO</t>
  </si>
  <si>
    <t>MADJILE</t>
  </si>
  <si>
    <t>ANGYAO</t>
  </si>
  <si>
    <t>RONSAY</t>
  </si>
  <si>
    <t>TAHAN</t>
  </si>
  <si>
    <t>AYO</t>
  </si>
  <si>
    <t>GUERRERO</t>
  </si>
  <si>
    <t>JOSE ROLLY</t>
  </si>
  <si>
    <t>NARTIA</t>
  </si>
  <si>
    <t>BENOT</t>
  </si>
  <si>
    <t>LINTING</t>
  </si>
  <si>
    <t>BALOLONG</t>
  </si>
  <si>
    <t>BALDOMAR</t>
  </si>
  <si>
    <t>FELECESIMA</t>
  </si>
  <si>
    <t>CARDERO</t>
  </si>
  <si>
    <t>BAYLOON</t>
  </si>
  <si>
    <t>ESPILLO</t>
  </si>
  <si>
    <t>JANASALI</t>
  </si>
  <si>
    <t>BORJA</t>
  </si>
  <si>
    <t>BORRIS</t>
  </si>
  <si>
    <t>RECHARD</t>
  </si>
  <si>
    <t>CARIO</t>
  </si>
  <si>
    <t>KRISTOFFER</t>
  </si>
  <si>
    <t>JOHNYLIN</t>
  </si>
  <si>
    <t>DAULAT</t>
  </si>
  <si>
    <t>TICO</t>
  </si>
  <si>
    <t>LUCIA</t>
  </si>
  <si>
    <t>DIONEDEL</t>
  </si>
  <si>
    <t>CONSTANTINO</t>
  </si>
  <si>
    <t>GALLO</t>
  </si>
  <si>
    <t>LUMOGDANG</t>
  </si>
  <si>
    <t>GANE</t>
  </si>
  <si>
    <t>ELNAMAY</t>
  </si>
  <si>
    <t>GUSTAAN</t>
  </si>
  <si>
    <t>PEDRING</t>
  </si>
  <si>
    <t>ILAHAN</t>
  </si>
  <si>
    <t>MUYOG</t>
  </si>
  <si>
    <t>TIBANGIN</t>
  </si>
  <si>
    <t>MACALDO</t>
  </si>
  <si>
    <t>CHERLITA</t>
  </si>
  <si>
    <t>DIANA</t>
  </si>
  <si>
    <t>MUHAMMAD</t>
  </si>
  <si>
    <t>JAMES</t>
  </si>
  <si>
    <t>irrigated</t>
  </si>
  <si>
    <t>RIZALDE</t>
  </si>
  <si>
    <t>BENG BENG</t>
  </si>
  <si>
    <t>ISANG</t>
  </si>
  <si>
    <t>TABTAB</t>
  </si>
  <si>
    <t>SALAMAT</t>
  </si>
  <si>
    <t>PANNY</t>
  </si>
  <si>
    <t>ADAN</t>
  </si>
  <si>
    <t>SAWASI</t>
  </si>
  <si>
    <t>BULL RICE</t>
  </si>
  <si>
    <t>DAUBAN</t>
  </si>
  <si>
    <t>SIMBAHON</t>
  </si>
  <si>
    <t>ZOSIMO</t>
  </si>
  <si>
    <t>SAGUIO</t>
  </si>
  <si>
    <t>ARMILITO</t>
  </si>
  <si>
    <t>YOYO</t>
  </si>
  <si>
    <t>PARINAS</t>
  </si>
  <si>
    <t>TAMUNDON</t>
  </si>
  <si>
    <t>EDORA</t>
  </si>
  <si>
    <t>TAMUNDONG</t>
  </si>
  <si>
    <t>TANGKAY</t>
  </si>
  <si>
    <t>JOKEN</t>
  </si>
  <si>
    <t>TANGKOY</t>
  </si>
  <si>
    <t>CONDE</t>
  </si>
  <si>
    <t>TINDOG</t>
  </si>
  <si>
    <t>ELIODORO</t>
  </si>
  <si>
    <t>UMAMBONG</t>
  </si>
  <si>
    <t>UPCIAR</t>
  </si>
  <si>
    <t>MALOLOY ON</t>
  </si>
  <si>
    <t>MARIETA</t>
  </si>
  <si>
    <t>ANG-ANGAN</t>
  </si>
  <si>
    <t>HERNANDEZ</t>
  </si>
  <si>
    <t>AVESTRUZ</t>
  </si>
  <si>
    <t>EMMI</t>
  </si>
  <si>
    <t>BULAGAO</t>
  </si>
  <si>
    <t>CEASAR</t>
  </si>
  <si>
    <t>DARMIS</t>
  </si>
  <si>
    <t>GENEROSO</t>
  </si>
  <si>
    <t>GAMBOA</t>
  </si>
  <si>
    <t>CANQUE</t>
  </si>
  <si>
    <t>DUPO</t>
  </si>
  <si>
    <t>JABAGAY</t>
  </si>
  <si>
    <t>MARIEJEM</t>
  </si>
  <si>
    <t>NAZARENO</t>
  </si>
  <si>
    <t>ANA</t>
  </si>
  <si>
    <t>TABING</t>
  </si>
  <si>
    <t>ENDIABLE</t>
  </si>
  <si>
    <t>SOBRITODO</t>
  </si>
  <si>
    <t>BORDEGOY</t>
  </si>
  <si>
    <t>LIGBOS</t>
  </si>
  <si>
    <t>ESCURA</t>
  </si>
  <si>
    <t>ADOR</t>
  </si>
  <si>
    <t>BUQUIA</t>
  </si>
  <si>
    <t>JENNIFER</t>
  </si>
  <si>
    <t>DAGVIA</t>
  </si>
  <si>
    <t>EVANGELISTA</t>
  </si>
  <si>
    <t>MICHIEL</t>
  </si>
  <si>
    <t>ALIMUJANED</t>
  </si>
  <si>
    <t>CAVITANA</t>
  </si>
  <si>
    <t>FROILAN</t>
  </si>
  <si>
    <t>PANY</t>
  </si>
  <si>
    <t>JOVAN</t>
  </si>
  <si>
    <t>BUCITA</t>
  </si>
  <si>
    <t>GOMERI</t>
  </si>
  <si>
    <t>MEYNARD</t>
  </si>
  <si>
    <t>SALES</t>
  </si>
  <si>
    <t>FRONDA</t>
  </si>
  <si>
    <t>MAYNARD</t>
  </si>
  <si>
    <t>JIMELITO</t>
  </si>
  <si>
    <t>GAMPANGAN</t>
  </si>
  <si>
    <t>NIDA</t>
  </si>
  <si>
    <t>DONATO</t>
  </si>
  <si>
    <t>MAGON</t>
  </si>
  <si>
    <t>GENANDA</t>
  </si>
  <si>
    <t>JESSECA</t>
  </si>
  <si>
    <t>ANTON</t>
  </si>
  <si>
    <t>GENOVEA</t>
  </si>
  <si>
    <t>JIHIEL</t>
  </si>
  <si>
    <t>JUNER</t>
  </si>
  <si>
    <t>ERTA</t>
  </si>
  <si>
    <t>JUNIO</t>
  </si>
  <si>
    <t>LAAM</t>
  </si>
  <si>
    <t>YOLANDA</t>
  </si>
  <si>
    <t>NADALA</t>
  </si>
  <si>
    <t>LABARIA</t>
  </si>
  <si>
    <t>MELVILYN</t>
  </si>
  <si>
    <t>VEVIAN</t>
  </si>
  <si>
    <t>LASUTA</t>
  </si>
  <si>
    <t>LAYA</t>
  </si>
  <si>
    <t>LICPAN</t>
  </si>
  <si>
    <t>DEO ALE</t>
  </si>
  <si>
    <t>ROEL JAY</t>
  </si>
  <si>
    <t>SHERWIN</t>
  </si>
  <si>
    <t>GOH</t>
  </si>
  <si>
    <t>MACASAET</t>
  </si>
  <si>
    <t>MELITA</t>
  </si>
  <si>
    <t>MAJESTAD</t>
  </si>
  <si>
    <t>VILUAN</t>
  </si>
  <si>
    <t>MALAQUE</t>
  </si>
  <si>
    <t>MERLINDA</t>
  </si>
  <si>
    <t>CUAY</t>
  </si>
  <si>
    <t>RASTAM</t>
  </si>
  <si>
    <t>SARILI</t>
  </si>
  <si>
    <t>PABLO</t>
  </si>
  <si>
    <t>MAYLANON</t>
  </si>
  <si>
    <t>MARINA</t>
  </si>
  <si>
    <t>GALAS</t>
  </si>
  <si>
    <t>MOGELIO</t>
  </si>
  <si>
    <t>MONDERO</t>
  </si>
  <si>
    <t>NERVAL</t>
  </si>
  <si>
    <t>GARNECA</t>
  </si>
  <si>
    <t>LEONARDO</t>
  </si>
  <si>
    <t>BILBAO</t>
  </si>
  <si>
    <t>PAYBA</t>
  </si>
  <si>
    <t>MENANDRO</t>
  </si>
  <si>
    <t>PENIS</t>
  </si>
  <si>
    <t>MA VICTORIA</t>
  </si>
  <si>
    <t>SOL CRUZ</t>
  </si>
  <si>
    <t>PRANADA</t>
  </si>
  <si>
    <t>AGUSTINE</t>
  </si>
  <si>
    <t>DUMOGHO</t>
  </si>
  <si>
    <t>QUILO</t>
  </si>
  <si>
    <t>LUDAMEN</t>
  </si>
  <si>
    <t>TORRINO</t>
  </si>
  <si>
    <t>QUIMAT</t>
  </si>
  <si>
    <t>NECIL</t>
  </si>
  <si>
    <t>DONGGON</t>
  </si>
  <si>
    <t>REGINO</t>
  </si>
  <si>
    <t>ONABIA</t>
  </si>
  <si>
    <t>DIONEO</t>
  </si>
  <si>
    <t>LAORIO</t>
  </si>
  <si>
    <t>ROSAL</t>
  </si>
  <si>
    <t>ALISIN</t>
  </si>
  <si>
    <t>RUBIA</t>
  </si>
  <si>
    <t>SABRINA</t>
  </si>
  <si>
    <t>SANTIANA</t>
  </si>
  <si>
    <t>melchor</t>
  </si>
  <si>
    <t>saril</t>
  </si>
  <si>
    <t>CATALINO</t>
  </si>
  <si>
    <t>CORRE</t>
  </si>
  <si>
    <t>SICENA</t>
  </si>
  <si>
    <t>DACULA</t>
  </si>
  <si>
    <t>SOMER</t>
  </si>
  <si>
    <t>DENTOR</t>
  </si>
  <si>
    <t>SORIANO</t>
  </si>
  <si>
    <t>BIONCIO</t>
  </si>
  <si>
    <t>SURIAGA</t>
  </si>
  <si>
    <t>JINGLE</t>
  </si>
  <si>
    <t>TESTON</t>
  </si>
  <si>
    <t>RAYMARK</t>
  </si>
  <si>
    <t>AMOL</t>
  </si>
  <si>
    <t>TORILLO</t>
  </si>
  <si>
    <t>USODAN</t>
  </si>
  <si>
    <t>LIBRADA</t>
  </si>
  <si>
    <t>VECERA</t>
  </si>
  <si>
    <t>VIDAL</t>
  </si>
  <si>
    <t>PERJES</t>
  </si>
  <si>
    <t>VILLOTE</t>
  </si>
  <si>
    <t>OXINA</t>
  </si>
  <si>
    <t>ROLITO</t>
  </si>
  <si>
    <t>APURA</t>
  </si>
  <si>
    <t>SL 19</t>
  </si>
  <si>
    <t>JULIET</t>
  </si>
  <si>
    <t>MACAHINDOG</t>
  </si>
  <si>
    <t>SL 20</t>
  </si>
  <si>
    <t>NORMAN</t>
  </si>
  <si>
    <t>SERVANA</t>
  </si>
  <si>
    <t>ASUMBRA</t>
  </si>
  <si>
    <t>SIPSIP</t>
  </si>
  <si>
    <t>BAGIT</t>
  </si>
  <si>
    <t>MADELO</t>
  </si>
  <si>
    <t>BALANSAG</t>
  </si>
  <si>
    <t>BALUCOS</t>
  </si>
  <si>
    <t>NARDO</t>
  </si>
  <si>
    <t>KAMLIS</t>
  </si>
  <si>
    <t>BUNTANG</t>
  </si>
  <si>
    <t>BUSTILLOS</t>
  </si>
  <si>
    <t>CABILITASAN</t>
  </si>
  <si>
    <t>CALABING</t>
  </si>
  <si>
    <t>SOCRATES</t>
  </si>
  <si>
    <t>PASAS</t>
  </si>
  <si>
    <t>CANALE</t>
  </si>
  <si>
    <t>CARUANA</t>
  </si>
  <si>
    <t>LORINDA</t>
  </si>
  <si>
    <t>SULTAN</t>
  </si>
  <si>
    <t>COMAWAS</t>
  </si>
  <si>
    <t>TREMAN</t>
  </si>
  <si>
    <t>JELIGANIO</t>
  </si>
  <si>
    <t>BOBIE</t>
  </si>
  <si>
    <t>GUINGUNA</t>
  </si>
  <si>
    <t>DULZO</t>
  </si>
  <si>
    <t>DUMAM AG</t>
  </si>
  <si>
    <t>ESCUADRO</t>
  </si>
  <si>
    <t>FREDIE</t>
  </si>
  <si>
    <t>RUNOLA</t>
  </si>
  <si>
    <t>FARCON</t>
  </si>
  <si>
    <t>JEREMIAS</t>
  </si>
  <si>
    <t>GALANG</t>
  </si>
  <si>
    <t>PETER GIL</t>
  </si>
  <si>
    <t>DONNA</t>
  </si>
  <si>
    <t>FELIPE</t>
  </si>
  <si>
    <t>OSTOS</t>
  </si>
  <si>
    <t>BARRIENTOS</t>
  </si>
  <si>
    <t>LUNITO</t>
  </si>
  <si>
    <t>PUNTAS</t>
  </si>
  <si>
    <t>PUSGO</t>
  </si>
  <si>
    <t>JOPING</t>
  </si>
  <si>
    <t>PANES</t>
  </si>
  <si>
    <t>BACERO</t>
  </si>
  <si>
    <t>ASTORIAS</t>
  </si>
  <si>
    <t>BINAS</t>
  </si>
  <si>
    <t>ANTCHINA</t>
  </si>
  <si>
    <t>PACTES</t>
  </si>
  <si>
    <t>CODDI</t>
  </si>
  <si>
    <t>ROMELY</t>
  </si>
  <si>
    <t>MER-EN</t>
  </si>
  <si>
    <t>GARAY</t>
  </si>
  <si>
    <t>DELMA</t>
  </si>
  <si>
    <t>HABAN</t>
  </si>
  <si>
    <t>RECO</t>
  </si>
  <si>
    <t>LEON</t>
  </si>
  <si>
    <t>LOZANO</t>
  </si>
  <si>
    <t>DODNDON</t>
  </si>
  <si>
    <t>ISABELO</t>
  </si>
  <si>
    <t>MANAEG</t>
  </si>
  <si>
    <t>KRIDI</t>
  </si>
  <si>
    <t>GANSI</t>
  </si>
  <si>
    <t>MANATAD</t>
  </si>
  <si>
    <t>MAGNO</t>
  </si>
  <si>
    <t>NOLASCO</t>
  </si>
  <si>
    <t>JOVEY</t>
  </si>
  <si>
    <t>ORTILANO</t>
  </si>
  <si>
    <t>ROLIKAN</t>
  </si>
  <si>
    <t>SUMBAGA</t>
  </si>
  <si>
    <t>TAPSI</t>
  </si>
  <si>
    <t>NORSILO</t>
  </si>
  <si>
    <t>terminal</t>
  </si>
  <si>
    <t>as of March 15, 2026</t>
  </si>
  <si>
    <t>as of Mar 15, 2026</t>
  </si>
  <si>
    <t>s</t>
  </si>
  <si>
    <t>ROBEN</t>
  </si>
  <si>
    <t>BANTIGI</t>
  </si>
  <si>
    <t>ALORO</t>
  </si>
  <si>
    <t>WILLIAM RENGH</t>
  </si>
  <si>
    <t>SANTE</t>
  </si>
  <si>
    <t>SAREPA</t>
  </si>
  <si>
    <t>NALUN</t>
  </si>
  <si>
    <t>RAEL</t>
  </si>
  <si>
    <t>JEANELYN</t>
  </si>
  <si>
    <t>MARODJE</t>
  </si>
  <si>
    <t>COQUILLA</t>
  </si>
  <si>
    <t>BERDOS</t>
  </si>
  <si>
    <t>ADELFA</t>
  </si>
  <si>
    <t>CANAS</t>
  </si>
  <si>
    <t>GIRILYN</t>
  </si>
  <si>
    <t>RITCHEL</t>
  </si>
  <si>
    <t>REYMON</t>
  </si>
  <si>
    <t>OFELIA</t>
  </si>
  <si>
    <t>NADIA</t>
  </si>
  <si>
    <t>SERNA</t>
  </si>
  <si>
    <t>FLORIDO</t>
  </si>
  <si>
    <t>LEONITO</t>
  </si>
  <si>
    <t>ROMERO</t>
  </si>
  <si>
    <t>LANDO</t>
  </si>
  <si>
    <t>SUMAN</t>
  </si>
  <si>
    <t>MARY JANE</t>
  </si>
  <si>
    <t>OLIVERIO</t>
  </si>
  <si>
    <t>MILA</t>
  </si>
  <si>
    <t>PERLA</t>
  </si>
  <si>
    <t>SOBRETODA</t>
  </si>
  <si>
    <t>OLARTE</t>
  </si>
  <si>
    <t>LILY</t>
  </si>
  <si>
    <t>SIENES</t>
  </si>
  <si>
    <t>ENLAWOD</t>
  </si>
  <si>
    <t>BAJARO</t>
  </si>
  <si>
    <t>LACSON</t>
  </si>
  <si>
    <t>SUAY</t>
  </si>
  <si>
    <t>DAVE</t>
  </si>
  <si>
    <t>WILBERT</t>
  </si>
  <si>
    <t>NILO</t>
  </si>
  <si>
    <t>JONTILLANO</t>
  </si>
  <si>
    <t>HIPA-HIPA</t>
  </si>
  <si>
    <t>JENNY ANN</t>
  </si>
  <si>
    <t>VARONA</t>
  </si>
  <si>
    <t>BUNGAY</t>
  </si>
  <si>
    <t>VALLER</t>
  </si>
  <si>
    <t>TIONGSON</t>
  </si>
  <si>
    <t>AGUELO</t>
  </si>
  <si>
    <t>CASTILLOTE</t>
  </si>
  <si>
    <t>ANAR-LEE</t>
  </si>
  <si>
    <t>MATU-UG</t>
  </si>
  <si>
    <t>BRAYAN</t>
  </si>
  <si>
    <t>NGALOT</t>
  </si>
  <si>
    <t>CUADRA</t>
  </si>
  <si>
    <t>VILAR</t>
  </si>
  <si>
    <t>JACOBA</t>
  </si>
  <si>
    <t>JAINAR</t>
  </si>
  <si>
    <t>MAYLEN</t>
  </si>
  <si>
    <t>LOSARITO</t>
  </si>
  <si>
    <t>GALENDEZ</t>
  </si>
  <si>
    <t>JEREL</t>
  </si>
  <si>
    <t>LETEG</t>
  </si>
  <si>
    <t>JIOL</t>
  </si>
  <si>
    <t>ROSILA</t>
  </si>
  <si>
    <t>TONY</t>
  </si>
  <si>
    <t>AMAGAN</t>
  </si>
  <si>
    <t>SALDAJENO</t>
  </si>
  <si>
    <t>CHERIL</t>
  </si>
  <si>
    <t>SAPICO</t>
  </si>
  <si>
    <t>CAMORO</t>
  </si>
  <si>
    <t>GELLADA</t>
  </si>
  <si>
    <t>LOBINO</t>
  </si>
  <si>
    <t>SIMBOGAN</t>
  </si>
  <si>
    <t>ASKAR</t>
  </si>
  <si>
    <t>CHERWIN</t>
  </si>
  <si>
    <t>BUNGURAN</t>
  </si>
  <si>
    <t>BINA</t>
  </si>
  <si>
    <t>ALOSAG</t>
  </si>
  <si>
    <t>CAMPON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</si>
</sst>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??.00_);_(@_)"/>
    <numFmt numFmtId="167" formatCode="_(* #,##0.0000_);_(* \(#,##0.0000\);_(* &quot;-&quot;??_);_(@_)"/>
    <numFmt numFmtId="168" formatCode="_(* #,##0.0_);_(* \(#,##0.0\);_(* &quot;-&quot;??_);_(@_)"/>
  </numFmts>
  <fonts count="30">
    <font>
      <sz val="11.0"/>
      <color theme="1"/>
      <name val="Arial"/>
      <scheme val="minor"/>
    </font>
    <font>
      <sz val="14.0"/>
      <color theme="1"/>
      <name val="Calibri"/>
    </font>
    <font>
      <sz val="11.0"/>
      <color theme="1"/>
      <name val="Arial"/>
    </font>
    <font>
      <b/>
      <sz val="14.0"/>
      <color theme="1"/>
      <name val="Calibri"/>
    </font>
    <font>
      <b/>
      <i/>
      <sz val="14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Arial"/>
    </font>
    <font/>
    <font>
      <b/>
      <sz val="14.0"/>
      <color theme="1"/>
      <name val="Arial"/>
    </font>
    <font>
      <sz val="9.0"/>
      <color theme="1"/>
      <name val="Arial"/>
    </font>
    <font>
      <sz val="12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i/>
      <sz val="10.0"/>
      <color theme="1"/>
      <name val="Arial"/>
    </font>
    <font>
      <i/>
      <sz val="12.0"/>
      <color theme="1"/>
      <name val="Calibri"/>
    </font>
    <font>
      <color theme="1"/>
      <name val="Arial"/>
      <scheme val="minor"/>
    </font>
    <font>
      <sz val="14.0"/>
      <color rgb="FF000000"/>
      <name val="Calibri"/>
    </font>
    <font>
      <sz val="11.0"/>
      <color rgb="FF000000"/>
      <name val="Arial"/>
    </font>
    <font>
      <b/>
      <sz val="14.0"/>
      <color rgb="FF000000"/>
      <name val="Calibri"/>
    </font>
    <font>
      <b/>
      <i/>
      <sz val="14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1.0"/>
      <color theme="1"/>
      <name val="Arial"/>
    </font>
    <font>
      <sz val="9.0"/>
      <color rgb="FF000000"/>
      <name val="Arial"/>
    </font>
    <font>
      <sz val="8.0"/>
      <color rgb="FF000000"/>
      <name val="Arial"/>
    </font>
    <font>
      <b/>
      <sz val="9.0"/>
      <color rgb="FF000000"/>
      <name val="Arial"/>
    </font>
    <font>
      <sz val="12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FFD965"/>
        <bgColor rgb="FFFFD965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00B050"/>
        <bgColor rgb="FF00B050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/>
      <top style="thick">
        <color rgb="FF000000"/>
      </top>
    </border>
    <border>
      <right/>
      <top style="thick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bottom/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Border="1" applyFill="1" applyFont="1"/>
    <xf borderId="0" fillId="0" fontId="3" numFmtId="164" xfId="0" applyFont="1" applyNumberFormat="1"/>
    <xf quotePrefix="1" borderId="0" fillId="0" fontId="4" numFmtId="0" xfId="0" applyFont="1"/>
    <xf borderId="0" fillId="0" fontId="4" numFmtId="15" xfId="0" applyFont="1" applyNumberFormat="1"/>
    <xf borderId="0" fillId="0" fontId="5" numFmtId="164" xfId="0" applyFont="1" applyNumberFormat="1"/>
    <xf borderId="1" fillId="3" fontId="3" numFmtId="164" xfId="0" applyBorder="1" applyFill="1" applyFont="1" applyNumberFormat="1"/>
    <xf borderId="1" fillId="3" fontId="6" numFmtId="0" xfId="0" applyBorder="1" applyFont="1"/>
    <xf borderId="2" fillId="0" fontId="3" numFmtId="164" xfId="0" applyAlignment="1" applyBorder="1" applyFont="1" applyNumberForma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5" fontId="7" numFmtId="0" xfId="0" applyAlignment="1" applyBorder="1" applyFill="1" applyFont="1">
      <alignment horizontal="center" shrinkToFit="0" vertical="center" wrapText="1"/>
    </xf>
    <xf borderId="8" fillId="0" fontId="8" numFmtId="0" xfId="0" applyBorder="1" applyFont="1"/>
    <xf borderId="4" fillId="6" fontId="9" numFmtId="164" xfId="0" applyAlignment="1" applyBorder="1" applyFill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1" fillId="7" fontId="7" numFmtId="0" xfId="0" applyAlignment="1" applyBorder="1" applyFill="1" applyFont="1">
      <alignment horizontal="center" shrinkToFit="0" vertical="center" wrapText="1"/>
    </xf>
    <xf borderId="22" fillId="8" fontId="11" numFmtId="0" xfId="0" applyAlignment="1" applyBorder="1" applyFill="1" applyFont="1">
      <alignment horizontal="center" shrinkToFit="0" wrapText="1"/>
    </xf>
    <xf borderId="23" fillId="0" fontId="8" numFmtId="0" xfId="0" applyBorder="1" applyFont="1"/>
    <xf borderId="24" fillId="0" fontId="8" numFmtId="0" xfId="0" applyBorder="1" applyFont="1"/>
    <xf borderId="25" fillId="9" fontId="11" numFmtId="0" xfId="0" applyAlignment="1" applyBorder="1" applyFill="1" applyFont="1">
      <alignment horizontal="center" shrinkToFit="0" wrapText="1"/>
    </xf>
    <xf borderId="26" fillId="0" fontId="8" numFmtId="0" xfId="0" applyBorder="1" applyFont="1"/>
    <xf borderId="27" fillId="5" fontId="7" numFmtId="0" xfId="0" applyAlignment="1" applyBorder="1" applyFont="1">
      <alignment horizontal="center" shrinkToFit="0" vertical="center" wrapText="1"/>
    </xf>
    <xf borderId="21" fillId="6" fontId="7" numFmtId="0" xfId="0" applyAlignment="1" applyBorder="1" applyFont="1">
      <alignment horizontal="center" shrinkToFit="0" vertical="center" wrapText="1"/>
    </xf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2" numFmtId="0" xfId="0" applyAlignment="1" applyBorder="1" applyFont="1">
      <alignment horizontal="center" shrinkToFit="0" vertical="center" wrapText="1"/>
    </xf>
    <xf borderId="34" fillId="0" fontId="12" numFmtId="0" xfId="0" applyAlignment="1" applyBorder="1" applyFont="1">
      <alignment horizontal="center" shrinkToFit="0" vertical="center" wrapText="1"/>
    </xf>
    <xf borderId="35" fillId="0" fontId="12" numFmtId="0" xfId="0" applyAlignment="1" applyBorder="1" applyFont="1">
      <alignment horizontal="center" shrinkToFit="0" vertical="center" wrapText="1"/>
    </xf>
    <xf borderId="36" fillId="0" fontId="12" numFmtId="0" xfId="0" applyAlignment="1" applyBorder="1" applyFont="1">
      <alignment horizontal="center" shrinkToFit="0" vertical="center" wrapText="1"/>
    </xf>
    <xf borderId="37" fillId="0" fontId="12" numFmtId="0" xfId="0" applyAlignment="1" applyBorder="1" applyFont="1">
      <alignment horizontal="center" shrinkToFit="0" vertical="center" wrapText="1"/>
    </xf>
    <xf borderId="38" fillId="0" fontId="8" numFmtId="0" xfId="0" applyBorder="1" applyFont="1"/>
    <xf borderId="39" fillId="3" fontId="7" numFmtId="165" xfId="0" applyAlignment="1" applyBorder="1" applyFont="1" applyNumberFormat="1">
      <alignment vertical="center"/>
    </xf>
    <xf borderId="40" fillId="3" fontId="13" numFmtId="165" xfId="0" applyBorder="1" applyFont="1" applyNumberFormat="1"/>
    <xf borderId="41" fillId="3" fontId="13" numFmtId="165" xfId="0" applyBorder="1" applyFont="1" applyNumberFormat="1"/>
    <xf borderId="42" fillId="3" fontId="13" numFmtId="165" xfId="0" applyBorder="1" applyFont="1" applyNumberFormat="1"/>
    <xf borderId="43" fillId="3" fontId="13" numFmtId="165" xfId="0" applyBorder="1" applyFont="1" applyNumberFormat="1"/>
    <xf borderId="44" fillId="3" fontId="13" numFmtId="165" xfId="0" applyBorder="1" applyFont="1" applyNumberFormat="1"/>
    <xf borderId="45" fillId="3" fontId="13" numFmtId="165" xfId="0" applyBorder="1" applyFont="1" applyNumberFormat="1"/>
    <xf borderId="46" fillId="3" fontId="13" numFmtId="0" xfId="0" applyBorder="1" applyFont="1"/>
    <xf borderId="0" fillId="0" fontId="13" numFmtId="0" xfId="0" applyFont="1"/>
    <xf borderId="47" fillId="0" fontId="11" numFmtId="165" xfId="0" applyAlignment="1" applyBorder="1" applyFont="1" applyNumberFormat="1">
      <alignment horizontal="left" vertical="center"/>
    </xf>
    <xf borderId="48" fillId="0" fontId="6" numFmtId="165" xfId="0" applyBorder="1" applyFont="1" applyNumberFormat="1"/>
    <xf borderId="49" fillId="0" fontId="6" numFmtId="165" xfId="0" applyBorder="1" applyFont="1" applyNumberFormat="1"/>
    <xf borderId="50" fillId="0" fontId="6" numFmtId="165" xfId="0" applyBorder="1" applyFont="1" applyNumberFormat="1"/>
    <xf borderId="51" fillId="0" fontId="6" numFmtId="165" xfId="0" applyBorder="1" applyFont="1" applyNumberFormat="1"/>
    <xf borderId="48" fillId="0" fontId="6" numFmtId="166" xfId="0" applyBorder="1" applyFont="1" applyNumberFormat="1"/>
    <xf borderId="52" fillId="0" fontId="6" numFmtId="0" xfId="0" applyBorder="1" applyFont="1"/>
    <xf borderId="53" fillId="0" fontId="11" numFmtId="165" xfId="0" applyAlignment="1" applyBorder="1" applyFont="1" applyNumberFormat="1">
      <alignment horizontal="left" vertical="center"/>
    </xf>
    <xf borderId="54" fillId="0" fontId="6" numFmtId="165" xfId="0" applyBorder="1" applyFont="1" applyNumberFormat="1"/>
    <xf borderId="55" fillId="0" fontId="6" numFmtId="165" xfId="0" applyBorder="1" applyFont="1" applyNumberFormat="1"/>
    <xf borderId="56" fillId="0" fontId="6" numFmtId="165" xfId="0" applyBorder="1" applyFont="1" applyNumberFormat="1"/>
    <xf borderId="57" fillId="0" fontId="6" numFmtId="165" xfId="0" applyBorder="1" applyFont="1" applyNumberFormat="1"/>
    <xf borderId="58" fillId="0" fontId="6" numFmtId="165" xfId="0" applyBorder="1" applyFont="1" applyNumberFormat="1"/>
    <xf borderId="59" fillId="0" fontId="6" numFmtId="165" xfId="0" applyBorder="1" applyFont="1" applyNumberFormat="1"/>
    <xf borderId="60" fillId="0" fontId="6" numFmtId="0" xfId="0" applyBorder="1" applyFont="1"/>
    <xf borderId="0" fillId="0" fontId="14" numFmtId="167" xfId="0" applyAlignment="1" applyFont="1" applyNumberFormat="1">
      <alignment horizontal="left" vertical="center"/>
    </xf>
    <xf borderId="0" fillId="0" fontId="15" numFmtId="164" xfId="0" applyFont="1" applyNumberFormat="1"/>
    <xf borderId="0" fillId="0" fontId="15" numFmtId="168" xfId="0" applyAlignment="1" applyFont="1" applyNumberFormat="1">
      <alignment horizontal="left" vertical="center"/>
    </xf>
    <xf borderId="0" fillId="0" fontId="16" numFmtId="0" xfId="0" applyAlignment="1" applyFont="1">
      <alignment horizontal="center"/>
    </xf>
    <xf borderId="1" fillId="3" fontId="3" numFmtId="164" xfId="0" applyAlignment="1" applyBorder="1" applyFont="1" applyNumberFormat="1">
      <alignment readingOrder="0"/>
    </xf>
    <xf borderId="42" fillId="3" fontId="13" numFmtId="165" xfId="0" applyAlignment="1" applyBorder="1" applyFont="1" applyNumberFormat="1">
      <alignment horizontal="center"/>
    </xf>
    <xf borderId="47" fillId="0" fontId="11" numFmtId="165" xfId="0" applyAlignment="1" applyBorder="1" applyFont="1" applyNumberFormat="1">
      <alignment horizontal="left" readingOrder="0" vertical="center"/>
    </xf>
    <xf borderId="61" fillId="0" fontId="6" numFmtId="165" xfId="0" applyBorder="1" applyFont="1" applyNumberFormat="1"/>
    <xf borderId="61" fillId="0" fontId="2" numFmtId="165" xfId="0" applyAlignment="1" applyBorder="1" applyFont="1" applyNumberFormat="1">
      <alignment vertical="bottom"/>
    </xf>
    <xf borderId="48" fillId="0" fontId="6" numFmtId="165" xfId="0" applyAlignment="1" applyBorder="1" applyFont="1" applyNumberFormat="1">
      <alignment horizontal="center"/>
    </xf>
    <xf borderId="62" fillId="0" fontId="6" numFmtId="165" xfId="0" applyBorder="1" applyFont="1" applyNumberFormat="1"/>
    <xf borderId="61" fillId="0" fontId="6" numFmtId="165" xfId="0" applyAlignment="1" applyBorder="1" applyFont="1" applyNumberFormat="1">
      <alignment horizontal="right" readingOrder="0" vertical="bottom"/>
    </xf>
    <xf borderId="61" fillId="0" fontId="6" numFmtId="165" xfId="0" applyAlignment="1" applyBorder="1" applyFont="1" applyNumberFormat="1">
      <alignment readingOrder="0"/>
    </xf>
    <xf borderId="62" fillId="0" fontId="6" numFmtId="165" xfId="0" applyAlignment="1" applyBorder="1" applyFont="1" applyNumberFormat="1">
      <alignment readingOrder="0"/>
    </xf>
    <xf borderId="49" fillId="0" fontId="6" numFmtId="165" xfId="0" applyAlignment="1" applyBorder="1" applyFont="1" applyNumberFormat="1">
      <alignment readingOrder="0"/>
    </xf>
    <xf borderId="51" fillId="0" fontId="6" numFmtId="165" xfId="0" applyAlignment="1" applyBorder="1" applyFont="1" applyNumberFormat="1">
      <alignment readingOrder="0"/>
    </xf>
    <xf borderId="54" fillId="0" fontId="6" numFmtId="165" xfId="0" applyAlignment="1" applyBorder="1" applyFont="1" applyNumberFormat="1">
      <alignment horizontal="center"/>
    </xf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1" fillId="3" fontId="19" numFmtId="0" xfId="0" applyBorder="1" applyFont="1"/>
    <xf borderId="63" fillId="3" fontId="19" numFmtId="0" xfId="0" applyBorder="1" applyFont="1"/>
    <xf borderId="1" fillId="3" fontId="22" numFmtId="0" xfId="0" applyBorder="1" applyFont="1"/>
    <xf borderId="1" fillId="3" fontId="18" numFmtId="0" xfId="0" applyBorder="1" applyFont="1"/>
    <xf borderId="34" fillId="7" fontId="23" numFmtId="0" xfId="0" applyAlignment="1" applyBorder="1" applyFont="1">
      <alignment horizontal="center" vertical="center"/>
    </xf>
    <xf borderId="64" fillId="7" fontId="2" numFmtId="0" xfId="0" applyAlignment="1" applyBorder="1" applyFont="1">
      <alignment horizontal="center" vertical="center"/>
    </xf>
    <xf borderId="65" fillId="0" fontId="8" numFmtId="0" xfId="0" applyBorder="1" applyFont="1"/>
    <xf borderId="66" fillId="0" fontId="8" numFmtId="0" xfId="0" applyBorder="1" applyFont="1"/>
    <xf borderId="34" fillId="10" fontId="23" numFmtId="0" xfId="0" applyAlignment="1" applyBorder="1" applyFill="1" applyFont="1">
      <alignment horizontal="center" shrinkToFit="0" vertical="center" wrapText="1"/>
    </xf>
    <xf borderId="67" fillId="11" fontId="18" numFmtId="0" xfId="0" applyAlignment="1" applyBorder="1" applyFill="1" applyFont="1">
      <alignment horizontal="center" shrinkToFit="0" vertical="center" wrapText="1"/>
    </xf>
    <xf borderId="34" fillId="12" fontId="23" numFmtId="0" xfId="0" applyAlignment="1" applyBorder="1" applyFill="1" applyFont="1">
      <alignment horizontal="center" shrinkToFit="0" vertical="center" wrapText="1"/>
    </xf>
    <xf borderId="68" fillId="0" fontId="23" numFmtId="0" xfId="0" applyAlignment="1" applyBorder="1" applyFont="1">
      <alignment horizontal="center" vertical="center"/>
    </xf>
    <xf borderId="68" fillId="0" fontId="8" numFmtId="0" xfId="0" applyBorder="1" applyFont="1"/>
    <xf borderId="34" fillId="0" fontId="23" numFmtId="0" xfId="0" applyAlignment="1" applyBorder="1" applyFont="1">
      <alignment horizontal="center" shrinkToFit="0" vertical="center" wrapText="1"/>
    </xf>
    <xf borderId="33" fillId="0" fontId="24" numFmtId="0" xfId="0" applyAlignment="1" applyBorder="1" applyFont="1">
      <alignment horizontal="center" shrinkToFit="0" vertical="center" wrapText="1"/>
    </xf>
    <xf borderId="69" fillId="0" fontId="8" numFmtId="0" xfId="0" applyBorder="1" applyFont="1"/>
    <xf borderId="70" fillId="7" fontId="25" numFmtId="0" xfId="0" applyAlignment="1" applyBorder="1" applyFont="1">
      <alignment horizontal="center"/>
    </xf>
    <xf borderId="70" fillId="7" fontId="25" numFmtId="0" xfId="0" applyAlignment="1" applyBorder="1" applyFont="1">
      <alignment horizontal="left"/>
    </xf>
    <xf borderId="71" fillId="11" fontId="26" numFmtId="0" xfId="0" applyAlignment="1" applyBorder="1" applyFont="1">
      <alignment horizontal="center" shrinkToFit="0" vertical="center" wrapText="1"/>
    </xf>
    <xf borderId="71" fillId="3" fontId="27" numFmtId="0" xfId="0" applyAlignment="1" applyBorder="1" applyFont="1">
      <alignment horizontal="center" shrinkToFit="0" vertical="center" wrapText="1"/>
    </xf>
    <xf borderId="72" fillId="3" fontId="27" numFmtId="0" xfId="0" applyAlignment="1" applyBorder="1" applyFont="1">
      <alignment horizontal="center" shrinkToFit="0" vertical="center" wrapText="1"/>
    </xf>
    <xf borderId="71" fillId="3" fontId="28" numFmtId="0" xfId="0" applyAlignment="1" applyBorder="1" applyFont="1">
      <alignment horizontal="center" shrinkToFit="0" vertical="center" wrapText="1"/>
    </xf>
    <xf borderId="73" fillId="0" fontId="29" numFmtId="0" xfId="0" applyAlignment="1" applyBorder="1" applyFont="1">
      <alignment horizontal="left"/>
    </xf>
    <xf borderId="73" fillId="0" fontId="29" numFmtId="0" xfId="0" applyAlignment="1" applyBorder="1" applyFont="1">
      <alignment horizontal="left" readingOrder="0"/>
    </xf>
    <xf borderId="31" fillId="0" fontId="22" numFmtId="0" xfId="0" applyBorder="1" applyFont="1"/>
    <xf borderId="74" fillId="0" fontId="22" numFmtId="0" xfId="0" applyBorder="1" applyFont="1"/>
    <xf borderId="74" fillId="0" fontId="22" numFmtId="0" xfId="0" applyAlignment="1" applyBorder="1" applyFont="1">
      <alignment readingOrder="0"/>
    </xf>
    <xf borderId="31" fillId="0" fontId="29" numFmtId="0" xfId="0" applyAlignment="1" applyBorder="1" applyFont="1">
      <alignment horizontal="left"/>
    </xf>
    <xf borderId="74" fillId="0" fontId="29" numFmtId="0" xfId="0" applyAlignment="1" applyBorder="1" applyFont="1">
      <alignment horizontal="left" readingOrder="0"/>
    </xf>
    <xf borderId="74" fillId="0" fontId="29" numFmtId="0" xfId="0" applyAlignment="1" applyBorder="1" applyFont="1">
      <alignment horizontal="left"/>
    </xf>
    <xf borderId="0" fillId="0" fontId="16" numFmtId="0" xfId="0" applyAlignment="1" applyFont="1">
      <alignment readingOrder="0"/>
    </xf>
    <xf borderId="0" fillId="0" fontId="16" numFmtId="0" xfId="0" applyFont="1"/>
    <xf borderId="75" fillId="0" fontId="10" numFmtId="0" xfId="0" applyAlignment="1" applyBorder="1" applyFont="1">
      <alignment horizontal="center" shrinkToFit="0" vertical="center" wrapText="1"/>
    </xf>
    <xf borderId="3" fillId="7" fontId="7" numFmtId="0" xfId="0" applyAlignment="1" applyBorder="1" applyFont="1">
      <alignment horizontal="center" shrinkToFit="0" vertical="center" wrapText="1"/>
    </xf>
    <xf borderId="73" fillId="0" fontId="8" numFmtId="0" xfId="0" applyBorder="1" applyFont="1"/>
    <xf borderId="76" fillId="0" fontId="8" numFmtId="0" xfId="0" applyBorder="1" applyFont="1"/>
    <xf borderId="46" fillId="3" fontId="13" numFmtId="165" xfId="0" applyBorder="1" applyFont="1" applyNumberFormat="1"/>
    <xf borderId="52" fillId="0" fontId="6" numFmtId="165" xfId="0" applyBorder="1" applyFont="1" applyNumberFormat="1"/>
    <xf borderId="60" fillId="0" fontId="6" numFmtId="165" xfId="0" applyBorder="1" applyFont="1" applyNumberFormat="1"/>
    <xf borderId="0" fillId="0" fontId="18" numFmtId="0" xfId="0" applyAlignment="1" applyFont="1">
      <alignment readingOrder="0"/>
    </xf>
    <xf borderId="1" fillId="3" fontId="19" numFmtId="0" xfId="0" applyAlignment="1" applyBorder="1" applyFont="1">
      <alignment readingOrder="0"/>
    </xf>
    <xf borderId="64" fillId="7" fontId="23" numFmtId="0" xfId="0" applyAlignment="1" applyBorder="1" applyFont="1">
      <alignment horizontal="center" vertical="center"/>
    </xf>
    <xf borderId="31" fillId="0" fontId="22" numFmtId="0" xfId="0" applyAlignment="1" applyBorder="1" applyFont="1">
      <alignment readingOrder="0"/>
    </xf>
    <xf borderId="1" fillId="3" fontId="22" numFmtId="0" xfId="0" applyAlignment="1" applyBorder="1" applyFont="1">
      <alignment readingOrder="0"/>
    </xf>
    <xf borderId="61" fillId="0" fontId="6" numFmtId="166" xfId="0" applyBorder="1" applyFont="1" applyNumberFormat="1"/>
    <xf borderId="64" fillId="7" fontId="23" numFmtId="0" xfId="0" applyAlignment="1" applyBorder="1" applyFont="1">
      <alignment horizontal="center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46" fillId="3" fontId="7" numFmtId="165" xfId="0" applyAlignment="1" applyBorder="1" applyFont="1" applyNumberFormat="1">
      <alignment vertical="center"/>
    </xf>
    <xf borderId="77" fillId="3" fontId="13" numFmtId="165" xfId="0" applyBorder="1" applyFont="1" applyNumberFormat="1"/>
    <xf borderId="78" fillId="3" fontId="13" numFmtId="165" xfId="0" applyBorder="1" applyFont="1" applyNumberFormat="1"/>
    <xf borderId="79" fillId="3" fontId="13" numFmtId="165" xfId="0" applyBorder="1" applyFont="1" applyNumberFormat="1"/>
    <xf borderId="80" fillId="3" fontId="13" numFmtId="165" xfId="0" applyBorder="1" applyFont="1" applyNumberFormat="1"/>
    <xf borderId="52" fillId="0" fontId="6" numFmtId="165" xfId="0" applyAlignment="1" applyBorder="1" applyFont="1" applyNumberFormat="1">
      <alignment readingOrder="0"/>
    </xf>
    <xf borderId="35" fillId="7" fontId="23" numFmtId="0" xfId="0" applyAlignment="1" applyBorder="1" applyFont="1">
      <alignment horizontal="center" vertical="center"/>
    </xf>
    <xf borderId="33" fillId="0" fontId="8" numFmtId="0" xfId="0" applyBorder="1" applyFont="1"/>
    <xf borderId="73" fillId="0" fontId="29" numFmtId="0" xfId="0" applyAlignment="1" applyBorder="1" applyFont="1">
      <alignment horizontal="center" readingOrder="0"/>
    </xf>
    <xf borderId="74" fillId="0" fontId="29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52" fillId="0" fontId="13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4" width="10.0"/>
    <col customWidth="1" min="5" max="5" width="9.13"/>
    <col customWidth="1" min="6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  <c r="K1" s="2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"/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2264</v>
      </c>
      <c r="C11" s="50">
        <f t="shared" si="1"/>
        <v>1420.8533</v>
      </c>
      <c r="D11" s="51">
        <f t="shared" si="1"/>
        <v>0</v>
      </c>
      <c r="E11" s="51">
        <f t="shared" si="1"/>
        <v>1282.65</v>
      </c>
      <c r="F11" s="51">
        <f t="shared" si="1"/>
        <v>0</v>
      </c>
      <c r="G11" s="51">
        <f t="shared" si="1"/>
        <v>146.74</v>
      </c>
      <c r="H11" s="52">
        <f t="shared" si="1"/>
        <v>2850.2433</v>
      </c>
      <c r="I11" s="53">
        <f t="shared" si="1"/>
        <v>394.49</v>
      </c>
      <c r="J11" s="51">
        <f t="shared" si="1"/>
        <v>0</v>
      </c>
      <c r="K11" s="51">
        <f t="shared" si="1"/>
        <v>801.3</v>
      </c>
      <c r="L11" s="51">
        <f t="shared" si="1"/>
        <v>0</v>
      </c>
      <c r="M11" s="54">
        <f t="shared" si="1"/>
        <v>154.9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1350.69</v>
      </c>
      <c r="R11" s="50">
        <f t="shared" si="1"/>
        <v>1815.3433</v>
      </c>
      <c r="S11" s="51">
        <f t="shared" si="1"/>
        <v>0</v>
      </c>
      <c r="T11" s="51">
        <f t="shared" si="1"/>
        <v>2083.95</v>
      </c>
      <c r="U11" s="51">
        <f t="shared" si="1"/>
        <v>0</v>
      </c>
      <c r="V11" s="51">
        <f t="shared" si="1"/>
        <v>296.64</v>
      </c>
      <c r="W11" s="52">
        <f t="shared" si="1"/>
        <v>4195.9333</v>
      </c>
      <c r="X11" s="56"/>
      <c r="Y11" s="57"/>
      <c r="Z11" s="57"/>
    </row>
    <row r="12" ht="14.25" customHeight="1">
      <c r="A12" s="58" t="s">
        <v>20</v>
      </c>
      <c r="B12" s="58">
        <f>SUM('Sept 16-30'!B12,'Oct 1-15'!B12,'Oct 16-31'!B12,'Nov 1-15'!B12,'Nov 16-30'!B12,'Dec 1-15'!B12,'Dec 16-31'!B12,'Jan 1-15'!B12,'Jan 16-31'!B12,'Feb 1-15'!B12,'Feb 16-28'!B12,'Mar 1-15'!B12)</f>
        <v>146</v>
      </c>
      <c r="C12" s="58">
        <f>SUM('Sept 16-30'!C12,'Oct 1-15'!C12,'Oct 16-31'!C12,'Nov 1-15'!C12,'Nov 16-30'!C12,'Dec 1-15'!C12,'Dec 16-31'!C12,'Jan 1-15'!C12,'Jan 16-31'!C12,'Feb 1-15'!C12,'Feb 16-28'!C12,'Mar 1-15'!C12)</f>
        <v>10.4</v>
      </c>
      <c r="D12" s="58">
        <f>SUM('Sept 16-30'!D12,'Oct 1-15'!D12,'Oct 16-31'!D12,'Nov 1-15'!D12,'Nov 16-30'!D12,'Dec 1-15'!D12,'Dec 16-31'!D12,'Jan 1-15'!D12,'Jan 16-31'!D12,'Feb 1-15'!D12,'Feb 16-28'!D12,'Mar 1-15'!D12)</f>
        <v>0</v>
      </c>
      <c r="E12" s="58">
        <f>SUM('Sept 16-30'!E12,'Oct 1-15'!E12,'Oct 16-31'!E12,'Nov 1-15'!E12,'Nov 16-30'!E12,'Dec 1-15'!E12,'Dec 16-31'!E12,'Jan 1-15'!E12,'Jan 16-31'!E12,'Feb 1-15'!E12,'Feb 16-28'!E12,'Mar 1-15'!E12)</f>
        <v>11.5</v>
      </c>
      <c r="F12" s="58">
        <f>SUM('Sept 16-30'!F12,'Oct 1-15'!F12,'Oct 16-31'!F12,'Nov 1-15'!F12,'Nov 16-30'!F12,'Dec 1-15'!F12,'Dec 16-31'!F12,'Jan 1-15'!F12,'Jan 16-31'!F12,'Feb 1-15'!F12,'Feb 16-28'!F12,'Mar 1-15'!F12)</f>
        <v>0</v>
      </c>
      <c r="G12" s="58">
        <f>SUM('Sept 16-30'!G12,'Oct 1-15'!G12,'Oct 16-31'!G12,'Nov 1-15'!G12,'Nov 16-30'!G12,'Dec 1-15'!G12,'Dec 16-31'!G12,'Jan 1-15'!G12,'Jan 16-31'!G12,'Feb 1-15'!G12,'Feb 16-28'!G12,'Mar 1-15'!G12)</f>
        <v>15.1</v>
      </c>
      <c r="H12" s="59">
        <f t="shared" ref="H12:H22" si="2">SUM(C12:G12)</f>
        <v>37</v>
      </c>
      <c r="I12" s="60">
        <f>SUM('Sept 16-30'!I12,'Oct 1-15'!I12,'Oct 16-31'!I12,'Nov 1-15'!I12,'Nov 16-30'!I12,'Dec 1-15'!I12,'Dec 16-31'!I12,'Jan 1-15'!I12,'Jan 16-31'!I12,'Feb 1-15'!I12,'Feb 16-28'!I12,'Mar 1-15'!I12)</f>
        <v>44.4</v>
      </c>
      <c r="J12" s="60">
        <f>SUM('Sept 16-30'!J12,'Oct 1-15'!J12,'Oct 16-31'!J12,'Nov 1-15'!J12,'Nov 16-30'!J12,'Dec 1-15'!J12,'Dec 16-31'!J12,'Jan 1-15'!J12,'Jan 16-31'!J12,'Feb 1-15'!J12,'Feb 16-28'!J12,'Mar 1-15'!J12)</f>
        <v>0</v>
      </c>
      <c r="K12" s="60">
        <f>SUM('Sept 16-30'!K12,'Oct 1-15'!K12,'Oct 16-31'!K12,'Nov 1-15'!K12,'Nov 16-30'!K12,'Dec 1-15'!K12,'Dec 16-31'!K12,'Jan 1-15'!K12,'Jan 16-31'!K12,'Feb 1-15'!K12,'Feb 16-28'!K12,'Mar 1-15'!K12)</f>
        <v>41.9</v>
      </c>
      <c r="L12" s="60">
        <f>SUM('Sept 16-30'!L12,'Oct 1-15'!L12,'Oct 16-31'!L12,'Nov 1-15'!L12,'Nov 16-30'!L12,'Dec 1-15'!L12,'Dec 16-31'!L12,'Jan 1-15'!L12,'Jan 16-31'!L12,'Feb 1-15'!L12,'Feb 16-28'!L12,'Mar 1-15'!L12)</f>
        <v>0</v>
      </c>
      <c r="M12" s="60">
        <f>SUM('Sept 16-30'!M12,'Oct 1-15'!M12,'Oct 16-31'!M12,'Nov 1-15'!M12,'Nov 16-30'!M12,'Dec 1-15'!M12,'Dec 16-31'!M12,'Jan 1-15'!M12,'Jan 16-31'!M12,'Feb 1-15'!M12,'Feb 16-28'!M12,'Mar 1-15'!M12)</f>
        <v>47.4</v>
      </c>
      <c r="N12" s="60">
        <f>SUM('Sept 16-30'!N12,'Oct 1-15'!N12,'Oct 16-31'!N12,'Nov 1-15'!N12,'Nov 16-30'!N12,'Dec 1-15'!N12,'Dec 16-31'!N12,'Jan 1-15'!N12,'Jan 16-31'!N12,'Feb 1-15'!N12,'Feb 16-28'!N12,'Mar 1-15'!N12)</f>
        <v>0</v>
      </c>
      <c r="O12" s="60">
        <f>SUM('Sept 16-30'!O12,'Oct 1-15'!O12,'Oct 16-31'!O12,'Nov 1-15'!O12,'Nov 16-30'!O12,'Dec 1-15'!O12,'Dec 16-31'!O12,'Jan 1-15'!O12,'Jan 16-31'!O12,'Feb 1-15'!O12,'Feb 16-28'!O12,'Mar 1-15'!O12)</f>
        <v>0</v>
      </c>
      <c r="P12" s="60">
        <f>SUM('Sept 16-30'!P12,'Oct 1-15'!P12,'Oct 16-31'!P12,'Nov 1-15'!P12,'Nov 16-30'!P12,'Dec 1-15'!P12,'Dec 16-31'!P12,'Jan 1-15'!P12,'Jan 16-31'!P12,'Feb 1-15'!P12,'Feb 16-28'!P12,'Mar 1-15'!P12)</f>
        <v>0</v>
      </c>
      <c r="Q12" s="61">
        <f t="shared" ref="Q12:Q22" si="3">SUM(I12:P12)</f>
        <v>133.7</v>
      </c>
      <c r="R12" s="62">
        <f>SUM('Sept 16-30'!R12,'Oct 1-15'!R12,'Oct 16-31'!R12,'Nov 1-15'!R12,'Nov 16-30'!R12,'Dec 1-15'!R12,'Dec 16-31'!R12,'Jan 1-15'!R12,'Jan 16-31'!R12,'Feb 1-15'!R12,'Feb 16-28'!R12,'Mar 1-15'!R12)</f>
        <v>54.8</v>
      </c>
      <c r="S12" s="62">
        <f>SUM('Sept 16-30'!S12,'Oct 1-15'!S12,'Oct 16-31'!S12,'Nov 1-15'!S12,'Nov 16-30'!S12,'Dec 1-15'!S12,'Dec 16-31'!S12,'Jan 1-15'!S12,'Jan 16-31'!S12,'Feb 1-15'!S12,'Feb 16-28'!S12,'Mar 1-15'!S12)</f>
        <v>0</v>
      </c>
      <c r="T12" s="62">
        <f>SUM('Sept 16-30'!T12,'Oct 1-15'!T12,'Oct 16-31'!T12,'Nov 1-15'!T12,'Nov 16-30'!T12,'Dec 1-15'!T12,'Dec 16-31'!T12,'Jan 1-15'!T12,'Jan 16-31'!T12,'Feb 1-15'!T12,'Feb 16-28'!T12,'Mar 1-15'!T12)</f>
        <v>53.4</v>
      </c>
      <c r="U12" s="62">
        <f>SUM('Sept 16-30'!U12,'Oct 1-15'!U12,'Oct 16-31'!U12,'Nov 1-15'!U12,'Nov 16-30'!U12,'Dec 1-15'!U12,'Dec 16-31'!U12,'Jan 1-15'!U12,'Jan 16-31'!U12,'Feb 1-15'!U12,'Feb 16-28'!U12,'Mar 1-15'!U12)</f>
        <v>0</v>
      </c>
      <c r="V12" s="62">
        <f>SUM('Sept 16-30'!V12,'Oct 1-15'!V12,'Oct 16-31'!V12,'Nov 1-15'!V12,'Nov 16-30'!V12,'Dec 1-15'!V12,'Dec 16-31'!V12,'Jan 1-15'!V12,'Jan 16-31'!V12,'Feb 1-15'!V12,'Feb 16-28'!V12,'Mar 1-15'!V12)</f>
        <v>62.5</v>
      </c>
      <c r="W12" s="63">
        <f t="shared" ref="W12:W22" si="4">SUM(R12:V12)</f>
        <v>170.7</v>
      </c>
      <c r="X12" s="64"/>
    </row>
    <row r="13" ht="14.25" customHeight="1">
      <c r="A13" s="58" t="s">
        <v>21</v>
      </c>
      <c r="B13" s="58">
        <f>SUM('Sept 16-30'!B13,'Oct 1-15'!B13,'Oct 16-31'!B13,'Nov 1-15'!B13,'Nov 16-30'!B13,'Dec 1-15'!B13,'Dec 16-31'!B13,'Jan 1-15'!B13,'Jan 16-31'!B13,'Feb 1-15'!B13,'Feb 16-28'!B13,'Mar 1-15'!B13)</f>
        <v>136</v>
      </c>
      <c r="C13" s="58">
        <f>SUM('Sept 16-30'!C13,'Oct 1-15'!C13,'Oct 16-31'!C13,'Nov 1-15'!C13,'Nov 16-30'!C13,'Dec 1-15'!C13,'Dec 16-31'!C13,'Jan 1-15'!C13,'Jan 16-31'!C13,'Feb 1-15'!C13,'Feb 16-28'!C13,'Mar 1-15'!C13)</f>
        <v>78.3</v>
      </c>
      <c r="D13" s="58">
        <f>SUM('Sept 16-30'!D13,'Oct 1-15'!D13,'Oct 16-31'!D13,'Nov 1-15'!D13,'Nov 16-30'!D13,'Dec 1-15'!D13,'Dec 16-31'!D13,'Jan 1-15'!D13,'Jan 16-31'!D13,'Feb 1-15'!D13,'Feb 16-28'!D13,'Mar 1-15'!D13)</f>
        <v>0</v>
      </c>
      <c r="E13" s="58">
        <f>SUM('Sept 16-30'!E13,'Oct 1-15'!E13,'Oct 16-31'!E13,'Nov 1-15'!E13,'Nov 16-30'!E13,'Dec 1-15'!E13,'Dec 16-31'!E13,'Jan 1-15'!E13,'Jan 16-31'!E13,'Feb 1-15'!E13,'Feb 16-28'!E13,'Mar 1-15'!E13)</f>
        <v>81</v>
      </c>
      <c r="F13" s="58">
        <f>SUM('Sept 16-30'!F13,'Oct 1-15'!F13,'Oct 16-31'!F13,'Nov 1-15'!F13,'Nov 16-30'!F13,'Dec 1-15'!F13,'Dec 16-31'!F13,'Jan 1-15'!F13,'Jan 16-31'!F13,'Feb 1-15'!F13,'Feb 16-28'!F13,'Mar 1-15'!F13)</f>
        <v>0</v>
      </c>
      <c r="G13" s="58">
        <f>SUM('Sept 16-30'!G13,'Oct 1-15'!G13,'Oct 16-31'!G13,'Nov 1-15'!G13,'Nov 16-30'!G13,'Dec 1-15'!G13,'Dec 16-31'!G13,'Jan 1-15'!G13,'Jan 16-31'!G13,'Feb 1-15'!G13,'Feb 16-28'!G13,'Mar 1-15'!G13)</f>
        <v>27.5</v>
      </c>
      <c r="H13" s="59">
        <f t="shared" si="2"/>
        <v>186.8</v>
      </c>
      <c r="I13" s="60">
        <f>SUM('Sept 16-30'!I13,'Oct 1-15'!I13,'Oct 16-31'!I13,'Nov 1-15'!I13,'Nov 16-30'!I13,'Dec 1-15'!I13,'Dec 16-31'!I13,'Jan 1-15'!I13,'Jan 16-31'!I13,'Feb 1-15'!I13,'Feb 16-28'!I13,'Mar 1-15'!I13)</f>
        <v>2.5</v>
      </c>
      <c r="J13" s="60">
        <f>SUM('Sept 16-30'!J13,'Oct 1-15'!J13,'Oct 16-31'!J13,'Nov 1-15'!J13,'Nov 16-30'!J13,'Dec 1-15'!J13,'Dec 16-31'!J13,'Jan 1-15'!J13,'Jan 16-31'!J13,'Feb 1-15'!J13,'Feb 16-28'!J13,'Mar 1-15'!J13)</f>
        <v>0</v>
      </c>
      <c r="K13" s="60">
        <f>SUM('Sept 16-30'!K13,'Oct 1-15'!K13,'Oct 16-31'!K13,'Nov 1-15'!K13,'Nov 16-30'!K13,'Dec 1-15'!K13,'Dec 16-31'!K13,'Jan 1-15'!K13,'Jan 16-31'!K13,'Feb 1-15'!K13,'Feb 16-28'!K13,'Mar 1-15'!K13)</f>
        <v>12</v>
      </c>
      <c r="L13" s="60">
        <f>SUM('Sept 16-30'!L13,'Oct 1-15'!L13,'Oct 16-31'!L13,'Nov 1-15'!L13,'Nov 16-30'!L13,'Dec 1-15'!L13,'Dec 16-31'!L13,'Jan 1-15'!L13,'Jan 16-31'!L13,'Feb 1-15'!L13,'Feb 16-28'!L13,'Mar 1-15'!L13)</f>
        <v>0</v>
      </c>
      <c r="M13" s="60">
        <f>SUM('Sept 16-30'!M13,'Oct 1-15'!M13,'Oct 16-31'!M13,'Nov 1-15'!M13,'Nov 16-30'!M13,'Dec 1-15'!M13,'Dec 16-31'!M13,'Jan 1-15'!M13,'Jan 16-31'!M13,'Feb 1-15'!M13,'Feb 16-28'!M13,'Mar 1-15'!M13)</f>
        <v>0</v>
      </c>
      <c r="N13" s="60">
        <f>SUM('Sept 16-30'!N13,'Oct 1-15'!N13,'Oct 16-31'!N13,'Nov 1-15'!N13,'Nov 16-30'!N13,'Dec 1-15'!N13,'Dec 16-31'!N13,'Jan 1-15'!N13,'Jan 16-31'!N13,'Feb 1-15'!N13,'Feb 16-28'!N13,'Mar 1-15'!N13)</f>
        <v>0</v>
      </c>
      <c r="O13" s="60">
        <f>SUM('Sept 16-30'!O13,'Oct 1-15'!O13,'Oct 16-31'!O13,'Nov 1-15'!O13,'Nov 16-30'!O13,'Dec 1-15'!O13,'Dec 16-31'!O13,'Jan 1-15'!O13,'Jan 16-31'!O13,'Feb 1-15'!O13,'Feb 16-28'!O13,'Mar 1-15'!O13)</f>
        <v>0</v>
      </c>
      <c r="P13" s="60">
        <f>SUM('Sept 16-30'!P13,'Oct 1-15'!P13,'Oct 16-31'!P13,'Nov 1-15'!P13,'Nov 16-30'!P13,'Dec 1-15'!P13,'Dec 16-31'!P13,'Jan 1-15'!P13,'Jan 16-31'!P13,'Feb 1-15'!P13,'Feb 16-28'!P13,'Mar 1-15'!P13)</f>
        <v>0</v>
      </c>
      <c r="Q13" s="61">
        <f t="shared" si="3"/>
        <v>14.5</v>
      </c>
      <c r="R13" s="62">
        <f>SUM('Sept 16-30'!R13,'Oct 1-15'!R13,'Oct 16-31'!R13,'Nov 1-15'!R13,'Nov 16-30'!R13,'Dec 1-15'!R13,'Dec 16-31'!R13,'Jan 1-15'!R13,'Jan 16-31'!R13,'Feb 1-15'!R13,'Feb 16-28'!R13,'Mar 1-15'!R13)</f>
        <v>80.8</v>
      </c>
      <c r="S13" s="62">
        <f>SUM('Sept 16-30'!S13,'Oct 1-15'!S13,'Oct 16-31'!S13,'Nov 1-15'!S13,'Nov 16-30'!S13,'Dec 1-15'!S13,'Dec 16-31'!S13,'Jan 1-15'!S13,'Jan 16-31'!S13,'Feb 1-15'!S13,'Feb 16-28'!S13,'Mar 1-15'!S13)</f>
        <v>0</v>
      </c>
      <c r="T13" s="62">
        <f>SUM('Sept 16-30'!T13,'Oct 1-15'!T13,'Oct 16-31'!T13,'Nov 1-15'!T13,'Nov 16-30'!T13,'Dec 1-15'!T13,'Dec 16-31'!T13,'Jan 1-15'!T13,'Jan 16-31'!T13,'Feb 1-15'!T13,'Feb 16-28'!T13,'Mar 1-15'!T13)</f>
        <v>93</v>
      </c>
      <c r="U13" s="62">
        <f>SUM('Sept 16-30'!U13,'Oct 1-15'!U13,'Oct 16-31'!U13,'Nov 1-15'!U13,'Nov 16-30'!U13,'Dec 1-15'!U13,'Dec 16-31'!U13,'Jan 1-15'!U13,'Jan 16-31'!U13,'Feb 1-15'!U13,'Feb 16-28'!U13,'Mar 1-15'!U13)</f>
        <v>0</v>
      </c>
      <c r="V13" s="62">
        <f>SUM('Sept 16-30'!V13,'Oct 1-15'!V13,'Oct 16-31'!V13,'Nov 1-15'!V13,'Nov 16-30'!V13,'Dec 1-15'!V13,'Dec 16-31'!V13,'Jan 1-15'!V13,'Jan 16-31'!V13,'Feb 1-15'!V13,'Feb 16-28'!V13,'Mar 1-15'!V13)</f>
        <v>27.5</v>
      </c>
      <c r="W13" s="63">
        <f t="shared" si="4"/>
        <v>201.3</v>
      </c>
      <c r="X13" s="64"/>
    </row>
    <row r="14" ht="14.25" customHeight="1">
      <c r="A14" s="58" t="s">
        <v>22</v>
      </c>
      <c r="B14" s="58">
        <f>SUM('Sept 16-30'!B14,'Oct 1-15'!B14,'Oct 16-31'!B14,'Nov 1-15'!B14,'Nov 16-30'!B14,'Dec 1-15'!B14,'Dec 16-31'!B14,'Jan 1-15'!B14,'Jan 16-31'!B14,'Feb 1-15'!B14,'Feb 16-28'!B14,'Mar 1-15'!B14)</f>
        <v>389</v>
      </c>
      <c r="C14" s="58">
        <f>SUM('Sept 16-30'!C14,'Oct 1-15'!C14,'Oct 16-31'!C14,'Nov 1-15'!C14,'Nov 16-30'!C14,'Dec 1-15'!C14,'Dec 16-31'!C14,'Jan 1-15'!C14,'Jan 16-31'!C14,'Feb 1-15'!C14,'Feb 16-28'!C14,'Mar 1-15'!C14)</f>
        <v>668.7</v>
      </c>
      <c r="D14" s="58">
        <f>SUM('Sept 16-30'!D14,'Oct 1-15'!D14,'Oct 16-31'!D14,'Nov 1-15'!D14,'Nov 16-30'!D14,'Dec 1-15'!D14,'Dec 16-31'!D14,'Jan 1-15'!D14,'Jan 16-31'!D14,'Feb 1-15'!D14,'Feb 16-28'!D14,'Mar 1-15'!D14)</f>
        <v>0</v>
      </c>
      <c r="E14" s="58">
        <f>SUM('Sept 16-30'!E14,'Oct 1-15'!E14,'Oct 16-31'!E14,'Nov 1-15'!E14,'Nov 16-30'!E14,'Dec 1-15'!E14,'Dec 16-31'!E14,'Jan 1-15'!E14,'Jan 16-31'!E14,'Feb 1-15'!E14,'Feb 16-28'!E14,'Mar 1-15'!E14)</f>
        <v>158</v>
      </c>
      <c r="F14" s="58">
        <f>SUM('Sept 16-30'!F14,'Oct 1-15'!F14,'Oct 16-31'!F14,'Nov 1-15'!F14,'Nov 16-30'!F14,'Dec 1-15'!F14,'Dec 16-31'!F14,'Jan 1-15'!F14,'Jan 16-31'!F14,'Feb 1-15'!F14,'Feb 16-28'!F14,'Mar 1-15'!F14)</f>
        <v>0</v>
      </c>
      <c r="G14" s="58">
        <f>SUM('Sept 16-30'!G14,'Oct 1-15'!G14,'Oct 16-31'!G14,'Nov 1-15'!G14,'Nov 16-30'!G14,'Dec 1-15'!G14,'Dec 16-31'!G14,'Jan 1-15'!G14,'Jan 16-31'!G14,'Feb 1-15'!G14,'Feb 16-28'!G14,'Mar 1-15'!G14)</f>
        <v>2</v>
      </c>
      <c r="H14" s="59">
        <f t="shared" si="2"/>
        <v>828.7</v>
      </c>
      <c r="I14" s="60">
        <f>SUM('Sept 16-30'!I14,'Oct 1-15'!I14,'Oct 16-31'!I14,'Nov 1-15'!I14,'Nov 16-30'!I14,'Dec 1-15'!I14,'Dec 16-31'!I14,'Jan 1-15'!I14,'Jan 16-31'!I14,'Feb 1-15'!I14,'Feb 16-28'!I14,'Mar 1-15'!I14)</f>
        <v>51.79</v>
      </c>
      <c r="J14" s="60">
        <f>SUM('Sept 16-30'!J14,'Oct 1-15'!J14,'Oct 16-31'!J14,'Nov 1-15'!J14,'Nov 16-30'!J14,'Dec 1-15'!J14,'Dec 16-31'!J14,'Jan 1-15'!J14,'Jan 16-31'!J14,'Feb 1-15'!J14,'Feb 16-28'!J14,'Mar 1-15'!J14)</f>
        <v>0</v>
      </c>
      <c r="K14" s="60">
        <f>SUM('Sept 16-30'!K14,'Oct 1-15'!K14,'Oct 16-31'!K14,'Nov 1-15'!K14,'Nov 16-30'!K14,'Dec 1-15'!K14,'Dec 16-31'!K14,'Jan 1-15'!K14,'Jan 16-31'!K14,'Feb 1-15'!K14,'Feb 16-28'!K14,'Mar 1-15'!K14)</f>
        <v>28.9</v>
      </c>
      <c r="L14" s="60">
        <f>SUM('Sept 16-30'!L14,'Oct 1-15'!L14,'Oct 16-31'!L14,'Nov 1-15'!L14,'Nov 16-30'!L14,'Dec 1-15'!L14,'Dec 16-31'!L14,'Jan 1-15'!L14,'Jan 16-31'!L14,'Feb 1-15'!L14,'Feb 16-28'!L14,'Mar 1-15'!L14)</f>
        <v>0</v>
      </c>
      <c r="M14" s="60">
        <f>SUM('Sept 16-30'!M14,'Oct 1-15'!M14,'Oct 16-31'!M14,'Nov 1-15'!M14,'Nov 16-30'!M14,'Dec 1-15'!M14,'Dec 16-31'!M14,'Jan 1-15'!M14,'Jan 16-31'!M14,'Feb 1-15'!M14,'Feb 16-28'!M14,'Mar 1-15'!M14)</f>
        <v>28.6</v>
      </c>
      <c r="N14" s="60">
        <f>SUM('Sept 16-30'!N14,'Oct 1-15'!N14,'Oct 16-31'!N14,'Nov 1-15'!N14,'Nov 16-30'!N14,'Dec 1-15'!N14,'Dec 16-31'!N14,'Jan 1-15'!N14,'Jan 16-31'!N14,'Feb 1-15'!N14,'Feb 16-28'!N14,'Mar 1-15'!N14)</f>
        <v>0</v>
      </c>
      <c r="O14" s="60">
        <f>SUM('Sept 16-30'!O14,'Oct 1-15'!O14,'Oct 16-31'!O14,'Nov 1-15'!O14,'Nov 16-30'!O14,'Dec 1-15'!O14,'Dec 16-31'!O14,'Jan 1-15'!O14,'Jan 16-31'!O14,'Feb 1-15'!O14,'Feb 16-28'!O14,'Mar 1-15'!O14)</f>
        <v>0</v>
      </c>
      <c r="P14" s="60">
        <f>SUM('Sept 16-30'!P14,'Oct 1-15'!P14,'Oct 16-31'!P14,'Nov 1-15'!P14,'Nov 16-30'!P14,'Dec 1-15'!P14,'Dec 16-31'!P14,'Jan 1-15'!P14,'Jan 16-31'!P14,'Feb 1-15'!P14,'Feb 16-28'!P14,'Mar 1-15'!P14)</f>
        <v>0</v>
      </c>
      <c r="Q14" s="61">
        <f t="shared" si="3"/>
        <v>109.29</v>
      </c>
      <c r="R14" s="62">
        <f>SUM('Sept 16-30'!R14,'Oct 1-15'!R14,'Oct 16-31'!R14,'Nov 1-15'!R14,'Nov 16-30'!R14,'Dec 1-15'!R14,'Dec 16-31'!R14,'Jan 1-15'!R14,'Jan 16-31'!R14,'Feb 1-15'!R14,'Feb 16-28'!R14,'Mar 1-15'!R14)</f>
        <v>720.49</v>
      </c>
      <c r="S14" s="62">
        <f>SUM('Sept 16-30'!S14,'Oct 1-15'!S14,'Oct 16-31'!S14,'Nov 1-15'!S14,'Nov 16-30'!S14,'Dec 1-15'!S14,'Dec 16-31'!S14,'Jan 1-15'!S14,'Jan 16-31'!S14,'Feb 1-15'!S14,'Feb 16-28'!S14,'Mar 1-15'!S14)</f>
        <v>0</v>
      </c>
      <c r="T14" s="62">
        <f>SUM('Sept 16-30'!T14,'Oct 1-15'!T14,'Oct 16-31'!T14,'Nov 1-15'!T14,'Nov 16-30'!T14,'Dec 1-15'!T14,'Dec 16-31'!T14,'Jan 1-15'!T14,'Jan 16-31'!T14,'Feb 1-15'!T14,'Feb 16-28'!T14,'Mar 1-15'!T14)</f>
        <v>186.9</v>
      </c>
      <c r="U14" s="62">
        <f>SUM('Sept 16-30'!U14,'Oct 1-15'!U14,'Oct 16-31'!U14,'Nov 1-15'!U14,'Nov 16-30'!U14,'Dec 1-15'!U14,'Dec 16-31'!U14,'Jan 1-15'!U14,'Jan 16-31'!U14,'Feb 1-15'!U14,'Feb 16-28'!U14,'Mar 1-15'!U14)</f>
        <v>0</v>
      </c>
      <c r="V14" s="62">
        <f>SUM('Sept 16-30'!V14,'Oct 1-15'!V14,'Oct 16-31'!V14,'Nov 1-15'!V14,'Nov 16-30'!V14,'Dec 1-15'!V14,'Dec 16-31'!V14,'Jan 1-15'!V14,'Jan 16-31'!V14,'Feb 1-15'!V14,'Feb 16-28'!V14,'Mar 1-15'!V14)</f>
        <v>30.6</v>
      </c>
      <c r="W14" s="63">
        <f t="shared" si="4"/>
        <v>937.99</v>
      </c>
      <c r="X14" s="64"/>
    </row>
    <row r="15" ht="14.25" customHeight="1">
      <c r="A15" s="58" t="s">
        <v>23</v>
      </c>
      <c r="B15" s="58">
        <f>SUM('Sept 16-30'!B15,'Oct 1-15'!B15,'Oct 16-31'!B15,'Nov 1-15'!B15,'Nov 16-30'!B15,'Dec 1-15'!B15,'Dec 16-31'!B15,'Jan 1-15'!B15,'Jan 16-31'!B15,'Feb 1-15'!B15,'Feb 16-28'!B15,'Mar 1-15'!B15)</f>
        <v>114</v>
      </c>
      <c r="C15" s="58">
        <f>SUM('Sept 16-30'!C15,'Oct 1-15'!C15,'Oct 16-31'!C15,'Nov 1-15'!C15,'Nov 16-30'!C15,'Dec 1-15'!C15,'Dec 16-31'!C15,'Jan 1-15'!C15,'Jan 16-31'!C15,'Feb 1-15'!C15,'Feb 16-28'!C15,'Mar 1-15'!C15)</f>
        <v>20.5</v>
      </c>
      <c r="D15" s="58">
        <f>SUM('Sept 16-30'!D15,'Oct 1-15'!D15,'Oct 16-31'!D15,'Nov 1-15'!D15,'Nov 16-30'!D15,'Dec 1-15'!D15,'Dec 16-31'!D15,'Jan 1-15'!D15,'Jan 16-31'!D15,'Feb 1-15'!D15,'Feb 16-28'!D15,'Mar 1-15'!D15)</f>
        <v>0</v>
      </c>
      <c r="E15" s="58">
        <f>SUM('Sept 16-30'!E15,'Oct 1-15'!E15,'Oct 16-31'!E15,'Nov 1-15'!E15,'Nov 16-30'!E15,'Dec 1-15'!E15,'Dec 16-31'!E15,'Jan 1-15'!E15,'Jan 16-31'!E15,'Feb 1-15'!E15,'Feb 16-28'!E15,'Mar 1-15'!E15)</f>
        <v>33</v>
      </c>
      <c r="F15" s="58">
        <f>SUM('Sept 16-30'!F15,'Oct 1-15'!F15,'Oct 16-31'!F15,'Nov 1-15'!F15,'Nov 16-30'!F15,'Dec 1-15'!F15,'Dec 16-31'!F15,'Jan 1-15'!F15,'Jan 16-31'!F15,'Feb 1-15'!F15,'Feb 16-28'!F15,'Mar 1-15'!F15)</f>
        <v>0</v>
      </c>
      <c r="G15" s="58">
        <f>SUM('Sept 16-30'!G15,'Oct 1-15'!G15,'Oct 16-31'!G15,'Nov 1-15'!G15,'Nov 16-30'!G15,'Dec 1-15'!G15,'Dec 16-31'!G15,'Jan 1-15'!G15,'Jan 16-31'!G15,'Feb 1-15'!G15,'Feb 16-28'!G15,'Mar 1-15'!G15)</f>
        <v>2.8</v>
      </c>
      <c r="H15" s="59">
        <f t="shared" si="2"/>
        <v>56.3</v>
      </c>
      <c r="I15" s="60">
        <f>SUM('Sept 16-30'!I15,'Oct 1-15'!I15,'Oct 16-31'!I15,'Nov 1-15'!I15,'Nov 16-30'!I15,'Dec 1-15'!I15,'Dec 16-31'!I15,'Jan 1-15'!I15,'Jan 16-31'!I15,'Feb 1-15'!I15,'Feb 16-28'!I15,'Mar 1-15'!I15)</f>
        <v>71.5</v>
      </c>
      <c r="J15" s="60">
        <f>SUM('Sept 16-30'!J15,'Oct 1-15'!J15,'Oct 16-31'!J15,'Nov 1-15'!J15,'Nov 16-30'!J15,'Dec 1-15'!J15,'Dec 16-31'!J15,'Jan 1-15'!J15,'Jan 16-31'!J15,'Feb 1-15'!J15,'Feb 16-28'!J15,'Mar 1-15'!J15)</f>
        <v>0</v>
      </c>
      <c r="K15" s="60">
        <f>SUM('Sept 16-30'!K15,'Oct 1-15'!K15,'Oct 16-31'!K15,'Nov 1-15'!K15,'Nov 16-30'!K15,'Dec 1-15'!K15,'Dec 16-31'!K15,'Jan 1-15'!K15,'Jan 16-31'!K15,'Feb 1-15'!K15,'Feb 16-28'!K15,'Mar 1-15'!K15)</f>
        <v>143.7</v>
      </c>
      <c r="L15" s="60">
        <f>SUM('Sept 16-30'!L15,'Oct 1-15'!L15,'Oct 16-31'!L15,'Nov 1-15'!L15,'Nov 16-30'!L15,'Dec 1-15'!L15,'Dec 16-31'!L15,'Jan 1-15'!L15,'Jan 16-31'!L15,'Feb 1-15'!L15,'Feb 16-28'!L15,'Mar 1-15'!L15)</f>
        <v>0</v>
      </c>
      <c r="M15" s="60">
        <f>SUM('Sept 16-30'!M15,'Oct 1-15'!M15,'Oct 16-31'!M15,'Nov 1-15'!M15,'Nov 16-30'!M15,'Dec 1-15'!M15,'Dec 16-31'!M15,'Jan 1-15'!M15,'Jan 16-31'!M15,'Feb 1-15'!M15,'Feb 16-28'!M15,'Mar 1-15'!M15)</f>
        <v>20.5</v>
      </c>
      <c r="N15" s="60">
        <f>SUM('Sept 16-30'!N15,'Oct 1-15'!N15,'Oct 16-31'!N15,'Nov 1-15'!N15,'Nov 16-30'!N15,'Dec 1-15'!N15,'Dec 16-31'!N15,'Jan 1-15'!N15,'Jan 16-31'!N15,'Feb 1-15'!N15,'Feb 16-28'!N15,'Mar 1-15'!N15)</f>
        <v>0</v>
      </c>
      <c r="O15" s="60">
        <f>SUM('Sept 16-30'!O15,'Oct 1-15'!O15,'Oct 16-31'!O15,'Nov 1-15'!O15,'Nov 16-30'!O15,'Dec 1-15'!O15,'Dec 16-31'!O15,'Jan 1-15'!O15,'Jan 16-31'!O15,'Feb 1-15'!O15,'Feb 16-28'!O15,'Mar 1-15'!O15)</f>
        <v>0</v>
      </c>
      <c r="P15" s="60">
        <f>SUM('Sept 16-30'!P15,'Oct 1-15'!P15,'Oct 16-31'!P15,'Nov 1-15'!P15,'Nov 16-30'!P15,'Dec 1-15'!P15,'Dec 16-31'!P15,'Jan 1-15'!P15,'Jan 16-31'!P15,'Feb 1-15'!P15,'Feb 16-28'!P15,'Mar 1-15'!P15)</f>
        <v>0</v>
      </c>
      <c r="Q15" s="61">
        <f t="shared" si="3"/>
        <v>235.7</v>
      </c>
      <c r="R15" s="62">
        <f>SUM('Sept 16-30'!R15,'Oct 1-15'!R15,'Oct 16-31'!R15,'Nov 1-15'!R15,'Nov 16-30'!R15,'Dec 1-15'!R15,'Dec 16-31'!R15,'Jan 1-15'!R15,'Jan 16-31'!R15,'Feb 1-15'!R15,'Feb 16-28'!R15,'Mar 1-15'!R15)</f>
        <v>92</v>
      </c>
      <c r="S15" s="62">
        <f>SUM('Sept 16-30'!S15,'Oct 1-15'!S15,'Oct 16-31'!S15,'Nov 1-15'!S15,'Nov 16-30'!S15,'Dec 1-15'!S15,'Dec 16-31'!S15,'Jan 1-15'!S15,'Jan 16-31'!S15,'Feb 1-15'!S15,'Feb 16-28'!S15,'Mar 1-15'!S15)</f>
        <v>0</v>
      </c>
      <c r="T15" s="62">
        <f>SUM('Sept 16-30'!T15,'Oct 1-15'!T15,'Oct 16-31'!T15,'Nov 1-15'!T15,'Nov 16-30'!T15,'Dec 1-15'!T15,'Dec 16-31'!T15,'Jan 1-15'!T15,'Jan 16-31'!T15,'Feb 1-15'!T15,'Feb 16-28'!T15,'Mar 1-15'!T15)</f>
        <v>176.7</v>
      </c>
      <c r="U15" s="62">
        <f>SUM('Sept 16-30'!U15,'Oct 1-15'!U15,'Oct 16-31'!U15,'Nov 1-15'!U15,'Nov 16-30'!U15,'Dec 1-15'!U15,'Dec 16-31'!U15,'Jan 1-15'!U15,'Jan 16-31'!U15,'Feb 1-15'!U15,'Feb 16-28'!U15,'Mar 1-15'!U15)</f>
        <v>0</v>
      </c>
      <c r="V15" s="62">
        <f>SUM('Sept 16-30'!V15,'Oct 1-15'!V15,'Oct 16-31'!V15,'Nov 1-15'!V15,'Nov 16-30'!V15,'Dec 1-15'!V15,'Dec 16-31'!V15,'Jan 1-15'!V15,'Jan 16-31'!V15,'Feb 1-15'!V15,'Feb 16-28'!V15,'Mar 1-15'!V15)</f>
        <v>23.3</v>
      </c>
      <c r="W15" s="63">
        <f t="shared" si="4"/>
        <v>292</v>
      </c>
      <c r="X15" s="64"/>
    </row>
    <row r="16" ht="14.25" customHeight="1">
      <c r="A16" s="58" t="s">
        <v>24</v>
      </c>
      <c r="B16" s="58">
        <f>SUM('Sept 16-30'!B16,'Oct 1-15'!B16,'Oct 16-31'!B16,'Nov 1-15'!B16,'Nov 16-30'!B16,'Dec 1-15'!B16,'Dec 16-31'!B16,'Jan 1-15'!B16,'Jan 16-31'!B16,'Feb 1-15'!B16,'Feb 16-28'!B16,'Mar 1-15'!B16)</f>
        <v>141</v>
      </c>
      <c r="C16" s="58">
        <f>SUM('Sept 16-30'!C16,'Oct 1-15'!C16,'Oct 16-31'!C16,'Nov 1-15'!C16,'Nov 16-30'!C16,'Dec 1-15'!C16,'Dec 16-31'!C16,'Jan 1-15'!C16,'Jan 16-31'!C16,'Feb 1-15'!C16,'Feb 16-28'!C16,'Mar 1-15'!C16)</f>
        <v>81.5</v>
      </c>
      <c r="D16" s="58">
        <f>SUM('Sept 16-30'!D16,'Oct 1-15'!D16,'Oct 16-31'!D16,'Nov 1-15'!D16,'Nov 16-30'!D16,'Dec 1-15'!D16,'Dec 16-31'!D16,'Jan 1-15'!D16,'Jan 16-31'!D16,'Feb 1-15'!D16,'Feb 16-28'!D16,'Mar 1-15'!D16)</f>
        <v>0</v>
      </c>
      <c r="E16" s="58">
        <f>SUM('Sept 16-30'!E16,'Oct 1-15'!E16,'Oct 16-31'!E16,'Nov 1-15'!E16,'Nov 16-30'!E16,'Dec 1-15'!E16,'Dec 16-31'!E16,'Jan 1-15'!E16,'Jan 16-31'!E16,'Feb 1-15'!E16,'Feb 16-28'!E16,'Mar 1-15'!E16)</f>
        <v>82.9</v>
      </c>
      <c r="F16" s="58">
        <f>SUM('Sept 16-30'!F16,'Oct 1-15'!F16,'Oct 16-31'!F16,'Nov 1-15'!F16,'Nov 16-30'!F16,'Dec 1-15'!F16,'Dec 16-31'!F16,'Jan 1-15'!F16,'Jan 16-31'!F16,'Feb 1-15'!F16,'Feb 16-28'!F16,'Mar 1-15'!F16)</f>
        <v>0</v>
      </c>
      <c r="G16" s="58">
        <f>SUM('Sept 16-30'!G16,'Oct 1-15'!G16,'Oct 16-31'!G16,'Nov 1-15'!G16,'Nov 16-30'!G16,'Dec 1-15'!G16,'Dec 16-31'!G16,'Jan 1-15'!G16,'Jan 16-31'!G16,'Feb 1-15'!G16,'Feb 16-28'!G16,'Mar 1-15'!G16)</f>
        <v>11</v>
      </c>
      <c r="H16" s="59">
        <f t="shared" si="2"/>
        <v>175.4</v>
      </c>
      <c r="I16" s="60">
        <f>SUM('Sept 16-30'!I16,'Oct 1-15'!I16,'Oct 16-31'!I16,'Nov 1-15'!I16,'Nov 16-30'!I16,'Dec 1-15'!I16,'Dec 16-31'!I16,'Jan 1-15'!I16,'Jan 16-31'!I16,'Feb 1-15'!I16,'Feb 16-28'!I16,'Mar 1-15'!I16)</f>
        <v>0</v>
      </c>
      <c r="J16" s="60">
        <f>SUM('Sept 16-30'!J16,'Oct 1-15'!J16,'Oct 16-31'!J16,'Nov 1-15'!J16,'Nov 16-30'!J16,'Dec 1-15'!J16,'Dec 16-31'!J16,'Jan 1-15'!J16,'Jan 16-31'!J16,'Feb 1-15'!J16,'Feb 16-28'!J16,'Mar 1-15'!J16)</f>
        <v>0</v>
      </c>
      <c r="K16" s="60">
        <f>SUM('Sept 16-30'!K16,'Oct 1-15'!K16,'Oct 16-31'!K16,'Nov 1-15'!K16,'Nov 16-30'!K16,'Dec 1-15'!K16,'Dec 16-31'!K16,'Jan 1-15'!K16,'Jan 16-31'!K16,'Feb 1-15'!K16,'Feb 16-28'!K16,'Mar 1-15'!K16)</f>
        <v>73.7</v>
      </c>
      <c r="L16" s="60">
        <f>SUM('Sept 16-30'!L16,'Oct 1-15'!L16,'Oct 16-31'!L16,'Nov 1-15'!L16,'Nov 16-30'!L16,'Dec 1-15'!L16,'Dec 16-31'!L16,'Jan 1-15'!L16,'Jan 16-31'!L16,'Feb 1-15'!L16,'Feb 16-28'!L16,'Mar 1-15'!L16)</f>
        <v>0</v>
      </c>
      <c r="M16" s="60">
        <f>SUM('Sept 16-30'!M16,'Oct 1-15'!M16,'Oct 16-31'!M16,'Nov 1-15'!M16,'Nov 16-30'!M16,'Dec 1-15'!M16,'Dec 16-31'!M16,'Jan 1-15'!M16,'Jan 16-31'!M16,'Feb 1-15'!M16,'Feb 16-28'!M16,'Mar 1-15'!M16)</f>
        <v>2.9</v>
      </c>
      <c r="N16" s="60">
        <f>SUM('Sept 16-30'!N16,'Oct 1-15'!N16,'Oct 16-31'!N16,'Nov 1-15'!N16,'Nov 16-30'!N16,'Dec 1-15'!N16,'Dec 16-31'!N16,'Jan 1-15'!N16,'Jan 16-31'!N16,'Feb 1-15'!N16,'Feb 16-28'!N16,'Mar 1-15'!N16)</f>
        <v>0</v>
      </c>
      <c r="O16" s="60">
        <f>SUM('Sept 16-30'!O16,'Oct 1-15'!O16,'Oct 16-31'!O16,'Nov 1-15'!O16,'Nov 16-30'!O16,'Dec 1-15'!O16,'Dec 16-31'!O16,'Jan 1-15'!O16,'Jan 16-31'!O16,'Feb 1-15'!O16,'Feb 16-28'!O16,'Mar 1-15'!O16)</f>
        <v>0</v>
      </c>
      <c r="P16" s="60">
        <f>SUM('Sept 16-30'!P16,'Oct 1-15'!P16,'Oct 16-31'!P16,'Nov 1-15'!P16,'Nov 16-30'!P16,'Dec 1-15'!P16,'Dec 16-31'!P16,'Jan 1-15'!P16,'Jan 16-31'!P16,'Feb 1-15'!P16,'Feb 16-28'!P16,'Mar 1-15'!P16)</f>
        <v>0</v>
      </c>
      <c r="Q16" s="61">
        <f t="shared" si="3"/>
        <v>76.6</v>
      </c>
      <c r="R16" s="62">
        <f>SUM('Sept 16-30'!R16,'Oct 1-15'!R16,'Oct 16-31'!R16,'Nov 1-15'!R16,'Nov 16-30'!R16,'Dec 1-15'!R16,'Dec 16-31'!R16,'Jan 1-15'!R16,'Jan 16-31'!R16,'Feb 1-15'!R16,'Feb 16-28'!R16,'Mar 1-15'!R16)</f>
        <v>81.5</v>
      </c>
      <c r="S16" s="62">
        <f>SUM('Sept 16-30'!S16,'Oct 1-15'!S16,'Oct 16-31'!S16,'Nov 1-15'!S16,'Nov 16-30'!S16,'Dec 1-15'!S16,'Dec 16-31'!S16,'Jan 1-15'!S16,'Jan 16-31'!S16,'Feb 1-15'!S16,'Feb 16-28'!S16,'Mar 1-15'!S16)</f>
        <v>0</v>
      </c>
      <c r="T16" s="62">
        <f>SUM('Sept 16-30'!T16,'Oct 1-15'!T16,'Oct 16-31'!T16,'Nov 1-15'!T16,'Nov 16-30'!T16,'Dec 1-15'!T16,'Dec 16-31'!T16,'Jan 1-15'!T16,'Jan 16-31'!T16,'Feb 1-15'!T16,'Feb 16-28'!T16,'Mar 1-15'!T16)</f>
        <v>156.6</v>
      </c>
      <c r="U16" s="62">
        <f>SUM('Sept 16-30'!U16,'Oct 1-15'!U16,'Oct 16-31'!U16,'Nov 1-15'!U16,'Nov 16-30'!U16,'Dec 1-15'!U16,'Dec 16-31'!U16,'Jan 1-15'!U16,'Jan 16-31'!U16,'Feb 1-15'!U16,'Feb 16-28'!U16,'Mar 1-15'!U16)</f>
        <v>0</v>
      </c>
      <c r="V16" s="62">
        <f>SUM('Sept 16-30'!V16,'Oct 1-15'!V16,'Oct 16-31'!V16,'Nov 1-15'!V16,'Nov 16-30'!V16,'Dec 1-15'!V16,'Dec 16-31'!V16,'Jan 1-15'!V16,'Jan 16-31'!V16,'Feb 1-15'!V16,'Feb 16-28'!V16,'Mar 1-15'!V16)</f>
        <v>13.9</v>
      </c>
      <c r="W16" s="63">
        <f t="shared" si="4"/>
        <v>252</v>
      </c>
      <c r="X16" s="64"/>
    </row>
    <row r="17" ht="14.25" customHeight="1">
      <c r="A17" s="58" t="s">
        <v>25</v>
      </c>
      <c r="B17" s="58">
        <f>SUM('Sept 16-30'!B17,'Oct 1-15'!B17,'Oct 16-31'!B17,'Nov 1-15'!B17,'Nov 16-30'!B17,'Dec 1-15'!B17,'Dec 16-31'!B17,'Jan 1-15'!B17,'Jan 16-31'!B17,'Feb 1-15'!B17,'Feb 16-28'!B17,'Mar 1-15'!B17)</f>
        <v>341</v>
      </c>
      <c r="C17" s="58">
        <f>SUM('Sept 16-30'!C17,'Oct 1-15'!C17,'Oct 16-31'!C17,'Nov 1-15'!C17,'Nov 16-30'!C17,'Dec 1-15'!C17,'Dec 16-31'!C17,'Jan 1-15'!C17,'Jan 16-31'!C17,'Feb 1-15'!C17,'Feb 16-28'!C17,'Mar 1-15'!C17)</f>
        <v>11.3</v>
      </c>
      <c r="D17" s="58">
        <f>SUM('Sept 16-30'!D17,'Oct 1-15'!D17,'Oct 16-31'!D17,'Nov 1-15'!D17,'Nov 16-30'!D17,'Dec 1-15'!D17,'Dec 16-31'!D17,'Jan 1-15'!D17,'Jan 16-31'!D17,'Feb 1-15'!D17,'Feb 16-28'!D17,'Mar 1-15'!D17)</f>
        <v>0</v>
      </c>
      <c r="E17" s="58">
        <f>SUM('Sept 16-30'!E17,'Oct 1-15'!E17,'Oct 16-31'!E17,'Nov 1-15'!E17,'Nov 16-30'!E17,'Dec 1-15'!E17,'Dec 16-31'!E17,'Jan 1-15'!E17,'Jan 16-31'!E17,'Feb 1-15'!E17,'Feb 16-28'!E17,'Mar 1-15'!E17)</f>
        <v>295.7</v>
      </c>
      <c r="F17" s="58">
        <f>SUM('Sept 16-30'!F17,'Oct 1-15'!F17,'Oct 16-31'!F17,'Nov 1-15'!F17,'Nov 16-30'!F17,'Dec 1-15'!F17,'Dec 16-31'!F17,'Jan 1-15'!F17,'Jan 16-31'!F17,'Feb 1-15'!F17,'Feb 16-28'!F17,'Mar 1-15'!F17)</f>
        <v>0</v>
      </c>
      <c r="G17" s="58">
        <f>SUM('Sept 16-30'!G17,'Oct 1-15'!G17,'Oct 16-31'!G17,'Nov 1-15'!G17,'Nov 16-30'!G17,'Dec 1-15'!G17,'Dec 16-31'!G17,'Jan 1-15'!G17,'Jan 16-31'!G17,'Feb 1-15'!G17,'Feb 16-28'!G17,'Mar 1-15'!G17)</f>
        <v>47.19</v>
      </c>
      <c r="H17" s="59">
        <f t="shared" si="2"/>
        <v>354.19</v>
      </c>
      <c r="I17" s="60">
        <f>SUM('Sept 16-30'!I17,'Oct 1-15'!I17,'Oct 16-31'!I17,'Nov 1-15'!I17,'Nov 16-30'!I17,'Dec 1-15'!I17,'Dec 16-31'!I17,'Jan 1-15'!I17,'Jan 16-31'!I17,'Feb 1-15'!I17,'Feb 16-28'!I17,'Mar 1-15'!I17)</f>
        <v>15</v>
      </c>
      <c r="J17" s="60">
        <f>SUM('Sept 16-30'!J17,'Oct 1-15'!J17,'Oct 16-31'!J17,'Nov 1-15'!J17,'Nov 16-30'!J17,'Dec 1-15'!J17,'Dec 16-31'!J17,'Jan 1-15'!J17,'Jan 16-31'!J17,'Feb 1-15'!J17,'Feb 16-28'!J17,'Mar 1-15'!J17)</f>
        <v>0</v>
      </c>
      <c r="K17" s="60">
        <f>SUM('Sept 16-30'!K17,'Oct 1-15'!K17,'Oct 16-31'!K17,'Nov 1-15'!K17,'Nov 16-30'!K17,'Dec 1-15'!K17,'Dec 16-31'!K17,'Jan 1-15'!K17,'Jan 16-31'!K17,'Feb 1-15'!K17,'Feb 16-28'!K17,'Mar 1-15'!K17)</f>
        <v>181</v>
      </c>
      <c r="L17" s="60">
        <f>SUM('Sept 16-30'!L17,'Oct 1-15'!L17,'Oct 16-31'!L17,'Nov 1-15'!L17,'Nov 16-30'!L17,'Dec 1-15'!L17,'Dec 16-31'!L17,'Jan 1-15'!L17,'Jan 16-31'!L17,'Feb 1-15'!L17,'Feb 16-28'!L17,'Mar 1-15'!L17)</f>
        <v>0</v>
      </c>
      <c r="M17" s="60">
        <f>SUM('Sept 16-30'!M17,'Oct 1-15'!M17,'Oct 16-31'!M17,'Nov 1-15'!M17,'Nov 16-30'!M17,'Dec 1-15'!M17,'Dec 16-31'!M17,'Jan 1-15'!M17,'Jan 16-31'!M17,'Feb 1-15'!M17,'Feb 16-28'!M17,'Mar 1-15'!M17)</f>
        <v>43</v>
      </c>
      <c r="N17" s="60">
        <f>SUM('Sept 16-30'!N17,'Oct 1-15'!N17,'Oct 16-31'!N17,'Nov 1-15'!N17,'Nov 16-30'!N17,'Dec 1-15'!N17,'Dec 16-31'!N17,'Jan 1-15'!N17,'Jan 16-31'!N17,'Feb 1-15'!N17,'Feb 16-28'!N17,'Mar 1-15'!N17)</f>
        <v>0</v>
      </c>
      <c r="O17" s="60">
        <f>SUM('Sept 16-30'!O17,'Oct 1-15'!O17,'Oct 16-31'!O17,'Nov 1-15'!O17,'Nov 16-30'!O17,'Dec 1-15'!O17,'Dec 16-31'!O17,'Jan 1-15'!O17,'Jan 16-31'!O17,'Feb 1-15'!O17,'Feb 16-28'!O17,'Mar 1-15'!O17)</f>
        <v>0</v>
      </c>
      <c r="P17" s="60">
        <f>SUM('Sept 16-30'!P17,'Oct 1-15'!P17,'Oct 16-31'!P17,'Nov 1-15'!P17,'Nov 16-30'!P17,'Dec 1-15'!P17,'Dec 16-31'!P17,'Jan 1-15'!P17,'Jan 16-31'!P17,'Feb 1-15'!P17,'Feb 16-28'!P17,'Mar 1-15'!P17)</f>
        <v>0</v>
      </c>
      <c r="Q17" s="61">
        <f t="shared" si="3"/>
        <v>239</v>
      </c>
      <c r="R17" s="62">
        <f>SUM('Sept 16-30'!R17,'Oct 1-15'!R17,'Oct 16-31'!R17,'Nov 1-15'!R17,'Nov 16-30'!R17,'Dec 1-15'!R17,'Dec 16-31'!R17,'Jan 1-15'!R17,'Jan 16-31'!R17,'Feb 1-15'!R17,'Feb 16-28'!R17,'Mar 1-15'!R17)</f>
        <v>26.3</v>
      </c>
      <c r="S17" s="62">
        <f>SUM('Sept 16-30'!S17,'Oct 1-15'!S17,'Oct 16-31'!S17,'Nov 1-15'!S17,'Nov 16-30'!S17,'Dec 1-15'!S17,'Dec 16-31'!S17,'Jan 1-15'!S17,'Jan 16-31'!S17,'Feb 1-15'!S17,'Feb 16-28'!S17,'Mar 1-15'!S17)</f>
        <v>0</v>
      </c>
      <c r="T17" s="62">
        <f>SUM('Sept 16-30'!T17,'Oct 1-15'!T17,'Oct 16-31'!T17,'Nov 1-15'!T17,'Nov 16-30'!T17,'Dec 1-15'!T17,'Dec 16-31'!T17,'Jan 1-15'!T17,'Jan 16-31'!T17,'Feb 1-15'!T17,'Feb 16-28'!T17,'Mar 1-15'!T17)</f>
        <v>476.7</v>
      </c>
      <c r="U17" s="62">
        <f>SUM('Sept 16-30'!U17,'Oct 1-15'!U17,'Oct 16-31'!U17,'Nov 1-15'!U17,'Nov 16-30'!U17,'Dec 1-15'!U17,'Dec 16-31'!U17,'Jan 1-15'!U17,'Jan 16-31'!U17,'Feb 1-15'!U17,'Feb 16-28'!U17,'Mar 1-15'!U17)</f>
        <v>0</v>
      </c>
      <c r="V17" s="62">
        <f>SUM('Sept 16-30'!V17,'Oct 1-15'!V17,'Oct 16-31'!V17,'Nov 1-15'!V17,'Nov 16-30'!V17,'Dec 1-15'!V17,'Dec 16-31'!V17,'Jan 1-15'!V17,'Jan 16-31'!V17,'Feb 1-15'!V17,'Feb 16-28'!V17,'Mar 1-15'!V17)</f>
        <v>90.19</v>
      </c>
      <c r="W17" s="63">
        <f t="shared" si="4"/>
        <v>593.19</v>
      </c>
      <c r="X17" s="64"/>
    </row>
    <row r="18" ht="14.25" customHeight="1">
      <c r="A18" s="58" t="s">
        <v>26</v>
      </c>
      <c r="B18" s="58">
        <f>SUM('Sept 16-30'!B18,'Oct 1-15'!B18,'Oct 16-31'!B18,'Nov 1-15'!B18,'Nov 16-30'!B18,'Dec 1-15'!B18,'Dec 16-31'!B18,'Jan 1-15'!B18,'Jan 16-31'!B18,'Feb 1-15'!B18,'Feb 16-28'!B18,'Mar 1-15'!B18)</f>
        <v>54</v>
      </c>
      <c r="C18" s="58">
        <f>SUM('Sept 16-30'!C18,'Oct 1-15'!C18,'Oct 16-31'!C18,'Nov 1-15'!C18,'Nov 16-30'!C18,'Dec 1-15'!C18,'Dec 16-31'!C18,'Jan 1-15'!C18,'Jan 16-31'!C18,'Feb 1-15'!C18,'Feb 16-28'!C18,'Mar 1-15'!C18)</f>
        <v>0</v>
      </c>
      <c r="D18" s="58">
        <f>SUM('Sept 16-30'!D18,'Oct 1-15'!D18,'Oct 16-31'!D18,'Nov 1-15'!D18,'Nov 16-30'!D18,'Dec 1-15'!D18,'Dec 16-31'!D18,'Jan 1-15'!D18,'Jan 16-31'!D18,'Feb 1-15'!D18,'Feb 16-28'!D18,'Mar 1-15'!D18)</f>
        <v>0</v>
      </c>
      <c r="E18" s="58">
        <f>SUM('Sept 16-30'!E18,'Oct 1-15'!E18,'Oct 16-31'!E18,'Nov 1-15'!E18,'Nov 16-30'!E18,'Dec 1-15'!E18,'Dec 16-31'!E18,'Jan 1-15'!E18,'Jan 16-31'!E18,'Feb 1-15'!E18,'Feb 16-28'!E18,'Mar 1-15'!E18)</f>
        <v>18.5</v>
      </c>
      <c r="F18" s="58">
        <f>SUM('Sept 16-30'!F18,'Oct 1-15'!F18,'Oct 16-31'!F18,'Nov 1-15'!F18,'Nov 16-30'!F18,'Dec 1-15'!F18,'Dec 16-31'!F18,'Jan 1-15'!F18,'Jan 16-31'!F18,'Feb 1-15'!F18,'Feb 16-28'!F18,'Mar 1-15'!F18)</f>
        <v>0</v>
      </c>
      <c r="G18" s="58">
        <f>SUM('Sept 16-30'!G18,'Oct 1-15'!G18,'Oct 16-31'!G18,'Nov 1-15'!G18,'Nov 16-30'!G18,'Dec 1-15'!G18,'Dec 16-31'!G18,'Jan 1-15'!G18,'Jan 16-31'!G18,'Feb 1-15'!G18,'Feb 16-28'!G18,'Mar 1-15'!G18)</f>
        <v>0</v>
      </c>
      <c r="H18" s="59">
        <f t="shared" si="2"/>
        <v>18.5</v>
      </c>
      <c r="I18" s="60">
        <f>SUM('Sept 16-30'!I18,'Oct 1-15'!I18,'Oct 16-31'!I18,'Nov 1-15'!I18,'Nov 16-30'!I18,'Dec 1-15'!I18,'Dec 16-31'!I18,'Jan 1-15'!I18,'Jan 16-31'!I18,'Feb 1-15'!I18,'Feb 16-28'!I18,'Mar 1-15'!I18)</f>
        <v>40.3</v>
      </c>
      <c r="J18" s="60">
        <f>SUM('Sept 16-30'!J18,'Oct 1-15'!J18,'Oct 16-31'!J18,'Nov 1-15'!J18,'Nov 16-30'!J18,'Dec 1-15'!J18,'Dec 16-31'!J18,'Jan 1-15'!J18,'Jan 16-31'!J18,'Feb 1-15'!J18,'Feb 16-28'!J18,'Mar 1-15'!J18)</f>
        <v>0</v>
      </c>
      <c r="K18" s="60">
        <f>SUM('Sept 16-30'!K18,'Oct 1-15'!K18,'Oct 16-31'!K18,'Nov 1-15'!K18,'Nov 16-30'!K18,'Dec 1-15'!K18,'Dec 16-31'!K18,'Jan 1-15'!K18,'Jan 16-31'!K18,'Feb 1-15'!K18,'Feb 16-28'!K18,'Mar 1-15'!K18)</f>
        <v>52</v>
      </c>
      <c r="L18" s="60">
        <f>SUM('Sept 16-30'!L18,'Oct 1-15'!L18,'Oct 16-31'!L18,'Nov 1-15'!L18,'Nov 16-30'!L18,'Dec 1-15'!L18,'Dec 16-31'!L18,'Jan 1-15'!L18,'Jan 16-31'!L18,'Feb 1-15'!L18,'Feb 16-28'!L18,'Mar 1-15'!L18)</f>
        <v>0</v>
      </c>
      <c r="M18" s="60">
        <f>SUM('Sept 16-30'!M18,'Oct 1-15'!M18,'Oct 16-31'!M18,'Nov 1-15'!M18,'Nov 16-30'!M18,'Dec 1-15'!M18,'Dec 16-31'!M18,'Jan 1-15'!M18,'Jan 16-31'!M18,'Feb 1-15'!M18,'Feb 16-28'!M18,'Mar 1-15'!M18)</f>
        <v>0</v>
      </c>
      <c r="N18" s="60">
        <f>SUM('Sept 16-30'!N18,'Oct 1-15'!N18,'Oct 16-31'!N18,'Nov 1-15'!N18,'Nov 16-30'!N18,'Dec 1-15'!N18,'Dec 16-31'!N18,'Jan 1-15'!N18,'Jan 16-31'!N18,'Feb 1-15'!N18,'Feb 16-28'!N18,'Mar 1-15'!N18)</f>
        <v>0</v>
      </c>
      <c r="O18" s="60">
        <f>SUM('Sept 16-30'!O18,'Oct 1-15'!O18,'Oct 16-31'!O18,'Nov 1-15'!O18,'Nov 16-30'!O18,'Dec 1-15'!O18,'Dec 16-31'!O18,'Jan 1-15'!O18,'Jan 16-31'!O18,'Feb 1-15'!O18,'Feb 16-28'!O18,'Mar 1-15'!O18)</f>
        <v>0</v>
      </c>
      <c r="P18" s="60">
        <f>SUM('Sept 16-30'!P18,'Oct 1-15'!P18,'Oct 16-31'!P18,'Nov 1-15'!P18,'Nov 16-30'!P18,'Dec 1-15'!P18,'Dec 16-31'!P18,'Jan 1-15'!P18,'Jan 16-31'!P18,'Feb 1-15'!P18,'Feb 16-28'!P18,'Mar 1-15'!P18)</f>
        <v>0</v>
      </c>
      <c r="Q18" s="61">
        <f t="shared" si="3"/>
        <v>92.3</v>
      </c>
      <c r="R18" s="62">
        <f>SUM('Sept 16-30'!R18,'Oct 1-15'!R18,'Oct 16-31'!R18,'Nov 1-15'!R18,'Nov 16-30'!R18,'Dec 1-15'!R18,'Dec 16-31'!R18,'Jan 1-15'!R18,'Jan 16-31'!R18,'Feb 1-15'!R18,'Feb 16-28'!R18,'Mar 1-15'!R18)</f>
        <v>40.3</v>
      </c>
      <c r="S18" s="62">
        <f>SUM('Sept 16-30'!S18,'Oct 1-15'!S18,'Oct 16-31'!S18,'Nov 1-15'!S18,'Nov 16-30'!S18,'Dec 1-15'!S18,'Dec 16-31'!S18,'Jan 1-15'!S18,'Jan 16-31'!S18,'Feb 1-15'!S18,'Feb 16-28'!S18,'Mar 1-15'!S18)</f>
        <v>0</v>
      </c>
      <c r="T18" s="62">
        <f>SUM('Sept 16-30'!T18,'Oct 1-15'!T18,'Oct 16-31'!T18,'Nov 1-15'!T18,'Nov 16-30'!T18,'Dec 1-15'!T18,'Dec 16-31'!T18,'Jan 1-15'!T18,'Jan 16-31'!T18,'Feb 1-15'!T18,'Feb 16-28'!T18,'Mar 1-15'!T18)</f>
        <v>70.5</v>
      </c>
      <c r="U18" s="62">
        <f>SUM('Sept 16-30'!U18,'Oct 1-15'!U18,'Oct 16-31'!U18,'Nov 1-15'!U18,'Nov 16-30'!U18,'Dec 1-15'!U18,'Dec 16-31'!U18,'Jan 1-15'!U18,'Jan 16-31'!U18,'Feb 1-15'!U18,'Feb 16-28'!U18,'Mar 1-15'!U18)</f>
        <v>0</v>
      </c>
      <c r="V18" s="62">
        <f>SUM('Sept 16-30'!V18,'Oct 1-15'!V18,'Oct 16-31'!V18,'Nov 1-15'!V18,'Nov 16-30'!V18,'Dec 1-15'!V18,'Dec 16-31'!V18,'Jan 1-15'!V18,'Jan 16-31'!V18,'Feb 1-15'!V18,'Feb 16-28'!V18,'Mar 1-15'!V18)</f>
        <v>0</v>
      </c>
      <c r="W18" s="63">
        <f t="shared" si="4"/>
        <v>110.8</v>
      </c>
      <c r="X18" s="64"/>
    </row>
    <row r="19" ht="14.25" customHeight="1">
      <c r="A19" s="58" t="s">
        <v>27</v>
      </c>
      <c r="B19" s="58">
        <f>SUM('Sept 16-30'!B19,'Oct 1-15'!B19,'Oct 16-31'!B19,'Nov 1-15'!B19,'Nov 16-30'!B19,'Dec 1-15'!B19,'Dec 16-31'!B19,'Jan 1-15'!B19,'Jan 16-31'!B19,'Feb 1-15'!B19,'Feb 16-28'!B19,'Mar 1-15'!B19)</f>
        <v>239</v>
      </c>
      <c r="C19" s="58">
        <f>SUM('Sept 16-30'!C19,'Oct 1-15'!C19,'Oct 16-31'!C19,'Nov 1-15'!C19,'Nov 16-30'!C19,'Dec 1-15'!C19,'Dec 16-31'!C19,'Jan 1-15'!C19,'Jan 16-31'!C19,'Feb 1-15'!C19,'Feb 16-28'!C19,'Mar 1-15'!C19)</f>
        <v>144.51</v>
      </c>
      <c r="D19" s="58">
        <f>SUM('Sept 16-30'!D19,'Oct 1-15'!D19,'Oct 16-31'!D19,'Nov 1-15'!D19,'Nov 16-30'!D19,'Dec 1-15'!D19,'Dec 16-31'!D19,'Jan 1-15'!D19,'Jan 16-31'!D19,'Feb 1-15'!D19,'Feb 16-28'!D19,'Mar 1-15'!D19)</f>
        <v>0</v>
      </c>
      <c r="E19" s="58">
        <f>SUM('Sept 16-30'!E19,'Oct 1-15'!E19,'Oct 16-31'!E19,'Nov 1-15'!E19,'Nov 16-30'!E19,'Dec 1-15'!E19,'Dec 16-31'!E19,'Jan 1-15'!E19,'Jan 16-31'!E19,'Feb 1-15'!E19,'Feb 16-28'!E19,'Mar 1-15'!E19)</f>
        <v>126.65</v>
      </c>
      <c r="F19" s="58">
        <f>SUM('Sept 16-30'!F19,'Oct 1-15'!F19,'Oct 16-31'!F19,'Nov 1-15'!F19,'Nov 16-30'!F19,'Dec 1-15'!F19,'Dec 16-31'!F19,'Jan 1-15'!F19,'Jan 16-31'!F19,'Feb 1-15'!F19,'Feb 16-28'!F19,'Mar 1-15'!F19)</f>
        <v>0</v>
      </c>
      <c r="G19" s="58">
        <f>SUM('Sept 16-30'!G19,'Oct 1-15'!G19,'Oct 16-31'!G19,'Nov 1-15'!G19,'Nov 16-30'!G19,'Dec 1-15'!G19,'Dec 16-31'!G19,'Jan 1-15'!G19,'Jan 16-31'!G19,'Feb 1-15'!G19,'Feb 16-28'!G19,'Mar 1-15'!G19)</f>
        <v>17.7</v>
      </c>
      <c r="H19" s="59">
        <f t="shared" si="2"/>
        <v>288.86</v>
      </c>
      <c r="I19" s="60">
        <f>SUM('Sept 16-30'!I19,'Oct 1-15'!I19,'Oct 16-31'!I19,'Nov 1-15'!I19,'Nov 16-30'!I19,'Dec 1-15'!I19,'Dec 16-31'!I19,'Jan 1-15'!I19,'Jan 16-31'!I19,'Feb 1-15'!I19,'Feb 16-28'!I19,'Mar 1-15'!I19)</f>
        <v>40</v>
      </c>
      <c r="J19" s="60">
        <f>SUM('Sept 16-30'!J19,'Oct 1-15'!J19,'Oct 16-31'!J19,'Nov 1-15'!J19,'Nov 16-30'!J19,'Dec 1-15'!J19,'Dec 16-31'!J19,'Jan 1-15'!J19,'Jan 16-31'!J19,'Feb 1-15'!J19,'Feb 16-28'!J19,'Mar 1-15'!J19)</f>
        <v>0</v>
      </c>
      <c r="K19" s="60">
        <f>SUM('Sept 16-30'!K19,'Oct 1-15'!K19,'Oct 16-31'!K19,'Nov 1-15'!K19,'Nov 16-30'!K19,'Dec 1-15'!K19,'Dec 16-31'!K19,'Jan 1-15'!K19,'Jan 16-31'!K19,'Feb 1-15'!K19,'Feb 16-28'!K19,'Mar 1-15'!K19)</f>
        <v>47.5</v>
      </c>
      <c r="L19" s="60">
        <f>SUM('Sept 16-30'!L19,'Oct 1-15'!L19,'Oct 16-31'!L19,'Nov 1-15'!L19,'Nov 16-30'!L19,'Dec 1-15'!L19,'Dec 16-31'!L19,'Jan 1-15'!L19,'Jan 16-31'!L19,'Feb 1-15'!L19,'Feb 16-28'!L19,'Mar 1-15'!L19)</f>
        <v>0</v>
      </c>
      <c r="M19" s="60">
        <f>SUM('Sept 16-30'!M19,'Oct 1-15'!M19,'Oct 16-31'!M19,'Nov 1-15'!M19,'Nov 16-30'!M19,'Dec 1-15'!M19,'Dec 16-31'!M19,'Jan 1-15'!M19,'Jan 16-31'!M19,'Feb 1-15'!M19,'Feb 16-28'!M19,'Mar 1-15'!M19)</f>
        <v>8.5</v>
      </c>
      <c r="N19" s="60">
        <f>SUM('Sept 16-30'!N19,'Oct 1-15'!N19,'Oct 16-31'!N19,'Nov 1-15'!N19,'Nov 16-30'!N19,'Dec 1-15'!N19,'Dec 16-31'!N19,'Jan 1-15'!N19,'Jan 16-31'!N19,'Feb 1-15'!N19,'Feb 16-28'!N19,'Mar 1-15'!N19)</f>
        <v>0</v>
      </c>
      <c r="O19" s="60">
        <f>SUM('Sept 16-30'!O19,'Oct 1-15'!O19,'Oct 16-31'!O19,'Nov 1-15'!O19,'Nov 16-30'!O19,'Dec 1-15'!O19,'Dec 16-31'!O19,'Jan 1-15'!O19,'Jan 16-31'!O19,'Feb 1-15'!O19,'Feb 16-28'!O19,'Mar 1-15'!O19)</f>
        <v>0</v>
      </c>
      <c r="P19" s="60">
        <f>SUM('Sept 16-30'!P19,'Oct 1-15'!P19,'Oct 16-31'!P19,'Nov 1-15'!P19,'Nov 16-30'!P19,'Dec 1-15'!P19,'Dec 16-31'!P19,'Jan 1-15'!P19,'Jan 16-31'!P19,'Feb 1-15'!P19,'Feb 16-28'!P19,'Mar 1-15'!P19)</f>
        <v>0</v>
      </c>
      <c r="Q19" s="61">
        <f t="shared" si="3"/>
        <v>96</v>
      </c>
      <c r="R19" s="62">
        <f>SUM('Sept 16-30'!R19,'Oct 1-15'!R19,'Oct 16-31'!R19,'Nov 1-15'!R19,'Nov 16-30'!R19,'Dec 1-15'!R19,'Dec 16-31'!R19,'Jan 1-15'!R19,'Jan 16-31'!R19,'Feb 1-15'!R19,'Feb 16-28'!R19,'Mar 1-15'!R19)</f>
        <v>184.51</v>
      </c>
      <c r="S19" s="62">
        <f>SUM('Sept 16-30'!S19,'Oct 1-15'!S19,'Oct 16-31'!S19,'Nov 1-15'!S19,'Nov 16-30'!S19,'Dec 1-15'!S19,'Dec 16-31'!S19,'Jan 1-15'!S19,'Jan 16-31'!S19,'Feb 1-15'!S19,'Feb 16-28'!S19,'Mar 1-15'!S19)</f>
        <v>0</v>
      </c>
      <c r="T19" s="62">
        <f>SUM('Sept 16-30'!T19,'Oct 1-15'!T19,'Oct 16-31'!T19,'Nov 1-15'!T19,'Nov 16-30'!T19,'Dec 1-15'!T19,'Dec 16-31'!T19,'Jan 1-15'!T19,'Jan 16-31'!T19,'Feb 1-15'!T19,'Feb 16-28'!T19,'Mar 1-15'!T19)</f>
        <v>174.15</v>
      </c>
      <c r="U19" s="62">
        <f>SUM('Sept 16-30'!U19,'Oct 1-15'!U19,'Oct 16-31'!U19,'Nov 1-15'!U19,'Nov 16-30'!U19,'Dec 1-15'!U19,'Dec 16-31'!U19,'Jan 1-15'!U19,'Jan 16-31'!U19,'Feb 1-15'!U19,'Feb 16-28'!U19,'Mar 1-15'!U19)</f>
        <v>0</v>
      </c>
      <c r="V19" s="62">
        <f>SUM('Sept 16-30'!V19,'Oct 1-15'!V19,'Oct 16-31'!V19,'Nov 1-15'!V19,'Nov 16-30'!V19,'Dec 1-15'!V19,'Dec 16-31'!V19,'Jan 1-15'!V19,'Jan 16-31'!V19,'Feb 1-15'!V19,'Feb 16-28'!V19,'Mar 1-15'!V19)</f>
        <v>26.2</v>
      </c>
      <c r="W19" s="63">
        <f t="shared" si="4"/>
        <v>384.86</v>
      </c>
      <c r="X19" s="64"/>
    </row>
    <row r="20" ht="14.25" customHeight="1">
      <c r="A20" s="58" t="s">
        <v>28</v>
      </c>
      <c r="B20" s="58">
        <f>SUM('Sept 16-30'!B20,'Oct 1-15'!B20,'Oct 16-31'!B20,'Nov 1-15'!B20,'Nov 16-30'!B20,'Dec 1-15'!B20,'Dec 16-31'!B20,'Jan 1-15'!B20,'Jan 16-31'!B20,'Feb 1-15'!B20,'Feb 16-28'!B20,'Mar 1-15'!B20)</f>
        <v>365</v>
      </c>
      <c r="C20" s="58">
        <f>SUM('Sept 16-30'!C20,'Oct 1-15'!C20,'Oct 16-31'!C20,'Nov 1-15'!C20,'Nov 16-30'!C20,'Dec 1-15'!C20,'Dec 16-31'!C20,'Jan 1-15'!C20,'Jan 16-31'!C20,'Feb 1-15'!C20,'Feb 16-28'!C20,'Mar 1-15'!C20)</f>
        <v>305.05</v>
      </c>
      <c r="D20" s="58">
        <f>SUM('Sept 16-30'!D20,'Oct 1-15'!D20,'Oct 16-31'!D20,'Nov 1-15'!D20,'Nov 16-30'!D20,'Dec 1-15'!D20,'Dec 16-31'!D20,'Jan 1-15'!D20,'Jan 16-31'!D20,'Feb 1-15'!D20,'Feb 16-28'!D20,'Mar 1-15'!D20)</f>
        <v>0</v>
      </c>
      <c r="E20" s="58">
        <f>SUM('Sept 16-30'!E20,'Oct 1-15'!E20,'Oct 16-31'!E20,'Nov 1-15'!E20,'Nov 16-30'!E20,'Dec 1-15'!E20,'Dec 16-31'!E20,'Jan 1-15'!E20,'Jan 16-31'!E20,'Feb 1-15'!E20,'Feb 16-28'!E20,'Mar 1-15'!E20)</f>
        <v>364.6</v>
      </c>
      <c r="F20" s="58">
        <f>SUM('Sept 16-30'!F20,'Oct 1-15'!F20,'Oct 16-31'!F20,'Nov 1-15'!F20,'Nov 16-30'!F20,'Dec 1-15'!F20,'Dec 16-31'!F20,'Jan 1-15'!F20,'Jan 16-31'!F20,'Feb 1-15'!F20,'Feb 16-28'!F20,'Mar 1-15'!F20)</f>
        <v>0</v>
      </c>
      <c r="G20" s="58">
        <f>SUM('Sept 16-30'!G20,'Oct 1-15'!G20,'Oct 16-31'!G20,'Nov 1-15'!G20,'Nov 16-30'!G20,'Dec 1-15'!G20,'Dec 16-31'!G20,'Jan 1-15'!G20,'Jan 16-31'!G20,'Feb 1-15'!G20,'Feb 16-28'!G20,'Mar 1-15'!G20)</f>
        <v>12.3</v>
      </c>
      <c r="H20" s="59">
        <f t="shared" si="2"/>
        <v>681.95</v>
      </c>
      <c r="I20" s="60">
        <f>SUM('Sept 16-30'!I20,'Oct 1-15'!I20,'Oct 16-31'!I20,'Nov 1-15'!I20,'Nov 16-30'!I20,'Dec 1-15'!I20,'Dec 16-31'!I20,'Jan 1-15'!I20,'Jan 16-31'!I20,'Feb 1-15'!I20,'Feb 16-28'!I20,'Mar 1-15'!I20)</f>
        <v>10.5</v>
      </c>
      <c r="J20" s="60">
        <f>SUM('Sept 16-30'!J20,'Oct 1-15'!J20,'Oct 16-31'!J20,'Nov 1-15'!J20,'Nov 16-30'!J20,'Dec 1-15'!J20,'Dec 16-31'!J20,'Jan 1-15'!J20,'Jan 16-31'!J20,'Feb 1-15'!J20,'Feb 16-28'!J20,'Mar 1-15'!J20)</f>
        <v>0</v>
      </c>
      <c r="K20" s="60">
        <f>SUM('Sept 16-30'!K20,'Oct 1-15'!K20,'Oct 16-31'!K20,'Nov 1-15'!K20,'Nov 16-30'!K20,'Dec 1-15'!K20,'Dec 16-31'!K20,'Jan 1-15'!K20,'Jan 16-31'!K20,'Feb 1-15'!K20,'Feb 16-28'!K20,'Mar 1-15'!K20)</f>
        <v>29.5</v>
      </c>
      <c r="L20" s="60">
        <f>SUM('Sept 16-30'!L20,'Oct 1-15'!L20,'Oct 16-31'!L20,'Nov 1-15'!L20,'Nov 16-30'!L20,'Dec 1-15'!L20,'Dec 16-31'!L20,'Jan 1-15'!L20,'Jan 16-31'!L20,'Feb 1-15'!L20,'Feb 16-28'!L20,'Mar 1-15'!L20)</f>
        <v>0</v>
      </c>
      <c r="M20" s="60">
        <f>SUM('Sept 16-30'!M20,'Oct 1-15'!M20,'Oct 16-31'!M20,'Nov 1-15'!M20,'Nov 16-30'!M20,'Dec 1-15'!M20,'Dec 16-31'!M20,'Jan 1-15'!M20,'Jan 16-31'!M20,'Feb 1-15'!M20,'Feb 16-28'!M20,'Mar 1-15'!M20)</f>
        <v>4</v>
      </c>
      <c r="N20" s="60">
        <f>SUM('Sept 16-30'!N20,'Oct 1-15'!N20,'Oct 16-31'!N20,'Nov 1-15'!N20,'Nov 16-30'!N20,'Dec 1-15'!N20,'Dec 16-31'!N20,'Jan 1-15'!N20,'Jan 16-31'!N20,'Feb 1-15'!N20,'Feb 16-28'!N20,'Mar 1-15'!N20)</f>
        <v>0</v>
      </c>
      <c r="O20" s="60">
        <f>SUM('Sept 16-30'!O20,'Oct 1-15'!O20,'Oct 16-31'!O20,'Nov 1-15'!O20,'Nov 16-30'!O20,'Dec 1-15'!O20,'Dec 16-31'!O20,'Jan 1-15'!O20,'Jan 16-31'!O20,'Feb 1-15'!O20,'Feb 16-28'!O20,'Mar 1-15'!O20)</f>
        <v>0</v>
      </c>
      <c r="P20" s="60">
        <f>SUM('Sept 16-30'!P20,'Oct 1-15'!P20,'Oct 16-31'!P20,'Nov 1-15'!P20,'Nov 16-30'!P20,'Dec 1-15'!P20,'Dec 16-31'!P20,'Jan 1-15'!P20,'Jan 16-31'!P20,'Feb 1-15'!P20,'Feb 16-28'!P20,'Mar 1-15'!P20)</f>
        <v>0</v>
      </c>
      <c r="Q20" s="61">
        <f t="shared" si="3"/>
        <v>44</v>
      </c>
      <c r="R20" s="62">
        <f>SUM('Sept 16-30'!R20,'Oct 1-15'!R20,'Oct 16-31'!R20,'Nov 1-15'!R20,'Nov 16-30'!R20,'Dec 1-15'!R20,'Dec 16-31'!R20,'Jan 1-15'!R20,'Jan 16-31'!R20,'Feb 1-15'!R20,'Feb 16-28'!R20,'Mar 1-15'!R20)</f>
        <v>315.55</v>
      </c>
      <c r="S20" s="62">
        <f>SUM('Sept 16-30'!S20,'Oct 1-15'!S20,'Oct 16-31'!S20,'Nov 1-15'!S20,'Nov 16-30'!S20,'Dec 1-15'!S20,'Dec 16-31'!S20,'Jan 1-15'!S20,'Jan 16-31'!S20,'Feb 1-15'!S20,'Feb 16-28'!S20,'Mar 1-15'!S20)</f>
        <v>0</v>
      </c>
      <c r="T20" s="62">
        <f>SUM('Sept 16-30'!T20,'Oct 1-15'!T20,'Oct 16-31'!T20,'Nov 1-15'!T20,'Nov 16-30'!T20,'Dec 1-15'!T20,'Dec 16-31'!T20,'Jan 1-15'!T20,'Jan 16-31'!T20,'Feb 1-15'!T20,'Feb 16-28'!T20,'Mar 1-15'!T20)</f>
        <v>394.1</v>
      </c>
      <c r="U20" s="62">
        <f>SUM('Sept 16-30'!U20,'Oct 1-15'!U20,'Oct 16-31'!U20,'Nov 1-15'!U20,'Nov 16-30'!U20,'Dec 1-15'!U20,'Dec 16-31'!U20,'Jan 1-15'!U20,'Jan 16-31'!U20,'Feb 1-15'!U20,'Feb 16-28'!U20,'Mar 1-15'!U20)</f>
        <v>0</v>
      </c>
      <c r="V20" s="62">
        <f>SUM('Sept 16-30'!V20,'Oct 1-15'!V20,'Oct 16-31'!V20,'Nov 1-15'!V20,'Nov 16-30'!V20,'Dec 1-15'!V20,'Dec 16-31'!V20,'Jan 1-15'!V20,'Jan 16-31'!V20,'Feb 1-15'!V20,'Feb 16-28'!V20,'Mar 1-15'!V20)</f>
        <v>11.3</v>
      </c>
      <c r="W20" s="63">
        <f t="shared" si="4"/>
        <v>720.95</v>
      </c>
      <c r="X20" s="64"/>
    </row>
    <row r="21" ht="14.25" customHeight="1">
      <c r="A21" s="58" t="s">
        <v>29</v>
      </c>
      <c r="B21" s="58">
        <f>SUM('Sept 16-30'!B21,'Oct 1-15'!B21,'Oct 16-31'!B21,'Nov 1-15'!B21,'Nov 16-30'!B21,'Dec 1-15'!B21,'Dec 16-31'!B21,'Jan 1-15'!B21,'Jan 16-31'!B21,'Feb 1-15'!B21,'Feb 16-28'!B21,'Mar 1-15'!B21)</f>
        <v>79</v>
      </c>
      <c r="C21" s="58">
        <f>SUM('Sept 16-30'!C21,'Oct 1-15'!C21,'Oct 16-31'!C21,'Nov 1-15'!C21,'Nov 16-30'!C21,'Dec 1-15'!C21,'Dec 16-31'!C21,'Jan 1-15'!C21,'Jan 16-31'!C21,'Feb 1-15'!C21,'Feb 16-28'!C21,'Mar 1-15'!C21)</f>
        <v>87.5933</v>
      </c>
      <c r="D21" s="58">
        <f>SUM('Sept 16-30'!D21,'Oct 1-15'!D21,'Oct 16-31'!D21,'Nov 1-15'!D21,'Nov 16-30'!D21,'Dec 1-15'!D21,'Dec 16-31'!D21,'Jan 1-15'!D21,'Jan 16-31'!D21,'Feb 1-15'!D21,'Feb 16-28'!D21,'Mar 1-15'!D21)</f>
        <v>0</v>
      </c>
      <c r="E21" s="58">
        <f>SUM('Sept 16-30'!E21,'Oct 1-15'!E21,'Oct 16-31'!E21,'Nov 1-15'!E21,'Nov 16-30'!E21,'Dec 1-15'!E21,'Dec 16-31'!E21,'Jan 1-15'!E21,'Jan 16-31'!E21,'Feb 1-15'!E21,'Feb 16-28'!E21,'Mar 1-15'!E21)</f>
        <v>13.4</v>
      </c>
      <c r="F21" s="58">
        <f>SUM('Sept 16-30'!F21,'Oct 1-15'!F21,'Oct 16-31'!F21,'Nov 1-15'!F21,'Nov 16-30'!F21,'Dec 1-15'!F21,'Dec 16-31'!F21,'Jan 1-15'!F21,'Jan 16-31'!F21,'Feb 1-15'!F21,'Feb 16-28'!F21,'Mar 1-15'!F21)</f>
        <v>0</v>
      </c>
      <c r="G21" s="58">
        <f>SUM('Sept 16-30'!G21,'Oct 1-15'!G21,'Oct 16-31'!G21,'Nov 1-15'!G21,'Nov 16-30'!G21,'Dec 1-15'!G21,'Dec 16-31'!G21,'Jan 1-15'!G21,'Jan 16-31'!G21,'Feb 1-15'!G21,'Feb 16-28'!G21,'Mar 1-15'!G21)</f>
        <v>5.4</v>
      </c>
      <c r="H21" s="59">
        <f t="shared" si="2"/>
        <v>106.3933</v>
      </c>
      <c r="I21" s="60">
        <f>SUM('Sept 16-30'!I21,'Oct 1-15'!I21,'Oct 16-31'!I21,'Nov 1-15'!I21,'Nov 16-30'!I21,'Dec 1-15'!I21,'Dec 16-31'!I21,'Jan 1-15'!I21,'Jan 16-31'!I21,'Feb 1-15'!I21,'Feb 16-28'!I21,'Mar 1-15'!I21)</f>
        <v>12</v>
      </c>
      <c r="J21" s="60">
        <f>SUM('Sept 16-30'!J21,'Oct 1-15'!J21,'Oct 16-31'!J21,'Nov 1-15'!J21,'Nov 16-30'!J21,'Dec 1-15'!J21,'Dec 16-31'!J21,'Jan 1-15'!J21,'Jan 16-31'!J21,'Feb 1-15'!J21,'Feb 16-28'!J21,'Mar 1-15'!J21)</f>
        <v>0</v>
      </c>
      <c r="K21" s="60">
        <f>SUM('Sept 16-30'!K21,'Oct 1-15'!K21,'Oct 16-31'!K21,'Nov 1-15'!K21,'Nov 16-30'!K21,'Dec 1-15'!K21,'Dec 16-31'!K21,'Jan 1-15'!K21,'Jan 16-31'!K21,'Feb 1-15'!K21,'Feb 16-28'!K21,'Mar 1-15'!K21)</f>
        <v>40.6</v>
      </c>
      <c r="L21" s="60">
        <f>SUM('Sept 16-30'!L21,'Oct 1-15'!L21,'Oct 16-31'!L21,'Nov 1-15'!L21,'Nov 16-30'!L21,'Dec 1-15'!L21,'Dec 16-31'!L21,'Jan 1-15'!L21,'Jan 16-31'!L21,'Feb 1-15'!L21,'Feb 16-28'!L21,'Mar 1-15'!L21)</f>
        <v>0</v>
      </c>
      <c r="M21" s="60">
        <f>SUM('Sept 16-30'!M21,'Oct 1-15'!M21,'Oct 16-31'!M21,'Nov 1-15'!M21,'Nov 16-30'!M21,'Dec 1-15'!M21,'Dec 16-31'!M21,'Jan 1-15'!M21,'Jan 16-31'!M21,'Feb 1-15'!M21,'Feb 16-28'!M21,'Mar 1-15'!M21)</f>
        <v>0</v>
      </c>
      <c r="N21" s="60">
        <f>SUM('Sept 16-30'!N21,'Oct 1-15'!N21,'Oct 16-31'!N21,'Nov 1-15'!N21,'Nov 16-30'!N21,'Dec 1-15'!N21,'Dec 16-31'!N21,'Jan 1-15'!N21,'Jan 16-31'!N21,'Feb 1-15'!N21,'Feb 16-28'!N21,'Mar 1-15'!N21)</f>
        <v>0</v>
      </c>
      <c r="O21" s="60">
        <f>SUM('Sept 16-30'!O21,'Oct 1-15'!O21,'Oct 16-31'!O21,'Nov 1-15'!O21,'Nov 16-30'!O21,'Dec 1-15'!O21,'Dec 16-31'!O21,'Jan 1-15'!O21,'Jan 16-31'!O21,'Feb 1-15'!O21,'Feb 16-28'!O21,'Mar 1-15'!O21)</f>
        <v>0</v>
      </c>
      <c r="P21" s="60">
        <f>SUM('Sept 16-30'!P21,'Oct 1-15'!P21,'Oct 16-31'!P21,'Nov 1-15'!P21,'Nov 16-30'!P21,'Dec 1-15'!P21,'Dec 16-31'!P21,'Jan 1-15'!P21,'Jan 16-31'!P21,'Feb 1-15'!P21,'Feb 16-28'!P21,'Mar 1-15'!P21)</f>
        <v>0</v>
      </c>
      <c r="Q21" s="61">
        <f t="shared" si="3"/>
        <v>52.6</v>
      </c>
      <c r="R21" s="62">
        <f>SUM('Sept 16-30'!R21,'Oct 1-15'!R21,'Oct 16-31'!R21,'Nov 1-15'!R21,'Nov 16-30'!R21,'Dec 1-15'!R21,'Dec 16-31'!R21,'Jan 1-15'!R21,'Jan 16-31'!R21,'Feb 1-15'!R21,'Feb 16-28'!R21,'Mar 1-15'!R21)</f>
        <v>99.5933</v>
      </c>
      <c r="S21" s="62">
        <f>SUM('Sept 16-30'!S21,'Oct 1-15'!S21,'Oct 16-31'!S21,'Nov 1-15'!S21,'Nov 16-30'!S21,'Dec 1-15'!S21,'Dec 16-31'!S21,'Jan 1-15'!S21,'Jan 16-31'!S21,'Feb 1-15'!S21,'Feb 16-28'!S21,'Mar 1-15'!S21)</f>
        <v>0</v>
      </c>
      <c r="T21" s="62">
        <f>SUM('Sept 16-30'!T21,'Oct 1-15'!T21,'Oct 16-31'!T21,'Nov 1-15'!T21,'Nov 16-30'!T21,'Dec 1-15'!T21,'Dec 16-31'!T21,'Jan 1-15'!T21,'Jan 16-31'!T21,'Feb 1-15'!T21,'Feb 16-28'!T21,'Mar 1-15'!T21)</f>
        <v>54</v>
      </c>
      <c r="U21" s="62">
        <f>SUM('Sept 16-30'!U21,'Oct 1-15'!U21,'Oct 16-31'!U21,'Nov 1-15'!U21,'Nov 16-30'!U21,'Dec 1-15'!U21,'Dec 16-31'!U21,'Jan 1-15'!U21,'Jan 16-31'!U21,'Feb 1-15'!U21,'Feb 16-28'!U21,'Mar 1-15'!U21)</f>
        <v>0</v>
      </c>
      <c r="V21" s="62">
        <f>SUM('Sept 16-30'!V21,'Oct 1-15'!V21,'Oct 16-31'!V21,'Nov 1-15'!V21,'Nov 16-30'!V21,'Dec 1-15'!V21,'Dec 16-31'!V21,'Jan 1-15'!V21,'Jan 16-31'!V21,'Feb 1-15'!V21,'Feb 16-28'!V21,'Mar 1-15'!V21)</f>
        <v>5.4</v>
      </c>
      <c r="W21" s="63">
        <f t="shared" si="4"/>
        <v>158.9933</v>
      </c>
      <c r="X21" s="64"/>
    </row>
    <row r="22" ht="14.25" customHeight="1">
      <c r="A22" s="58" t="s">
        <v>30</v>
      </c>
      <c r="B22" s="58">
        <f>SUM('Sept 16-30'!B22,'Oct 1-15'!B22,'Oct 16-31'!B22,'Nov 1-15'!B22,'Nov 16-30'!B22,'Dec 1-15'!B22,'Dec 16-31'!B22,'Jan 1-15'!B22,'Jan 16-31'!B22,'Feb 1-15'!B22,'Feb 16-28'!B22,'Mar 1-15'!B22)</f>
        <v>260</v>
      </c>
      <c r="C22" s="58">
        <f>SUM('Sept 16-30'!C22,'Oct 1-15'!C22,'Oct 16-31'!C22,'Nov 1-15'!C22,'Nov 16-30'!C22,'Dec 1-15'!C22,'Dec 16-31'!C22,'Jan 1-15'!C22,'Jan 16-31'!C22,'Feb 1-15'!C22,'Feb 16-28'!C22,'Mar 1-15'!C22)</f>
        <v>13</v>
      </c>
      <c r="D22" s="58">
        <f>SUM('Sept 16-30'!D22,'Oct 1-15'!D22,'Oct 16-31'!D22,'Nov 1-15'!D22,'Nov 16-30'!D22,'Dec 1-15'!D22,'Dec 16-31'!D22,'Jan 1-15'!D22,'Jan 16-31'!D22,'Feb 1-15'!D22,'Feb 16-28'!D22,'Mar 1-15'!D22)</f>
        <v>0</v>
      </c>
      <c r="E22" s="58">
        <f>SUM('Sept 16-30'!E22,'Oct 1-15'!E22,'Oct 16-31'!E22,'Nov 1-15'!E22,'Nov 16-30'!E22,'Dec 1-15'!E22,'Dec 16-31'!E22,'Jan 1-15'!E22,'Jan 16-31'!E22,'Feb 1-15'!E22,'Feb 16-28'!E22,'Mar 1-15'!E22)</f>
        <v>97.4</v>
      </c>
      <c r="F22" s="58">
        <f>SUM('Sept 16-30'!F22,'Oct 1-15'!F22,'Oct 16-31'!F22,'Nov 1-15'!F22,'Nov 16-30'!F22,'Dec 1-15'!F22,'Dec 16-31'!F22,'Jan 1-15'!F22,'Jan 16-31'!F22,'Feb 1-15'!F22,'Feb 16-28'!F22,'Mar 1-15'!F22)</f>
        <v>0</v>
      </c>
      <c r="G22" s="58">
        <f>SUM('Sept 16-30'!G22,'Oct 1-15'!G22,'Oct 16-31'!G22,'Nov 1-15'!G22,'Nov 16-30'!G22,'Dec 1-15'!G22,'Dec 16-31'!G22,'Jan 1-15'!G22,'Jan 16-31'!G22,'Feb 1-15'!G22,'Feb 16-28'!G22,'Mar 1-15'!G22)</f>
        <v>5.75</v>
      </c>
      <c r="H22" s="59">
        <f t="shared" si="2"/>
        <v>116.15</v>
      </c>
      <c r="I22" s="60">
        <f>SUM('Sept 16-30'!I22,'Oct 1-15'!I22,'Oct 16-31'!I22,'Nov 1-15'!I22,'Nov 16-30'!I22,'Dec 1-15'!I22,'Dec 16-31'!I22,'Jan 1-15'!I22,'Jan 16-31'!I22,'Feb 1-15'!I22,'Feb 16-28'!I22,'Mar 1-15'!I22)</f>
        <v>106.5</v>
      </c>
      <c r="J22" s="60">
        <f>SUM('Sept 16-30'!J22,'Oct 1-15'!J22,'Oct 16-31'!J22,'Nov 1-15'!J22,'Nov 16-30'!J22,'Dec 1-15'!J22,'Dec 16-31'!J22,'Jan 1-15'!J22,'Jan 16-31'!J22,'Feb 1-15'!J22,'Feb 16-28'!J22,'Mar 1-15'!J22)</f>
        <v>0</v>
      </c>
      <c r="K22" s="60">
        <f>SUM('Sept 16-30'!K22,'Oct 1-15'!K22,'Oct 16-31'!K22,'Nov 1-15'!K22,'Nov 16-30'!K22,'Dec 1-15'!K22,'Dec 16-31'!K22,'Jan 1-15'!K22,'Jan 16-31'!K22,'Feb 1-15'!K22,'Feb 16-28'!K22,'Mar 1-15'!K22)</f>
        <v>150.5</v>
      </c>
      <c r="L22" s="60">
        <f>SUM('Sept 16-30'!L22,'Oct 1-15'!L22,'Oct 16-31'!L22,'Nov 1-15'!L22,'Nov 16-30'!L22,'Dec 1-15'!L22,'Dec 16-31'!L22,'Jan 1-15'!L22,'Jan 16-31'!L22,'Feb 1-15'!L22,'Feb 16-28'!L22,'Mar 1-15'!L22)</f>
        <v>0</v>
      </c>
      <c r="M22" s="60">
        <f>SUM('Sept 16-30'!M22,'Oct 1-15'!M22,'Oct 16-31'!M22,'Nov 1-15'!M22,'Nov 16-30'!M22,'Dec 1-15'!M22,'Dec 16-31'!M22,'Jan 1-15'!M22,'Jan 16-31'!M22,'Feb 1-15'!M22,'Feb 16-28'!M22,'Mar 1-15'!M22)</f>
        <v>0</v>
      </c>
      <c r="N22" s="60">
        <f>SUM('Sept 16-30'!N22,'Oct 1-15'!N22,'Oct 16-31'!N22,'Nov 1-15'!N22,'Nov 16-30'!N22,'Dec 1-15'!N22,'Dec 16-31'!N22,'Jan 1-15'!N22,'Jan 16-31'!N22,'Feb 1-15'!N22,'Feb 16-28'!N22,'Mar 1-15'!N22)</f>
        <v>0</v>
      </c>
      <c r="O22" s="60">
        <f>SUM('Sept 16-30'!O22,'Oct 1-15'!O22,'Oct 16-31'!O22,'Nov 1-15'!O22,'Nov 16-30'!O22,'Dec 1-15'!O22,'Dec 16-31'!O22,'Jan 1-15'!O22,'Jan 16-31'!O22,'Feb 1-15'!O22,'Feb 16-28'!O22,'Mar 1-15'!O22)</f>
        <v>0</v>
      </c>
      <c r="P22" s="60">
        <f>SUM('Sept 16-30'!P22,'Oct 1-15'!P22,'Oct 16-31'!P22,'Nov 1-15'!P22,'Nov 16-30'!P22,'Dec 1-15'!P22,'Dec 16-31'!P22,'Jan 1-15'!P22,'Jan 16-31'!P22,'Feb 1-15'!P22,'Feb 16-28'!P22,'Mar 1-15'!P22)</f>
        <v>0</v>
      </c>
      <c r="Q22" s="61">
        <f t="shared" si="3"/>
        <v>257</v>
      </c>
      <c r="R22" s="62">
        <f>SUM('Sept 16-30'!R22,'Oct 1-15'!R22,'Oct 16-31'!R22,'Nov 1-15'!R22,'Nov 16-30'!R22,'Dec 1-15'!R22,'Dec 16-31'!R22,'Jan 1-15'!R22,'Jan 16-31'!R22,'Feb 1-15'!R22,'Feb 16-28'!R22,'Mar 1-15'!R22)</f>
        <v>119.5</v>
      </c>
      <c r="S22" s="62">
        <f>SUM('Sept 16-30'!S22,'Oct 1-15'!S22,'Oct 16-31'!S22,'Nov 1-15'!S22,'Nov 16-30'!S22,'Dec 1-15'!S22,'Dec 16-31'!S22,'Jan 1-15'!S22,'Jan 16-31'!S22,'Feb 1-15'!S22,'Feb 16-28'!S22,'Mar 1-15'!S22)</f>
        <v>0</v>
      </c>
      <c r="T22" s="62">
        <f>SUM('Sept 16-30'!T22,'Oct 1-15'!T22,'Oct 16-31'!T22,'Nov 1-15'!T22,'Nov 16-30'!T22,'Dec 1-15'!T22,'Dec 16-31'!T22,'Jan 1-15'!T22,'Jan 16-31'!T22,'Feb 1-15'!T22,'Feb 16-28'!T22,'Mar 1-15'!T22)</f>
        <v>247.9</v>
      </c>
      <c r="U22" s="62">
        <f>SUM('Sept 16-30'!U22,'Oct 1-15'!U22,'Oct 16-31'!U22,'Nov 1-15'!U22,'Nov 16-30'!U22,'Dec 1-15'!U22,'Dec 16-31'!U22,'Jan 1-15'!U22,'Jan 16-31'!U22,'Feb 1-15'!U22,'Feb 16-28'!U22,'Mar 1-15'!U22)</f>
        <v>0</v>
      </c>
      <c r="V22" s="62">
        <f>SUM('Sept 16-30'!V22,'Oct 1-15'!V22,'Oct 16-31'!V22,'Nov 1-15'!V22,'Nov 16-30'!V22,'Dec 1-15'!V22,'Dec 16-31'!V22,'Jan 1-15'!V22,'Jan 16-31'!V22,'Feb 1-15'!V22,'Feb 16-28'!V22,'Mar 1-15'!V22)</f>
        <v>5.75</v>
      </c>
      <c r="W22" s="63">
        <f t="shared" si="4"/>
        <v>373.15</v>
      </c>
      <c r="X22" s="64"/>
    </row>
    <row r="23" ht="14.25" customHeight="1">
      <c r="A23" s="65"/>
      <c r="B23" s="65"/>
      <c r="C23" s="65"/>
      <c r="D23" s="65"/>
      <c r="E23" s="65"/>
      <c r="F23" s="65"/>
      <c r="G23" s="65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conditionalFormatting sqref="K1">
    <cfRule type="notContainsBlanks" dxfId="0" priority="1">
      <formula>LEN(TRIM(K1))&gt;0</formula>
    </cfRule>
  </conditionalFormatting>
  <printOptions/>
  <pageMargins bottom="0.5" footer="0.0" header="0.0" left="0.75" right="0.75" top="0.5"/>
  <pageSetup scale="4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  <c r="H1" s="76"/>
    </row>
    <row r="2" ht="14.25" customHeight="1">
      <c r="A2" s="3" t="s">
        <v>1</v>
      </c>
      <c r="B2" s="3"/>
      <c r="H2" s="76"/>
    </row>
    <row r="3" ht="14.25" customHeight="1">
      <c r="A3" s="4" t="s">
        <v>2</v>
      </c>
      <c r="B3" s="5"/>
      <c r="H3" s="76"/>
    </row>
    <row r="4" ht="14.25" customHeight="1">
      <c r="A4" s="6"/>
      <c r="B4" s="6"/>
      <c r="H4" s="76"/>
    </row>
    <row r="5" ht="14.25" customHeight="1">
      <c r="A5" s="3" t="s">
        <v>3</v>
      </c>
      <c r="B5" s="3"/>
      <c r="H5" s="76"/>
    </row>
    <row r="6" ht="14.25" customHeight="1">
      <c r="A6" s="77" t="s">
        <v>33</v>
      </c>
      <c r="B6" s="7"/>
      <c r="C6" s="8"/>
      <c r="H6" s="76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45</v>
      </c>
      <c r="C11" s="50">
        <f t="shared" si="1"/>
        <v>2.6</v>
      </c>
      <c r="D11" s="51">
        <f t="shared" si="1"/>
        <v>0</v>
      </c>
      <c r="E11" s="51">
        <f t="shared" si="1"/>
        <v>30.2</v>
      </c>
      <c r="F11" s="51">
        <f t="shared" si="1"/>
        <v>0</v>
      </c>
      <c r="G11" s="51">
        <f t="shared" si="1"/>
        <v>10.1</v>
      </c>
      <c r="H11" s="78">
        <f t="shared" si="1"/>
        <v>42.9</v>
      </c>
      <c r="I11" s="53">
        <f t="shared" si="1"/>
        <v>1</v>
      </c>
      <c r="J11" s="51">
        <f t="shared" si="1"/>
        <v>0</v>
      </c>
      <c r="K11" s="51">
        <f t="shared" si="1"/>
        <v>23.1</v>
      </c>
      <c r="L11" s="51">
        <f t="shared" si="1"/>
        <v>0</v>
      </c>
      <c r="M11" s="54">
        <f t="shared" si="1"/>
        <v>6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30.1</v>
      </c>
      <c r="R11" s="50">
        <f t="shared" si="1"/>
        <v>3.6</v>
      </c>
      <c r="S11" s="51">
        <f t="shared" si="1"/>
        <v>0</v>
      </c>
      <c r="T11" s="51">
        <f t="shared" si="1"/>
        <v>53.3</v>
      </c>
      <c r="U11" s="51">
        <f t="shared" si="1"/>
        <v>0</v>
      </c>
      <c r="V11" s="51">
        <f t="shared" si="1"/>
        <v>16.1</v>
      </c>
      <c r="W11" s="52">
        <f t="shared" si="1"/>
        <v>73</v>
      </c>
      <c r="X11" s="56"/>
      <c r="Y11" s="57"/>
      <c r="Z11" s="57"/>
    </row>
    <row r="12" ht="14.25" customHeight="1">
      <c r="A12" s="58" t="s">
        <v>20</v>
      </c>
      <c r="B12" s="79" t="s">
        <v>34</v>
      </c>
      <c r="C12" s="62"/>
      <c r="D12" s="80"/>
      <c r="E12" s="81"/>
      <c r="F12" s="80"/>
      <c r="G12" s="80"/>
      <c r="H12" s="82">
        <f t="shared" ref="H12:H22" si="4">SUM(C12:G12)</f>
        <v>0</v>
      </c>
      <c r="I12" s="60"/>
      <c r="J12" s="80"/>
      <c r="K12" s="80"/>
      <c r="L12" s="80"/>
      <c r="M12" s="83"/>
      <c r="N12" s="62"/>
      <c r="O12" s="80"/>
      <c r="P12" s="59"/>
      <c r="Q12" s="61">
        <f t="shared" ref="Q12:Q22" si="5">SUM(I12:P12)</f>
        <v>0</v>
      </c>
      <c r="R12" s="62">
        <f t="shared" ref="R12:S12" si="2">C12+I12</f>
        <v>0</v>
      </c>
      <c r="S12" s="80">
        <f t="shared" si="2"/>
        <v>0</v>
      </c>
      <c r="T12" s="80">
        <f t="shared" ref="T12:V12" si="3">E12+K12+N12</f>
        <v>0</v>
      </c>
      <c r="U12" s="80">
        <f t="shared" si="3"/>
        <v>0</v>
      </c>
      <c r="V12" s="80">
        <f t="shared" si="3"/>
        <v>0</v>
      </c>
      <c r="W12" s="59">
        <f t="shared" ref="W12:W22" si="8">SUM(R12:V12)</f>
        <v>0</v>
      </c>
      <c r="X12" s="64"/>
    </row>
    <row r="13" ht="14.25" customHeight="1">
      <c r="A13" s="58" t="s">
        <v>21</v>
      </c>
      <c r="B13" s="79">
        <v>7.0</v>
      </c>
      <c r="C13" s="62"/>
      <c r="D13" s="80"/>
      <c r="E13" s="84">
        <v>8.0</v>
      </c>
      <c r="F13" s="80"/>
      <c r="G13" s="80"/>
      <c r="H13" s="82">
        <f t="shared" si="4"/>
        <v>8</v>
      </c>
      <c r="I13" s="60"/>
      <c r="J13" s="80"/>
      <c r="K13" s="85">
        <v>1.5</v>
      </c>
      <c r="L13" s="80"/>
      <c r="M13" s="83"/>
      <c r="N13" s="62"/>
      <c r="O13" s="80"/>
      <c r="P13" s="59"/>
      <c r="Q13" s="61">
        <f t="shared" si="5"/>
        <v>1.5</v>
      </c>
      <c r="R13" s="62">
        <f t="shared" ref="R13:S13" si="6">C13+I13</f>
        <v>0</v>
      </c>
      <c r="S13" s="80">
        <f t="shared" si="6"/>
        <v>0</v>
      </c>
      <c r="T13" s="80">
        <f t="shared" ref="T13:V13" si="7">E13+K13+N13</f>
        <v>9.5</v>
      </c>
      <c r="U13" s="80">
        <f t="shared" si="7"/>
        <v>0</v>
      </c>
      <c r="V13" s="80">
        <f t="shared" si="7"/>
        <v>0</v>
      </c>
      <c r="W13" s="59">
        <f t="shared" si="8"/>
        <v>9.5</v>
      </c>
      <c r="X13" s="64"/>
    </row>
    <row r="14" ht="14.25" customHeight="1">
      <c r="A14" s="58" t="s">
        <v>22</v>
      </c>
      <c r="B14" s="79" t="s">
        <v>34</v>
      </c>
      <c r="C14" s="62"/>
      <c r="D14" s="80"/>
      <c r="E14" s="81"/>
      <c r="F14" s="80"/>
      <c r="G14" s="80"/>
      <c r="H14" s="82">
        <f t="shared" si="4"/>
        <v>0</v>
      </c>
      <c r="I14" s="60"/>
      <c r="J14" s="80"/>
      <c r="K14" s="80"/>
      <c r="L14" s="80"/>
      <c r="M14" s="83"/>
      <c r="N14" s="62"/>
      <c r="O14" s="80"/>
      <c r="P14" s="59"/>
      <c r="Q14" s="61">
        <f t="shared" si="5"/>
        <v>0</v>
      </c>
      <c r="R14" s="62">
        <f t="shared" ref="R14:S14" si="9">C14+I14</f>
        <v>0</v>
      </c>
      <c r="S14" s="80">
        <f t="shared" si="9"/>
        <v>0</v>
      </c>
      <c r="T14" s="80">
        <f t="shared" ref="T14:V14" si="10">E14+K14+N14</f>
        <v>0</v>
      </c>
      <c r="U14" s="80">
        <f t="shared" si="10"/>
        <v>0</v>
      </c>
      <c r="V14" s="80">
        <f t="shared" si="10"/>
        <v>0</v>
      </c>
      <c r="W14" s="59">
        <f t="shared" si="8"/>
        <v>0</v>
      </c>
      <c r="X14" s="64"/>
    </row>
    <row r="15" ht="14.25" customHeight="1">
      <c r="A15" s="58" t="s">
        <v>23</v>
      </c>
      <c r="B15" s="79">
        <v>20.0</v>
      </c>
      <c r="C15" s="62"/>
      <c r="D15" s="80"/>
      <c r="E15" s="84">
        <v>5.5</v>
      </c>
      <c r="F15" s="80"/>
      <c r="G15" s="80"/>
      <c r="H15" s="82">
        <f t="shared" si="4"/>
        <v>5.5</v>
      </c>
      <c r="I15" s="60"/>
      <c r="J15" s="80"/>
      <c r="K15" s="85">
        <v>20.3</v>
      </c>
      <c r="L15" s="80"/>
      <c r="M15" s="86">
        <v>3.5</v>
      </c>
      <c r="N15" s="62"/>
      <c r="O15" s="80"/>
      <c r="P15" s="59"/>
      <c r="Q15" s="61">
        <f t="shared" si="5"/>
        <v>23.8</v>
      </c>
      <c r="R15" s="62">
        <f t="shared" ref="R15:S15" si="11">C15+I15</f>
        <v>0</v>
      </c>
      <c r="S15" s="80">
        <f t="shared" si="11"/>
        <v>0</v>
      </c>
      <c r="T15" s="80">
        <f t="shared" ref="T15:V15" si="12">E15+K15+N15</f>
        <v>25.8</v>
      </c>
      <c r="U15" s="80">
        <f t="shared" si="12"/>
        <v>0</v>
      </c>
      <c r="V15" s="80">
        <f t="shared" si="12"/>
        <v>3.5</v>
      </c>
      <c r="W15" s="59">
        <f t="shared" si="8"/>
        <v>29.3</v>
      </c>
      <c r="X15" s="64"/>
    </row>
    <row r="16" ht="14.25" customHeight="1">
      <c r="A16" s="58" t="s">
        <v>24</v>
      </c>
      <c r="B16" s="79" t="s">
        <v>34</v>
      </c>
      <c r="C16" s="62"/>
      <c r="D16" s="80"/>
      <c r="E16" s="81"/>
      <c r="F16" s="80"/>
      <c r="G16" s="80"/>
      <c r="H16" s="82">
        <f t="shared" si="4"/>
        <v>0</v>
      </c>
      <c r="I16" s="60"/>
      <c r="J16" s="80"/>
      <c r="K16" s="80"/>
      <c r="L16" s="80"/>
      <c r="M16" s="83"/>
      <c r="N16" s="62"/>
      <c r="O16" s="80"/>
      <c r="P16" s="59"/>
      <c r="Q16" s="61">
        <f t="shared" si="5"/>
        <v>0</v>
      </c>
      <c r="R16" s="62">
        <f t="shared" ref="R16:S16" si="13">C16+I16</f>
        <v>0</v>
      </c>
      <c r="S16" s="80">
        <f t="shared" si="13"/>
        <v>0</v>
      </c>
      <c r="T16" s="80">
        <f t="shared" ref="T16:V16" si="14">E16+K16+N16</f>
        <v>0</v>
      </c>
      <c r="U16" s="80">
        <f t="shared" si="14"/>
        <v>0</v>
      </c>
      <c r="V16" s="80">
        <f t="shared" si="14"/>
        <v>0</v>
      </c>
      <c r="W16" s="59">
        <f t="shared" si="8"/>
        <v>0</v>
      </c>
      <c r="X16" s="64"/>
    </row>
    <row r="17" ht="14.25" customHeight="1">
      <c r="A17" s="58" t="s">
        <v>25</v>
      </c>
      <c r="B17" s="79">
        <v>6.0</v>
      </c>
      <c r="C17" s="62"/>
      <c r="D17" s="80"/>
      <c r="E17" s="81"/>
      <c r="F17" s="80"/>
      <c r="G17" s="85">
        <v>3.6</v>
      </c>
      <c r="H17" s="82">
        <f t="shared" si="4"/>
        <v>3.6</v>
      </c>
      <c r="I17" s="87">
        <v>1.0</v>
      </c>
      <c r="J17" s="80"/>
      <c r="K17" s="80"/>
      <c r="L17" s="80"/>
      <c r="M17" s="86">
        <v>2.5</v>
      </c>
      <c r="N17" s="62"/>
      <c r="O17" s="80"/>
      <c r="P17" s="59"/>
      <c r="Q17" s="61">
        <f t="shared" si="5"/>
        <v>3.5</v>
      </c>
      <c r="R17" s="62">
        <f t="shared" ref="R17:S17" si="15">C17+I17</f>
        <v>1</v>
      </c>
      <c r="S17" s="80">
        <f t="shared" si="15"/>
        <v>0</v>
      </c>
      <c r="T17" s="80">
        <f t="shared" ref="T17:V17" si="16">E17+K17+N17</f>
        <v>0</v>
      </c>
      <c r="U17" s="80">
        <f t="shared" si="16"/>
        <v>0</v>
      </c>
      <c r="V17" s="80">
        <f t="shared" si="16"/>
        <v>6.1</v>
      </c>
      <c r="W17" s="59">
        <f t="shared" si="8"/>
        <v>7.1</v>
      </c>
      <c r="X17" s="64"/>
    </row>
    <row r="18" ht="14.25" customHeight="1">
      <c r="A18" s="58" t="s">
        <v>26</v>
      </c>
      <c r="B18" s="79" t="s">
        <v>34</v>
      </c>
      <c r="C18" s="62"/>
      <c r="D18" s="80"/>
      <c r="E18" s="81"/>
      <c r="F18" s="80"/>
      <c r="G18" s="80"/>
      <c r="H18" s="82">
        <f t="shared" si="4"/>
        <v>0</v>
      </c>
      <c r="I18" s="60"/>
      <c r="J18" s="80"/>
      <c r="K18" s="80"/>
      <c r="L18" s="80"/>
      <c r="M18" s="83"/>
      <c r="N18" s="62"/>
      <c r="O18" s="80"/>
      <c r="P18" s="59"/>
      <c r="Q18" s="61">
        <f t="shared" si="5"/>
        <v>0</v>
      </c>
      <c r="R18" s="62">
        <f t="shared" ref="R18:S18" si="17">C18+I18</f>
        <v>0</v>
      </c>
      <c r="S18" s="80">
        <f t="shared" si="17"/>
        <v>0</v>
      </c>
      <c r="T18" s="80">
        <f t="shared" ref="T18:V18" si="18">E18+K18+N18</f>
        <v>0</v>
      </c>
      <c r="U18" s="80">
        <f t="shared" si="18"/>
        <v>0</v>
      </c>
      <c r="V18" s="80">
        <f t="shared" si="18"/>
        <v>0</v>
      </c>
      <c r="W18" s="59">
        <f t="shared" si="8"/>
        <v>0</v>
      </c>
      <c r="X18" s="64"/>
    </row>
    <row r="19" ht="14.25" customHeight="1">
      <c r="A19" s="58" t="s">
        <v>27</v>
      </c>
      <c r="B19" s="79" t="s">
        <v>34</v>
      </c>
      <c r="C19" s="62"/>
      <c r="D19" s="80"/>
      <c r="E19" s="81"/>
      <c r="F19" s="80"/>
      <c r="G19" s="80"/>
      <c r="H19" s="82">
        <f t="shared" si="4"/>
        <v>0</v>
      </c>
      <c r="I19" s="60"/>
      <c r="J19" s="80"/>
      <c r="K19" s="80"/>
      <c r="L19" s="80"/>
      <c r="M19" s="83"/>
      <c r="N19" s="62"/>
      <c r="O19" s="80"/>
      <c r="P19" s="59"/>
      <c r="Q19" s="61">
        <f t="shared" si="5"/>
        <v>0</v>
      </c>
      <c r="R19" s="62">
        <f t="shared" ref="R19:S19" si="19">C19+I19</f>
        <v>0</v>
      </c>
      <c r="S19" s="80">
        <f t="shared" si="19"/>
        <v>0</v>
      </c>
      <c r="T19" s="80">
        <f t="shared" ref="T19:V19" si="20">E19+K19+N19</f>
        <v>0</v>
      </c>
      <c r="U19" s="80">
        <f t="shared" si="20"/>
        <v>0</v>
      </c>
      <c r="V19" s="80">
        <f t="shared" si="20"/>
        <v>0</v>
      </c>
      <c r="W19" s="59">
        <f t="shared" si="8"/>
        <v>0</v>
      </c>
      <c r="X19" s="64"/>
    </row>
    <row r="20" ht="14.25" customHeight="1">
      <c r="A20" s="58" t="s">
        <v>28</v>
      </c>
      <c r="B20" s="79">
        <v>8.0</v>
      </c>
      <c r="C20" s="62"/>
      <c r="D20" s="80"/>
      <c r="E20" s="84">
        <v>15.7</v>
      </c>
      <c r="F20" s="80"/>
      <c r="G20" s="85">
        <v>2.0</v>
      </c>
      <c r="H20" s="82">
        <f t="shared" si="4"/>
        <v>17.7</v>
      </c>
      <c r="I20" s="60"/>
      <c r="J20" s="80"/>
      <c r="K20" s="80"/>
      <c r="L20" s="80"/>
      <c r="M20" s="83"/>
      <c r="N20" s="62"/>
      <c r="O20" s="80"/>
      <c r="P20" s="59"/>
      <c r="Q20" s="61">
        <f t="shared" si="5"/>
        <v>0</v>
      </c>
      <c r="R20" s="62">
        <f t="shared" ref="R20:S20" si="21">C20+I20</f>
        <v>0</v>
      </c>
      <c r="S20" s="80">
        <f t="shared" si="21"/>
        <v>0</v>
      </c>
      <c r="T20" s="80">
        <f t="shared" ref="T20:V20" si="22">E20+K20+N20</f>
        <v>15.7</v>
      </c>
      <c r="U20" s="80">
        <f t="shared" si="22"/>
        <v>0</v>
      </c>
      <c r="V20" s="80">
        <f t="shared" si="22"/>
        <v>2</v>
      </c>
      <c r="W20" s="59">
        <f t="shared" si="8"/>
        <v>17.7</v>
      </c>
      <c r="X20" s="64"/>
    </row>
    <row r="21" ht="14.25" customHeight="1">
      <c r="A21" s="58" t="s">
        <v>29</v>
      </c>
      <c r="B21" s="79">
        <v>4.0</v>
      </c>
      <c r="C21" s="88">
        <v>2.6</v>
      </c>
      <c r="D21" s="80"/>
      <c r="E21" s="84">
        <v>1.0</v>
      </c>
      <c r="F21" s="80"/>
      <c r="G21" s="85">
        <v>4.5</v>
      </c>
      <c r="H21" s="82">
        <f t="shared" si="4"/>
        <v>8.1</v>
      </c>
      <c r="I21" s="60"/>
      <c r="J21" s="80"/>
      <c r="K21" s="85">
        <v>1.3</v>
      </c>
      <c r="L21" s="80"/>
      <c r="M21" s="83"/>
      <c r="N21" s="62"/>
      <c r="O21" s="80"/>
      <c r="P21" s="59"/>
      <c r="Q21" s="61">
        <f t="shared" si="5"/>
        <v>1.3</v>
      </c>
      <c r="R21" s="62">
        <f t="shared" ref="R21:S21" si="23">C21+I21</f>
        <v>2.6</v>
      </c>
      <c r="S21" s="80">
        <f t="shared" si="23"/>
        <v>0</v>
      </c>
      <c r="T21" s="80">
        <f t="shared" ref="T21:V21" si="24">E21+K21+N21</f>
        <v>2.3</v>
      </c>
      <c r="U21" s="80">
        <f t="shared" si="24"/>
        <v>0</v>
      </c>
      <c r="V21" s="80">
        <f t="shared" si="24"/>
        <v>4.5</v>
      </c>
      <c r="W21" s="59">
        <f t="shared" si="8"/>
        <v>9.4</v>
      </c>
      <c r="X21" s="64"/>
    </row>
    <row r="22" ht="14.25" customHeight="1">
      <c r="A22" s="58" t="s">
        <v>30</v>
      </c>
      <c r="B22" s="79" t="s">
        <v>34</v>
      </c>
      <c r="C22" s="62"/>
      <c r="D22" s="80"/>
      <c r="E22" s="81"/>
      <c r="F22" s="80"/>
      <c r="G22" s="80"/>
      <c r="H22" s="82">
        <f t="shared" si="4"/>
        <v>0</v>
      </c>
      <c r="I22" s="60"/>
      <c r="J22" s="80"/>
      <c r="K22" s="80"/>
      <c r="L22" s="80"/>
      <c r="M22" s="83"/>
      <c r="N22" s="62"/>
      <c r="O22" s="80"/>
      <c r="P22" s="59"/>
      <c r="Q22" s="61">
        <f t="shared" si="5"/>
        <v>0</v>
      </c>
      <c r="R22" s="62">
        <f t="shared" ref="R22:S22" si="25">C22+I22</f>
        <v>0</v>
      </c>
      <c r="S22" s="80">
        <f t="shared" si="25"/>
        <v>0</v>
      </c>
      <c r="T22" s="80">
        <f t="shared" ref="T22:V22" si="26">E22+K22+N22</f>
        <v>0</v>
      </c>
      <c r="U22" s="80">
        <f t="shared" si="26"/>
        <v>0</v>
      </c>
      <c r="V22" s="80">
        <f t="shared" si="26"/>
        <v>0</v>
      </c>
      <c r="W22" s="59">
        <f t="shared" si="8"/>
        <v>0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89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  <c r="H24" s="76"/>
    </row>
    <row r="25" ht="14.25" customHeight="1">
      <c r="A25" s="74" t="s">
        <v>32</v>
      </c>
      <c r="B25" s="74"/>
      <c r="H25" s="76"/>
    </row>
    <row r="26" ht="14.25" customHeight="1">
      <c r="A26" s="75">
        <f>-A29</f>
        <v>0</v>
      </c>
      <c r="B26" s="75"/>
      <c r="H26" s="76"/>
    </row>
    <row r="27" ht="14.25" customHeight="1">
      <c r="H27" s="76"/>
    </row>
    <row r="28" ht="14.25" customHeight="1">
      <c r="H28" s="76"/>
    </row>
    <row r="29" ht="14.25" customHeight="1">
      <c r="H29" s="76"/>
    </row>
    <row r="30" ht="14.25" customHeight="1">
      <c r="H30" s="76"/>
    </row>
    <row r="31" ht="14.25" customHeight="1">
      <c r="H31" s="76"/>
    </row>
    <row r="32" ht="14.25" customHeight="1">
      <c r="H32" s="76"/>
    </row>
    <row r="33" ht="14.25" customHeight="1">
      <c r="H33" s="76"/>
    </row>
    <row r="34" ht="14.25" customHeight="1">
      <c r="H34" s="76"/>
    </row>
    <row r="35" ht="14.25" customHeight="1">
      <c r="H35" s="76"/>
    </row>
    <row r="36" ht="14.25" customHeight="1">
      <c r="H36" s="76"/>
    </row>
    <row r="37" ht="14.25" customHeight="1">
      <c r="H37" s="76"/>
    </row>
    <row r="38" ht="14.25" customHeight="1">
      <c r="H38" s="76"/>
    </row>
    <row r="39" ht="14.25" customHeight="1">
      <c r="H39" s="76"/>
    </row>
    <row r="40" ht="14.25" customHeight="1">
      <c r="H40" s="76"/>
    </row>
    <row r="41" ht="14.25" customHeight="1">
      <c r="H41" s="76"/>
    </row>
    <row r="42" ht="14.25" customHeight="1">
      <c r="H42" s="76"/>
    </row>
    <row r="43" ht="14.25" customHeight="1">
      <c r="H43" s="76"/>
    </row>
    <row r="44" ht="14.25" customHeight="1">
      <c r="H44" s="76"/>
    </row>
    <row r="45" ht="14.25" customHeight="1">
      <c r="H45" s="76"/>
    </row>
    <row r="46" ht="14.25" customHeight="1">
      <c r="H46" s="76"/>
    </row>
    <row r="47" ht="14.25" customHeight="1">
      <c r="H47" s="76"/>
    </row>
    <row r="48" ht="14.25" customHeight="1">
      <c r="H48" s="76"/>
    </row>
    <row r="49" ht="14.25" customHeight="1">
      <c r="H49" s="76"/>
    </row>
    <row r="50" ht="14.25" customHeight="1">
      <c r="H50" s="76"/>
    </row>
    <row r="51" ht="14.25" customHeight="1">
      <c r="H51" s="76"/>
    </row>
    <row r="52" ht="14.25" customHeight="1">
      <c r="H52" s="76"/>
    </row>
    <row r="53" ht="14.25" customHeight="1">
      <c r="H53" s="76"/>
    </row>
    <row r="54" ht="14.25" customHeight="1">
      <c r="H54" s="76"/>
    </row>
    <row r="55" ht="14.25" customHeight="1">
      <c r="H55" s="76"/>
    </row>
    <row r="56" ht="14.25" customHeight="1">
      <c r="H56" s="76"/>
    </row>
    <row r="57" ht="14.25" customHeight="1">
      <c r="H57" s="76"/>
    </row>
    <row r="58" ht="14.25" customHeight="1">
      <c r="H58" s="76"/>
    </row>
    <row r="59" ht="14.25" customHeight="1">
      <c r="H59" s="76"/>
    </row>
    <row r="60" ht="14.25" customHeight="1">
      <c r="H60" s="76"/>
    </row>
    <row r="61" ht="14.25" customHeight="1">
      <c r="H61" s="76"/>
    </row>
    <row r="62" ht="14.25" customHeight="1">
      <c r="H62" s="76"/>
    </row>
    <row r="63" ht="14.25" customHeight="1">
      <c r="H63" s="76"/>
    </row>
    <row r="64" ht="14.25" customHeight="1">
      <c r="H64" s="76"/>
    </row>
    <row r="65" ht="14.25" customHeight="1">
      <c r="H65" s="76"/>
    </row>
    <row r="66" ht="14.25" customHeight="1">
      <c r="H66" s="76"/>
    </row>
    <row r="67" ht="14.25" customHeight="1">
      <c r="H67" s="76"/>
    </row>
    <row r="68" ht="14.25" customHeight="1">
      <c r="H68" s="76"/>
    </row>
    <row r="69" ht="14.25" customHeight="1">
      <c r="H69" s="76"/>
    </row>
    <row r="70" ht="14.25" customHeight="1">
      <c r="H70" s="76"/>
    </row>
    <row r="71" ht="14.25" customHeight="1">
      <c r="H71" s="76"/>
    </row>
    <row r="72" ht="14.25" customHeight="1">
      <c r="H72" s="76"/>
    </row>
    <row r="73" ht="14.25" customHeight="1">
      <c r="H73" s="76"/>
    </row>
    <row r="74" ht="14.25" customHeight="1">
      <c r="H74" s="76"/>
    </row>
    <row r="75" ht="14.25" customHeight="1">
      <c r="H75" s="76"/>
    </row>
    <row r="76" ht="14.25" customHeight="1">
      <c r="H76" s="76"/>
    </row>
    <row r="77" ht="14.25" customHeight="1">
      <c r="H77" s="76"/>
    </row>
    <row r="78" ht="14.25" customHeight="1">
      <c r="H78" s="76"/>
    </row>
    <row r="79" ht="14.25" customHeight="1">
      <c r="H79" s="76"/>
    </row>
    <row r="80" ht="14.25" customHeight="1">
      <c r="H80" s="76"/>
    </row>
    <row r="81" ht="14.25" customHeight="1">
      <c r="H81" s="76"/>
    </row>
    <row r="82" ht="14.25" customHeight="1">
      <c r="H82" s="76"/>
    </row>
    <row r="83" ht="14.25" customHeight="1">
      <c r="H83" s="76"/>
    </row>
    <row r="84" ht="14.25" customHeight="1">
      <c r="H84" s="76"/>
    </row>
    <row r="85" ht="14.25" customHeight="1">
      <c r="H85" s="76"/>
    </row>
    <row r="86" ht="14.25" customHeight="1">
      <c r="H86" s="76"/>
    </row>
    <row r="87" ht="14.25" customHeight="1">
      <c r="H87" s="76"/>
    </row>
    <row r="88" ht="14.25" customHeight="1">
      <c r="H88" s="76"/>
    </row>
    <row r="89" ht="14.25" customHeight="1">
      <c r="H89" s="76"/>
    </row>
    <row r="90" ht="14.25" customHeight="1">
      <c r="H90" s="76"/>
    </row>
    <row r="91" ht="14.25" customHeight="1">
      <c r="H91" s="76"/>
    </row>
    <row r="92" ht="14.25" customHeight="1">
      <c r="H92" s="76"/>
    </row>
    <row r="93" ht="14.25" customHeight="1">
      <c r="H93" s="76"/>
    </row>
    <row r="94" ht="14.25" customHeight="1">
      <c r="H94" s="76"/>
    </row>
    <row r="95" ht="14.25" customHeight="1">
      <c r="H95" s="76"/>
    </row>
    <row r="96" ht="14.25" customHeight="1">
      <c r="H96" s="76"/>
    </row>
    <row r="97" ht="14.25" customHeight="1">
      <c r="H97" s="76"/>
    </row>
    <row r="98" ht="14.25" customHeight="1">
      <c r="H98" s="76"/>
    </row>
    <row r="99" ht="14.25" customHeight="1">
      <c r="H99" s="76"/>
    </row>
    <row r="100" ht="14.25" customHeight="1">
      <c r="H100" s="76"/>
    </row>
    <row r="101" ht="14.25" customHeight="1">
      <c r="H101" s="76"/>
    </row>
    <row r="102" ht="14.25" customHeight="1">
      <c r="H102" s="76"/>
    </row>
    <row r="103" ht="14.25" customHeight="1">
      <c r="H103" s="76"/>
    </row>
    <row r="104" ht="14.25" customHeight="1">
      <c r="H104" s="76"/>
    </row>
    <row r="105" ht="14.25" customHeight="1">
      <c r="H105" s="76"/>
    </row>
    <row r="106" ht="14.25" customHeight="1">
      <c r="H106" s="76"/>
    </row>
    <row r="107" ht="14.25" customHeight="1">
      <c r="H107" s="76"/>
    </row>
    <row r="108" ht="14.25" customHeight="1">
      <c r="H108" s="76"/>
    </row>
    <row r="109" ht="14.25" customHeight="1">
      <c r="H109" s="76"/>
    </row>
    <row r="110" ht="14.25" customHeight="1">
      <c r="H110" s="76"/>
    </row>
    <row r="111" ht="14.25" customHeight="1">
      <c r="H111" s="76"/>
    </row>
    <row r="112" ht="14.25" customHeight="1">
      <c r="H112" s="76"/>
    </row>
    <row r="113" ht="14.25" customHeight="1">
      <c r="H113" s="76"/>
    </row>
    <row r="114" ht="14.25" customHeight="1">
      <c r="H114" s="76"/>
    </row>
    <row r="115" ht="14.25" customHeight="1">
      <c r="H115" s="76"/>
    </row>
    <row r="116" ht="14.25" customHeight="1">
      <c r="H116" s="76"/>
    </row>
    <row r="117" ht="14.25" customHeight="1">
      <c r="H117" s="76"/>
    </row>
    <row r="118" ht="14.25" customHeight="1">
      <c r="H118" s="76"/>
    </row>
    <row r="119" ht="14.25" customHeight="1">
      <c r="H119" s="76"/>
    </row>
    <row r="120" ht="14.25" customHeight="1">
      <c r="H120" s="76"/>
    </row>
    <row r="121" ht="14.25" customHeight="1">
      <c r="H121" s="76"/>
    </row>
    <row r="122" ht="14.25" customHeight="1">
      <c r="H122" s="76"/>
    </row>
    <row r="123" ht="14.25" customHeight="1">
      <c r="H123" s="76"/>
    </row>
    <row r="124" ht="14.25" customHeight="1">
      <c r="H124" s="76"/>
    </row>
    <row r="125" ht="14.25" customHeight="1">
      <c r="H125" s="76"/>
    </row>
    <row r="126" ht="14.25" customHeight="1">
      <c r="H126" s="76"/>
    </row>
    <row r="127" ht="14.25" customHeight="1">
      <c r="H127" s="76"/>
    </row>
    <row r="128" ht="14.25" customHeight="1">
      <c r="H128" s="76"/>
    </row>
    <row r="129" ht="14.25" customHeight="1">
      <c r="H129" s="76"/>
    </row>
    <row r="130" ht="14.25" customHeight="1">
      <c r="H130" s="76"/>
    </row>
    <row r="131" ht="14.25" customHeight="1">
      <c r="H131" s="76"/>
    </row>
    <row r="132" ht="14.25" customHeight="1">
      <c r="H132" s="76"/>
    </row>
    <row r="133" ht="14.25" customHeight="1">
      <c r="H133" s="76"/>
    </row>
    <row r="134" ht="14.25" customHeight="1">
      <c r="H134" s="76"/>
    </row>
    <row r="135" ht="14.25" customHeight="1">
      <c r="H135" s="76"/>
    </row>
    <row r="136" ht="14.25" customHeight="1">
      <c r="H136" s="76"/>
    </row>
    <row r="137" ht="14.25" customHeight="1">
      <c r="H137" s="76"/>
    </row>
    <row r="138" ht="14.25" customHeight="1">
      <c r="H138" s="76"/>
    </row>
    <row r="139" ht="14.25" customHeight="1">
      <c r="H139" s="76"/>
    </row>
    <row r="140" ht="14.25" customHeight="1">
      <c r="H140" s="76"/>
    </row>
    <row r="141" ht="14.25" customHeight="1">
      <c r="H141" s="76"/>
    </row>
    <row r="142" ht="14.25" customHeight="1">
      <c r="H142" s="76"/>
    </row>
    <row r="143" ht="14.25" customHeight="1">
      <c r="H143" s="76"/>
    </row>
    <row r="144" ht="14.25" customHeight="1">
      <c r="H144" s="76"/>
    </row>
    <row r="145" ht="14.25" customHeight="1">
      <c r="H145" s="76"/>
    </row>
    <row r="146" ht="14.25" customHeight="1">
      <c r="H146" s="76"/>
    </row>
    <row r="147" ht="14.25" customHeight="1">
      <c r="H147" s="76"/>
    </row>
    <row r="148" ht="14.25" customHeight="1">
      <c r="H148" s="76"/>
    </row>
    <row r="149" ht="14.25" customHeight="1">
      <c r="H149" s="76"/>
    </row>
    <row r="150" ht="14.25" customHeight="1">
      <c r="H150" s="76"/>
    </row>
    <row r="151" ht="14.25" customHeight="1">
      <c r="H151" s="76"/>
    </row>
    <row r="152" ht="14.25" customHeight="1">
      <c r="H152" s="76"/>
    </row>
    <row r="153" ht="14.25" customHeight="1">
      <c r="H153" s="76"/>
    </row>
    <row r="154" ht="14.25" customHeight="1">
      <c r="H154" s="76"/>
    </row>
    <row r="155" ht="14.25" customHeight="1">
      <c r="H155" s="76"/>
    </row>
    <row r="156" ht="14.25" customHeight="1">
      <c r="H156" s="76"/>
    </row>
    <row r="157" ht="14.25" customHeight="1">
      <c r="H157" s="76"/>
    </row>
    <row r="158" ht="14.25" customHeight="1">
      <c r="H158" s="76"/>
    </row>
    <row r="159" ht="14.25" customHeight="1">
      <c r="H159" s="76"/>
    </row>
    <row r="160" ht="14.25" customHeight="1">
      <c r="H160" s="76"/>
    </row>
    <row r="161" ht="14.25" customHeight="1">
      <c r="H161" s="76"/>
    </row>
    <row r="162" ht="14.25" customHeight="1">
      <c r="H162" s="76"/>
    </row>
    <row r="163" ht="14.25" customHeight="1">
      <c r="H163" s="76"/>
    </row>
    <row r="164" ht="14.25" customHeight="1">
      <c r="H164" s="76"/>
    </row>
    <row r="165" ht="14.25" customHeight="1">
      <c r="H165" s="76"/>
    </row>
    <row r="166" ht="14.25" customHeight="1">
      <c r="H166" s="76"/>
    </row>
    <row r="167" ht="14.25" customHeight="1">
      <c r="H167" s="76"/>
    </row>
    <row r="168" ht="14.25" customHeight="1">
      <c r="H168" s="76"/>
    </row>
    <row r="169" ht="14.25" customHeight="1">
      <c r="H169" s="76"/>
    </row>
    <row r="170" ht="14.25" customHeight="1">
      <c r="H170" s="76"/>
    </row>
    <row r="171" ht="14.25" customHeight="1">
      <c r="H171" s="76"/>
    </row>
    <row r="172" ht="14.25" customHeight="1">
      <c r="H172" s="76"/>
    </row>
    <row r="173" ht="14.25" customHeight="1">
      <c r="H173" s="76"/>
    </row>
    <row r="174" ht="14.25" customHeight="1">
      <c r="H174" s="76"/>
    </row>
    <row r="175" ht="14.25" customHeight="1">
      <c r="H175" s="76"/>
    </row>
    <row r="176" ht="14.25" customHeight="1">
      <c r="H176" s="76"/>
    </row>
    <row r="177" ht="14.25" customHeight="1">
      <c r="H177" s="76"/>
    </row>
    <row r="178" ht="14.25" customHeight="1">
      <c r="H178" s="76"/>
    </row>
    <row r="179" ht="14.25" customHeight="1">
      <c r="H179" s="76"/>
    </row>
    <row r="180" ht="14.25" customHeight="1">
      <c r="H180" s="76"/>
    </row>
    <row r="181" ht="14.25" customHeight="1">
      <c r="H181" s="76"/>
    </row>
    <row r="182" ht="14.25" customHeight="1">
      <c r="H182" s="76"/>
    </row>
    <row r="183" ht="14.25" customHeight="1">
      <c r="H183" s="76"/>
    </row>
    <row r="184" ht="14.25" customHeight="1">
      <c r="H184" s="76"/>
    </row>
    <row r="185" ht="14.25" customHeight="1">
      <c r="H185" s="76"/>
    </row>
    <row r="186" ht="14.25" customHeight="1">
      <c r="H186" s="76"/>
    </row>
    <row r="187" ht="14.25" customHeight="1">
      <c r="H187" s="76"/>
    </row>
    <row r="188" ht="14.25" customHeight="1">
      <c r="H188" s="76"/>
    </row>
    <row r="189" ht="14.25" customHeight="1">
      <c r="H189" s="76"/>
    </row>
    <row r="190" ht="14.25" customHeight="1">
      <c r="H190" s="76"/>
    </row>
    <row r="191" ht="14.25" customHeight="1">
      <c r="H191" s="76"/>
    </row>
    <row r="192" ht="14.25" customHeight="1">
      <c r="H192" s="76"/>
    </row>
    <row r="193" ht="14.25" customHeight="1">
      <c r="H193" s="76"/>
    </row>
    <row r="194" ht="14.25" customHeight="1">
      <c r="H194" s="76"/>
    </row>
    <row r="195" ht="14.25" customHeight="1">
      <c r="H195" s="76"/>
    </row>
    <row r="196" ht="14.25" customHeight="1">
      <c r="H196" s="76"/>
    </row>
    <row r="197" ht="14.25" customHeight="1">
      <c r="H197" s="76"/>
    </row>
    <row r="198" ht="14.25" customHeight="1">
      <c r="H198" s="76"/>
    </row>
    <row r="199" ht="14.25" customHeight="1">
      <c r="H199" s="76"/>
    </row>
    <row r="200" ht="14.25" customHeight="1">
      <c r="H200" s="76"/>
    </row>
    <row r="201" ht="14.25" customHeight="1">
      <c r="H201" s="76"/>
    </row>
    <row r="202" ht="14.25" customHeight="1">
      <c r="H202" s="76"/>
    </row>
    <row r="203" ht="14.25" customHeight="1">
      <c r="H203" s="76"/>
    </row>
    <row r="204" ht="14.25" customHeight="1">
      <c r="H204" s="76"/>
    </row>
    <row r="205" ht="14.25" customHeight="1">
      <c r="H205" s="76"/>
    </row>
    <row r="206" ht="14.25" customHeight="1">
      <c r="H206" s="76"/>
    </row>
    <row r="207" ht="14.25" customHeight="1">
      <c r="H207" s="76"/>
    </row>
    <row r="208" ht="14.25" customHeight="1">
      <c r="H208" s="76"/>
    </row>
    <row r="209" ht="14.25" customHeight="1">
      <c r="H209" s="76"/>
    </row>
    <row r="210" ht="14.25" customHeight="1">
      <c r="H210" s="76"/>
    </row>
    <row r="211" ht="14.25" customHeight="1">
      <c r="H211" s="76"/>
    </row>
    <row r="212" ht="14.25" customHeight="1">
      <c r="H212" s="76"/>
    </row>
    <row r="213" ht="14.25" customHeight="1">
      <c r="H213" s="76"/>
    </row>
    <row r="214" ht="14.25" customHeight="1">
      <c r="H214" s="76"/>
    </row>
    <row r="215" ht="14.25" customHeight="1">
      <c r="H215" s="76"/>
    </row>
    <row r="216" ht="14.25" customHeight="1">
      <c r="H216" s="76"/>
    </row>
    <row r="217" ht="14.25" customHeight="1">
      <c r="H217" s="76"/>
    </row>
    <row r="218" ht="14.25" customHeight="1">
      <c r="H218" s="76"/>
    </row>
    <row r="219" ht="14.25" customHeight="1">
      <c r="H219" s="76"/>
    </row>
    <row r="220" ht="14.25" customHeight="1">
      <c r="H220" s="76"/>
    </row>
    <row r="221" ht="14.25" customHeight="1">
      <c r="H221" s="76"/>
    </row>
    <row r="222" ht="14.25" customHeight="1">
      <c r="H222" s="76"/>
    </row>
    <row r="223" ht="14.25" customHeight="1">
      <c r="H223" s="76"/>
    </row>
    <row r="224" ht="14.25" customHeight="1">
      <c r="H224" s="76"/>
    </row>
    <row r="225" ht="14.25" customHeight="1">
      <c r="H225" s="76"/>
    </row>
    <row r="226" ht="15.75" customHeight="1">
      <c r="H226" s="76"/>
    </row>
    <row r="227" ht="15.75" customHeight="1">
      <c r="H227" s="76"/>
    </row>
    <row r="228" ht="15.75" customHeight="1">
      <c r="H228" s="76"/>
    </row>
    <row r="229" ht="15.75" customHeight="1">
      <c r="H229" s="76"/>
    </row>
    <row r="230" ht="15.75" customHeight="1">
      <c r="H230" s="76"/>
    </row>
    <row r="231" ht="15.75" customHeight="1">
      <c r="H231" s="76"/>
    </row>
    <row r="232" ht="15.75" customHeight="1">
      <c r="H232" s="76"/>
    </row>
    <row r="233" ht="15.75" customHeight="1">
      <c r="H233" s="76"/>
    </row>
    <row r="234" ht="15.75" customHeight="1">
      <c r="H234" s="76"/>
    </row>
    <row r="235" ht="15.75" customHeight="1">
      <c r="H235" s="76"/>
    </row>
    <row r="236" ht="15.75" customHeight="1">
      <c r="H236" s="76"/>
    </row>
    <row r="237" ht="15.75" customHeight="1">
      <c r="H237" s="76"/>
    </row>
    <row r="238" ht="15.75" customHeight="1">
      <c r="H238" s="76"/>
    </row>
    <row r="239" ht="15.75" customHeight="1">
      <c r="H239" s="76"/>
    </row>
    <row r="240" ht="15.75" customHeight="1">
      <c r="H240" s="76"/>
    </row>
    <row r="241" ht="15.75" customHeight="1">
      <c r="H241" s="76"/>
    </row>
    <row r="242" ht="15.75" customHeight="1">
      <c r="H242" s="76"/>
    </row>
    <row r="243" ht="15.75" customHeight="1">
      <c r="H243" s="76"/>
    </row>
    <row r="244" ht="15.75" customHeight="1">
      <c r="H244" s="76"/>
    </row>
    <row r="245" ht="15.75" customHeight="1">
      <c r="H245" s="76"/>
    </row>
    <row r="246" ht="15.75" customHeight="1">
      <c r="H246" s="76"/>
    </row>
    <row r="247" ht="15.75" customHeight="1">
      <c r="H247" s="76"/>
    </row>
    <row r="248" ht="15.75" customHeight="1">
      <c r="H248" s="76"/>
    </row>
    <row r="249" ht="15.75" customHeight="1">
      <c r="H249" s="76"/>
    </row>
    <row r="250" ht="15.75" customHeight="1">
      <c r="H250" s="76"/>
    </row>
    <row r="251" ht="15.75" customHeight="1">
      <c r="H251" s="76"/>
    </row>
    <row r="252" ht="15.75" customHeight="1">
      <c r="H252" s="76"/>
    </row>
    <row r="253" ht="15.75" customHeight="1">
      <c r="H253" s="76"/>
    </row>
    <row r="254" ht="15.75" customHeight="1">
      <c r="H254" s="76"/>
    </row>
    <row r="255" ht="15.75" customHeight="1">
      <c r="H255" s="76"/>
    </row>
    <row r="256" ht="15.75" customHeight="1">
      <c r="H256" s="76"/>
    </row>
    <row r="257" ht="15.75" customHeight="1">
      <c r="H257" s="76"/>
    </row>
    <row r="258" ht="15.75" customHeight="1">
      <c r="H258" s="76"/>
    </row>
    <row r="259" ht="15.75" customHeight="1">
      <c r="H259" s="76"/>
    </row>
    <row r="260" ht="15.75" customHeight="1">
      <c r="H260" s="76"/>
    </row>
    <row r="261" ht="15.75" customHeight="1">
      <c r="H261" s="76"/>
    </row>
    <row r="262" ht="15.75" customHeight="1">
      <c r="H262" s="76"/>
    </row>
    <row r="263" ht="15.75" customHeight="1">
      <c r="H263" s="76"/>
    </row>
    <row r="264" ht="15.75" customHeight="1">
      <c r="H264" s="76"/>
    </row>
    <row r="265" ht="15.75" customHeight="1">
      <c r="H265" s="76"/>
    </row>
    <row r="266" ht="15.75" customHeight="1">
      <c r="H266" s="76"/>
    </row>
    <row r="267" ht="15.75" customHeight="1">
      <c r="H267" s="76"/>
    </row>
    <row r="268" ht="15.75" customHeight="1">
      <c r="H268" s="76"/>
    </row>
    <row r="269" ht="15.75" customHeight="1">
      <c r="H269" s="76"/>
    </row>
    <row r="270" ht="15.75" customHeight="1">
      <c r="H270" s="76"/>
    </row>
    <row r="271" ht="15.75" customHeight="1">
      <c r="H271" s="76"/>
    </row>
    <row r="272" ht="15.75" customHeight="1">
      <c r="H272" s="76"/>
    </row>
    <row r="273" ht="15.75" customHeight="1">
      <c r="H273" s="76"/>
    </row>
    <row r="274" ht="15.75" customHeight="1">
      <c r="H274" s="76"/>
    </row>
    <row r="275" ht="15.75" customHeight="1">
      <c r="H275" s="76"/>
    </row>
    <row r="276" ht="15.75" customHeight="1">
      <c r="H276" s="76"/>
    </row>
    <row r="277" ht="15.75" customHeight="1">
      <c r="H277" s="76"/>
    </row>
    <row r="278" ht="15.75" customHeight="1">
      <c r="H278" s="76"/>
    </row>
    <row r="279" ht="15.75" customHeight="1">
      <c r="H279" s="76"/>
    </row>
    <row r="280" ht="15.75" customHeight="1">
      <c r="H280" s="76"/>
    </row>
    <row r="281" ht="15.75" customHeight="1">
      <c r="H281" s="76"/>
    </row>
    <row r="282" ht="15.75" customHeight="1">
      <c r="H282" s="76"/>
    </row>
    <row r="283" ht="15.75" customHeight="1">
      <c r="H283" s="76"/>
    </row>
    <row r="284" ht="15.75" customHeight="1">
      <c r="H284" s="76"/>
    </row>
    <row r="285" ht="15.75" customHeight="1">
      <c r="H285" s="76"/>
    </row>
    <row r="286" ht="15.75" customHeight="1">
      <c r="H286" s="76"/>
    </row>
    <row r="287" ht="15.75" customHeight="1">
      <c r="H287" s="76"/>
    </row>
    <row r="288" ht="15.75" customHeight="1">
      <c r="H288" s="76"/>
    </row>
    <row r="289" ht="15.75" customHeight="1">
      <c r="H289" s="76"/>
    </row>
    <row r="290" ht="15.75" customHeight="1">
      <c r="H290" s="76"/>
    </row>
    <row r="291" ht="15.75" customHeight="1">
      <c r="H291" s="76"/>
    </row>
    <row r="292" ht="15.75" customHeight="1">
      <c r="H292" s="76"/>
    </row>
    <row r="293" ht="15.75" customHeight="1">
      <c r="H293" s="76"/>
    </row>
    <row r="294" ht="15.75" customHeight="1">
      <c r="H294" s="76"/>
    </row>
    <row r="295" ht="15.75" customHeight="1">
      <c r="H295" s="76"/>
    </row>
    <row r="296" ht="15.75" customHeight="1">
      <c r="H296" s="76"/>
    </row>
    <row r="297" ht="15.75" customHeight="1">
      <c r="H297" s="76"/>
    </row>
    <row r="298" ht="15.75" customHeight="1">
      <c r="H298" s="76"/>
    </row>
    <row r="299" ht="15.75" customHeight="1">
      <c r="H299" s="76"/>
    </row>
    <row r="300" ht="15.75" customHeight="1">
      <c r="H300" s="76"/>
    </row>
    <row r="301" ht="15.75" customHeight="1">
      <c r="H301" s="76"/>
    </row>
    <row r="302" ht="15.75" customHeight="1">
      <c r="H302" s="76"/>
    </row>
    <row r="303" ht="15.75" customHeight="1">
      <c r="H303" s="76"/>
    </row>
    <row r="304" ht="15.75" customHeight="1">
      <c r="H304" s="76"/>
    </row>
    <row r="305" ht="15.75" customHeight="1">
      <c r="H305" s="76"/>
    </row>
    <row r="306" ht="15.75" customHeight="1">
      <c r="H306" s="76"/>
    </row>
    <row r="307" ht="15.75" customHeight="1">
      <c r="H307" s="76"/>
    </row>
    <row r="308" ht="15.75" customHeight="1">
      <c r="H308" s="76"/>
    </row>
    <row r="309" ht="15.75" customHeight="1">
      <c r="H309" s="76"/>
    </row>
    <row r="310" ht="15.75" customHeight="1">
      <c r="H310" s="76"/>
    </row>
    <row r="311" ht="15.75" customHeight="1">
      <c r="H311" s="76"/>
    </row>
    <row r="312" ht="15.75" customHeight="1">
      <c r="H312" s="76"/>
    </row>
    <row r="313" ht="15.75" customHeight="1">
      <c r="H313" s="76"/>
    </row>
    <row r="314" ht="15.75" customHeight="1">
      <c r="H314" s="76"/>
    </row>
    <row r="315" ht="15.75" customHeight="1">
      <c r="H315" s="76"/>
    </row>
    <row r="316" ht="15.75" customHeight="1">
      <c r="H316" s="76"/>
    </row>
    <row r="317" ht="15.75" customHeight="1">
      <c r="H317" s="76"/>
    </row>
    <row r="318" ht="15.75" customHeight="1">
      <c r="H318" s="76"/>
    </row>
    <row r="319" ht="15.75" customHeight="1">
      <c r="H319" s="76"/>
    </row>
    <row r="320" ht="15.75" customHeight="1">
      <c r="H320" s="76"/>
    </row>
    <row r="321" ht="15.75" customHeight="1">
      <c r="H321" s="76"/>
    </row>
    <row r="322" ht="15.75" customHeight="1">
      <c r="H322" s="76"/>
    </row>
    <row r="323" ht="15.75" customHeight="1">
      <c r="H323" s="76"/>
    </row>
    <row r="324" ht="15.75" customHeight="1">
      <c r="H324" s="76"/>
    </row>
    <row r="325" ht="15.75" customHeight="1">
      <c r="H325" s="76"/>
    </row>
    <row r="326" ht="15.75" customHeight="1">
      <c r="H326" s="76"/>
    </row>
    <row r="327" ht="15.75" customHeight="1">
      <c r="H327" s="76"/>
    </row>
    <row r="328" ht="15.75" customHeight="1">
      <c r="H328" s="76"/>
    </row>
    <row r="329" ht="15.75" customHeight="1">
      <c r="H329" s="76"/>
    </row>
    <row r="330" ht="15.75" customHeight="1">
      <c r="H330" s="76"/>
    </row>
    <row r="331" ht="15.75" customHeight="1">
      <c r="H331" s="76"/>
    </row>
    <row r="332" ht="15.75" customHeight="1">
      <c r="H332" s="76"/>
    </row>
    <row r="333" ht="15.75" customHeight="1">
      <c r="H333" s="76"/>
    </row>
    <row r="334" ht="15.75" customHeight="1">
      <c r="H334" s="76"/>
    </row>
    <row r="335" ht="15.75" customHeight="1">
      <c r="H335" s="76"/>
    </row>
    <row r="336" ht="15.75" customHeight="1">
      <c r="H336" s="76"/>
    </row>
    <row r="337" ht="15.75" customHeight="1">
      <c r="H337" s="76"/>
    </row>
    <row r="338" ht="15.75" customHeight="1">
      <c r="H338" s="76"/>
    </row>
    <row r="339" ht="15.75" customHeight="1">
      <c r="H339" s="76"/>
    </row>
    <row r="340" ht="15.75" customHeight="1">
      <c r="H340" s="76"/>
    </row>
    <row r="341" ht="15.75" customHeight="1">
      <c r="H341" s="76"/>
    </row>
    <row r="342" ht="15.75" customHeight="1">
      <c r="H342" s="76"/>
    </row>
    <row r="343" ht="15.75" customHeight="1">
      <c r="H343" s="76"/>
    </row>
    <row r="344" ht="15.75" customHeight="1">
      <c r="H344" s="76"/>
    </row>
    <row r="345" ht="15.75" customHeight="1">
      <c r="H345" s="76"/>
    </row>
    <row r="346" ht="15.75" customHeight="1">
      <c r="H346" s="76"/>
    </row>
    <row r="347" ht="15.75" customHeight="1">
      <c r="H347" s="76"/>
    </row>
    <row r="348" ht="15.75" customHeight="1">
      <c r="H348" s="76"/>
    </row>
    <row r="349" ht="15.75" customHeight="1">
      <c r="H349" s="76"/>
    </row>
    <row r="350" ht="15.75" customHeight="1">
      <c r="H350" s="76"/>
    </row>
    <row r="351" ht="15.75" customHeight="1">
      <c r="H351" s="76"/>
    </row>
    <row r="352" ht="15.75" customHeight="1">
      <c r="H352" s="76"/>
    </row>
    <row r="353" ht="15.75" customHeight="1">
      <c r="H353" s="76"/>
    </row>
    <row r="354" ht="15.75" customHeight="1">
      <c r="H354" s="76"/>
    </row>
    <row r="355" ht="15.75" customHeight="1">
      <c r="H355" s="76"/>
    </row>
    <row r="356" ht="15.75" customHeight="1">
      <c r="H356" s="76"/>
    </row>
    <row r="357" ht="15.75" customHeight="1">
      <c r="H357" s="76"/>
    </row>
    <row r="358" ht="15.75" customHeight="1">
      <c r="H358" s="76"/>
    </row>
    <row r="359" ht="15.75" customHeight="1">
      <c r="H359" s="76"/>
    </row>
    <row r="360" ht="15.75" customHeight="1">
      <c r="H360" s="76"/>
    </row>
    <row r="361" ht="15.75" customHeight="1">
      <c r="H361" s="76"/>
    </row>
    <row r="362" ht="15.75" customHeight="1">
      <c r="H362" s="76"/>
    </row>
    <row r="363" ht="15.75" customHeight="1">
      <c r="H363" s="76"/>
    </row>
    <row r="364" ht="15.75" customHeight="1">
      <c r="H364" s="76"/>
    </row>
    <row r="365" ht="15.75" customHeight="1">
      <c r="H365" s="76"/>
    </row>
    <row r="366" ht="15.75" customHeight="1">
      <c r="H366" s="76"/>
    </row>
    <row r="367" ht="15.75" customHeight="1">
      <c r="H367" s="76"/>
    </row>
    <row r="368" ht="15.75" customHeight="1">
      <c r="H368" s="76"/>
    </row>
    <row r="369" ht="15.75" customHeight="1">
      <c r="H369" s="76"/>
    </row>
    <row r="370" ht="15.75" customHeight="1">
      <c r="H370" s="76"/>
    </row>
    <row r="371" ht="15.75" customHeight="1">
      <c r="H371" s="76"/>
    </row>
    <row r="372" ht="15.75" customHeight="1">
      <c r="H372" s="76"/>
    </row>
    <row r="373" ht="15.75" customHeight="1">
      <c r="H373" s="76"/>
    </row>
    <row r="374" ht="15.75" customHeight="1">
      <c r="H374" s="76"/>
    </row>
    <row r="375" ht="15.75" customHeight="1">
      <c r="H375" s="76"/>
    </row>
    <row r="376" ht="15.75" customHeight="1">
      <c r="H376" s="76"/>
    </row>
    <row r="377" ht="15.75" customHeight="1">
      <c r="H377" s="76"/>
    </row>
    <row r="378" ht="15.75" customHeight="1">
      <c r="H378" s="76"/>
    </row>
    <row r="379" ht="15.75" customHeight="1">
      <c r="H379" s="76"/>
    </row>
    <row r="380" ht="15.75" customHeight="1">
      <c r="H380" s="76"/>
    </row>
    <row r="381" ht="15.75" customHeight="1">
      <c r="H381" s="76"/>
    </row>
    <row r="382" ht="15.75" customHeight="1">
      <c r="H382" s="76"/>
    </row>
    <row r="383" ht="15.75" customHeight="1">
      <c r="H383" s="76"/>
    </row>
    <row r="384" ht="15.75" customHeight="1">
      <c r="H384" s="76"/>
    </row>
    <row r="385" ht="15.75" customHeight="1">
      <c r="H385" s="76"/>
    </row>
    <row r="386" ht="15.75" customHeight="1">
      <c r="H386" s="76"/>
    </row>
    <row r="387" ht="15.75" customHeight="1">
      <c r="H387" s="76"/>
    </row>
    <row r="388" ht="15.75" customHeight="1">
      <c r="H388" s="76"/>
    </row>
    <row r="389" ht="15.75" customHeight="1">
      <c r="H389" s="76"/>
    </row>
    <row r="390" ht="15.75" customHeight="1">
      <c r="H390" s="76"/>
    </row>
    <row r="391" ht="15.75" customHeight="1">
      <c r="H391" s="76"/>
    </row>
    <row r="392" ht="15.75" customHeight="1">
      <c r="H392" s="76"/>
    </row>
    <row r="393" ht="15.75" customHeight="1">
      <c r="H393" s="76"/>
    </row>
    <row r="394" ht="15.75" customHeight="1">
      <c r="H394" s="76"/>
    </row>
    <row r="395" ht="15.75" customHeight="1">
      <c r="H395" s="76"/>
    </row>
    <row r="396" ht="15.75" customHeight="1">
      <c r="H396" s="76"/>
    </row>
    <row r="397" ht="15.75" customHeight="1">
      <c r="H397" s="76"/>
    </row>
    <row r="398" ht="15.75" customHeight="1">
      <c r="H398" s="76"/>
    </row>
    <row r="399" ht="15.75" customHeight="1">
      <c r="H399" s="76"/>
    </row>
    <row r="400" ht="15.75" customHeight="1">
      <c r="H400" s="76"/>
    </row>
    <row r="401" ht="15.75" customHeight="1">
      <c r="H401" s="76"/>
    </row>
    <row r="402" ht="15.75" customHeight="1">
      <c r="H402" s="76"/>
    </row>
    <row r="403" ht="15.75" customHeight="1">
      <c r="H403" s="76"/>
    </row>
    <row r="404" ht="15.75" customHeight="1">
      <c r="H404" s="76"/>
    </row>
    <row r="405" ht="15.75" customHeight="1">
      <c r="H405" s="76"/>
    </row>
    <row r="406" ht="15.75" customHeight="1">
      <c r="H406" s="76"/>
    </row>
    <row r="407" ht="15.75" customHeight="1">
      <c r="H407" s="76"/>
    </row>
    <row r="408" ht="15.75" customHeight="1">
      <c r="H408" s="76"/>
    </row>
    <row r="409" ht="15.75" customHeight="1">
      <c r="H409" s="76"/>
    </row>
    <row r="410" ht="15.75" customHeight="1">
      <c r="H410" s="76"/>
    </row>
    <row r="411" ht="15.75" customHeight="1">
      <c r="H411" s="76"/>
    </row>
    <row r="412" ht="15.75" customHeight="1">
      <c r="H412" s="76"/>
    </row>
    <row r="413" ht="15.75" customHeight="1">
      <c r="H413" s="76"/>
    </row>
    <row r="414" ht="15.75" customHeight="1">
      <c r="H414" s="76"/>
    </row>
    <row r="415" ht="15.75" customHeight="1">
      <c r="H415" s="76"/>
    </row>
    <row r="416" ht="15.75" customHeight="1">
      <c r="H416" s="76"/>
    </row>
    <row r="417" ht="15.75" customHeight="1">
      <c r="H417" s="76"/>
    </row>
    <row r="418" ht="15.75" customHeight="1">
      <c r="H418" s="76"/>
    </row>
    <row r="419" ht="15.75" customHeight="1">
      <c r="H419" s="76"/>
    </row>
    <row r="420" ht="15.75" customHeight="1">
      <c r="H420" s="76"/>
    </row>
    <row r="421" ht="15.75" customHeight="1">
      <c r="H421" s="76"/>
    </row>
    <row r="422" ht="15.75" customHeight="1">
      <c r="H422" s="76"/>
    </row>
    <row r="423" ht="15.75" customHeight="1">
      <c r="H423" s="76"/>
    </row>
    <row r="424" ht="15.75" customHeight="1">
      <c r="H424" s="76"/>
    </row>
    <row r="425" ht="15.75" customHeight="1">
      <c r="H425" s="76"/>
    </row>
    <row r="426" ht="15.75" customHeight="1">
      <c r="H426" s="76"/>
    </row>
    <row r="427" ht="15.75" customHeight="1">
      <c r="H427" s="76"/>
    </row>
    <row r="428" ht="15.75" customHeight="1">
      <c r="H428" s="76"/>
    </row>
    <row r="429" ht="15.75" customHeight="1">
      <c r="H429" s="76"/>
    </row>
    <row r="430" ht="15.75" customHeight="1">
      <c r="H430" s="76"/>
    </row>
    <row r="431" ht="15.75" customHeight="1">
      <c r="H431" s="76"/>
    </row>
    <row r="432" ht="15.75" customHeight="1">
      <c r="H432" s="76"/>
    </row>
    <row r="433" ht="15.75" customHeight="1">
      <c r="H433" s="76"/>
    </row>
    <row r="434" ht="15.75" customHeight="1">
      <c r="H434" s="76"/>
    </row>
    <row r="435" ht="15.75" customHeight="1">
      <c r="H435" s="76"/>
    </row>
    <row r="436" ht="15.75" customHeight="1">
      <c r="H436" s="76"/>
    </row>
    <row r="437" ht="15.75" customHeight="1">
      <c r="H437" s="76"/>
    </row>
    <row r="438" ht="15.75" customHeight="1">
      <c r="H438" s="76"/>
    </row>
    <row r="439" ht="15.75" customHeight="1">
      <c r="H439" s="76"/>
    </row>
    <row r="440" ht="15.75" customHeight="1">
      <c r="H440" s="76"/>
    </row>
    <row r="441" ht="15.75" customHeight="1">
      <c r="H441" s="76"/>
    </row>
    <row r="442" ht="15.75" customHeight="1">
      <c r="H442" s="76"/>
    </row>
    <row r="443" ht="15.75" customHeight="1">
      <c r="H443" s="76"/>
    </row>
    <row r="444" ht="15.75" customHeight="1">
      <c r="H444" s="76"/>
    </row>
    <row r="445" ht="15.75" customHeight="1">
      <c r="H445" s="76"/>
    </row>
    <row r="446" ht="15.75" customHeight="1">
      <c r="H446" s="76"/>
    </row>
    <row r="447" ht="15.75" customHeight="1">
      <c r="H447" s="76"/>
    </row>
    <row r="448" ht="15.75" customHeight="1">
      <c r="H448" s="76"/>
    </row>
    <row r="449" ht="15.75" customHeight="1">
      <c r="H449" s="76"/>
    </row>
    <row r="450" ht="15.75" customHeight="1">
      <c r="H450" s="76"/>
    </row>
    <row r="451" ht="15.75" customHeight="1">
      <c r="H451" s="76"/>
    </row>
    <row r="452" ht="15.75" customHeight="1">
      <c r="H452" s="76"/>
    </row>
    <row r="453" ht="15.75" customHeight="1">
      <c r="H453" s="76"/>
    </row>
    <row r="454" ht="15.75" customHeight="1">
      <c r="H454" s="76"/>
    </row>
    <row r="455" ht="15.75" customHeight="1">
      <c r="H455" s="76"/>
    </row>
    <row r="456" ht="15.75" customHeight="1">
      <c r="H456" s="76"/>
    </row>
    <row r="457" ht="15.75" customHeight="1">
      <c r="H457" s="76"/>
    </row>
    <row r="458" ht="15.75" customHeight="1">
      <c r="H458" s="76"/>
    </row>
    <row r="459" ht="15.75" customHeight="1">
      <c r="H459" s="76"/>
    </row>
    <row r="460" ht="15.75" customHeight="1">
      <c r="H460" s="76"/>
    </row>
    <row r="461" ht="15.75" customHeight="1">
      <c r="H461" s="76"/>
    </row>
    <row r="462" ht="15.75" customHeight="1">
      <c r="H462" s="76"/>
    </row>
    <row r="463" ht="15.75" customHeight="1">
      <c r="H463" s="76"/>
    </row>
    <row r="464" ht="15.75" customHeight="1">
      <c r="H464" s="76"/>
    </row>
    <row r="465" ht="15.75" customHeight="1">
      <c r="H465" s="76"/>
    </row>
    <row r="466" ht="15.75" customHeight="1">
      <c r="H466" s="76"/>
    </row>
    <row r="467" ht="15.75" customHeight="1">
      <c r="H467" s="76"/>
    </row>
    <row r="468" ht="15.75" customHeight="1">
      <c r="H468" s="76"/>
    </row>
    <row r="469" ht="15.75" customHeight="1">
      <c r="H469" s="76"/>
    </row>
    <row r="470" ht="15.75" customHeight="1">
      <c r="H470" s="76"/>
    </row>
    <row r="471" ht="15.75" customHeight="1">
      <c r="H471" s="76"/>
    </row>
    <row r="472" ht="15.75" customHeight="1">
      <c r="H472" s="76"/>
    </row>
    <row r="473" ht="15.75" customHeight="1">
      <c r="H473" s="76"/>
    </row>
    <row r="474" ht="15.75" customHeight="1">
      <c r="H474" s="76"/>
    </row>
    <row r="475" ht="15.75" customHeight="1">
      <c r="H475" s="76"/>
    </row>
    <row r="476" ht="15.75" customHeight="1">
      <c r="H476" s="76"/>
    </row>
    <row r="477" ht="15.75" customHeight="1">
      <c r="H477" s="76"/>
    </row>
    <row r="478" ht="15.75" customHeight="1">
      <c r="H478" s="76"/>
    </row>
    <row r="479" ht="15.75" customHeight="1">
      <c r="H479" s="76"/>
    </row>
    <row r="480" ht="15.75" customHeight="1">
      <c r="H480" s="76"/>
    </row>
    <row r="481" ht="15.75" customHeight="1">
      <c r="H481" s="76"/>
    </row>
    <row r="482" ht="15.75" customHeight="1">
      <c r="H482" s="76"/>
    </row>
    <row r="483" ht="15.75" customHeight="1">
      <c r="H483" s="76"/>
    </row>
    <row r="484" ht="15.75" customHeight="1">
      <c r="H484" s="76"/>
    </row>
    <row r="485" ht="15.75" customHeight="1">
      <c r="H485" s="76"/>
    </row>
    <row r="486" ht="15.75" customHeight="1">
      <c r="H486" s="76"/>
    </row>
    <row r="487" ht="15.75" customHeight="1">
      <c r="H487" s="76"/>
    </row>
    <row r="488" ht="15.75" customHeight="1">
      <c r="H488" s="76"/>
    </row>
    <row r="489" ht="15.75" customHeight="1">
      <c r="H489" s="76"/>
    </row>
    <row r="490" ht="15.75" customHeight="1">
      <c r="H490" s="76"/>
    </row>
    <row r="491" ht="15.75" customHeight="1">
      <c r="H491" s="76"/>
    </row>
    <row r="492" ht="15.75" customHeight="1">
      <c r="H492" s="76"/>
    </row>
    <row r="493" ht="15.75" customHeight="1">
      <c r="H493" s="76"/>
    </row>
    <row r="494" ht="15.75" customHeight="1">
      <c r="H494" s="76"/>
    </row>
    <row r="495" ht="15.75" customHeight="1">
      <c r="H495" s="76"/>
    </row>
    <row r="496" ht="15.75" customHeight="1">
      <c r="H496" s="76"/>
    </row>
    <row r="497" ht="15.75" customHeight="1">
      <c r="H497" s="76"/>
    </row>
    <row r="498" ht="15.75" customHeight="1">
      <c r="H498" s="76"/>
    </row>
    <row r="499" ht="15.75" customHeight="1">
      <c r="H499" s="76"/>
    </row>
    <row r="500" ht="15.75" customHeight="1">
      <c r="H500" s="76"/>
    </row>
    <row r="501" ht="15.75" customHeight="1">
      <c r="H501" s="76"/>
    </row>
    <row r="502" ht="15.75" customHeight="1">
      <c r="H502" s="76"/>
    </row>
    <row r="503" ht="15.75" customHeight="1">
      <c r="H503" s="76"/>
    </row>
    <row r="504" ht="15.75" customHeight="1">
      <c r="H504" s="76"/>
    </row>
    <row r="505" ht="15.75" customHeight="1">
      <c r="H505" s="76"/>
    </row>
    <row r="506" ht="15.75" customHeight="1">
      <c r="H506" s="76"/>
    </row>
    <row r="507" ht="15.75" customHeight="1">
      <c r="H507" s="76"/>
    </row>
    <row r="508" ht="15.75" customHeight="1">
      <c r="H508" s="76"/>
    </row>
    <row r="509" ht="15.75" customHeight="1">
      <c r="H509" s="76"/>
    </row>
    <row r="510" ht="15.75" customHeight="1">
      <c r="H510" s="76"/>
    </row>
    <row r="511" ht="15.75" customHeight="1">
      <c r="H511" s="76"/>
    </row>
    <row r="512" ht="15.75" customHeight="1">
      <c r="H512" s="76"/>
    </row>
    <row r="513" ht="15.75" customHeight="1">
      <c r="H513" s="76"/>
    </row>
    <row r="514" ht="15.75" customHeight="1">
      <c r="H514" s="76"/>
    </row>
    <row r="515" ht="15.75" customHeight="1">
      <c r="H515" s="76"/>
    </row>
    <row r="516" ht="15.75" customHeight="1">
      <c r="H516" s="76"/>
    </row>
    <row r="517" ht="15.75" customHeight="1">
      <c r="H517" s="76"/>
    </row>
    <row r="518" ht="15.75" customHeight="1">
      <c r="H518" s="76"/>
    </row>
    <row r="519" ht="15.75" customHeight="1">
      <c r="H519" s="76"/>
    </row>
    <row r="520" ht="15.75" customHeight="1">
      <c r="H520" s="76"/>
    </row>
    <row r="521" ht="15.75" customHeight="1">
      <c r="H521" s="76"/>
    </row>
    <row r="522" ht="15.75" customHeight="1">
      <c r="H522" s="76"/>
    </row>
    <row r="523" ht="15.75" customHeight="1">
      <c r="H523" s="76"/>
    </row>
    <row r="524" ht="15.75" customHeight="1">
      <c r="H524" s="76"/>
    </row>
    <row r="525" ht="15.75" customHeight="1">
      <c r="H525" s="76"/>
    </row>
    <row r="526" ht="15.75" customHeight="1">
      <c r="H526" s="76"/>
    </row>
    <row r="527" ht="15.75" customHeight="1">
      <c r="H527" s="76"/>
    </row>
    <row r="528" ht="15.75" customHeight="1">
      <c r="H528" s="76"/>
    </row>
    <row r="529" ht="15.75" customHeight="1">
      <c r="H529" s="76"/>
    </row>
    <row r="530" ht="15.75" customHeight="1">
      <c r="H530" s="76"/>
    </row>
    <row r="531" ht="15.75" customHeight="1">
      <c r="H531" s="76"/>
    </row>
    <row r="532" ht="15.75" customHeight="1">
      <c r="H532" s="76"/>
    </row>
    <row r="533" ht="15.75" customHeight="1">
      <c r="H533" s="76"/>
    </row>
    <row r="534" ht="15.75" customHeight="1">
      <c r="H534" s="76"/>
    </row>
    <row r="535" ht="15.75" customHeight="1">
      <c r="H535" s="76"/>
    </row>
    <row r="536" ht="15.75" customHeight="1">
      <c r="H536" s="76"/>
    </row>
    <row r="537" ht="15.75" customHeight="1">
      <c r="H537" s="76"/>
    </row>
    <row r="538" ht="15.75" customHeight="1">
      <c r="H538" s="76"/>
    </row>
    <row r="539" ht="15.75" customHeight="1">
      <c r="H539" s="76"/>
    </row>
    <row r="540" ht="15.75" customHeight="1">
      <c r="H540" s="76"/>
    </row>
    <row r="541" ht="15.75" customHeight="1">
      <c r="H541" s="76"/>
    </row>
    <row r="542" ht="15.75" customHeight="1">
      <c r="H542" s="76"/>
    </row>
    <row r="543" ht="15.75" customHeight="1">
      <c r="H543" s="76"/>
    </row>
    <row r="544" ht="15.75" customHeight="1">
      <c r="H544" s="76"/>
    </row>
    <row r="545" ht="15.75" customHeight="1">
      <c r="H545" s="76"/>
    </row>
    <row r="546" ht="15.75" customHeight="1">
      <c r="H546" s="76"/>
    </row>
    <row r="547" ht="15.75" customHeight="1">
      <c r="H547" s="76"/>
    </row>
    <row r="548" ht="15.75" customHeight="1">
      <c r="H548" s="76"/>
    </row>
    <row r="549" ht="15.75" customHeight="1">
      <c r="H549" s="76"/>
    </row>
    <row r="550" ht="15.75" customHeight="1">
      <c r="H550" s="76"/>
    </row>
    <row r="551" ht="15.75" customHeight="1">
      <c r="H551" s="76"/>
    </row>
    <row r="552" ht="15.75" customHeight="1">
      <c r="H552" s="76"/>
    </row>
    <row r="553" ht="15.75" customHeight="1">
      <c r="H553" s="76"/>
    </row>
    <row r="554" ht="15.75" customHeight="1">
      <c r="H554" s="76"/>
    </row>
    <row r="555" ht="15.75" customHeight="1">
      <c r="H555" s="76"/>
    </row>
    <row r="556" ht="15.75" customHeight="1">
      <c r="H556" s="76"/>
    </row>
    <row r="557" ht="15.75" customHeight="1">
      <c r="H557" s="76"/>
    </row>
    <row r="558" ht="15.75" customHeight="1">
      <c r="H558" s="76"/>
    </row>
    <row r="559" ht="15.75" customHeight="1">
      <c r="H559" s="76"/>
    </row>
    <row r="560" ht="15.75" customHeight="1">
      <c r="H560" s="76"/>
    </row>
    <row r="561" ht="15.75" customHeight="1">
      <c r="H561" s="76"/>
    </row>
    <row r="562" ht="15.75" customHeight="1">
      <c r="H562" s="76"/>
    </row>
    <row r="563" ht="15.75" customHeight="1">
      <c r="H563" s="76"/>
    </row>
    <row r="564" ht="15.75" customHeight="1">
      <c r="H564" s="76"/>
    </row>
    <row r="565" ht="15.75" customHeight="1">
      <c r="H565" s="76"/>
    </row>
    <row r="566" ht="15.75" customHeight="1">
      <c r="H566" s="76"/>
    </row>
    <row r="567" ht="15.75" customHeight="1">
      <c r="H567" s="76"/>
    </row>
    <row r="568" ht="15.75" customHeight="1">
      <c r="H568" s="76"/>
    </row>
    <row r="569" ht="15.75" customHeight="1">
      <c r="H569" s="76"/>
    </row>
    <row r="570" ht="15.75" customHeight="1">
      <c r="H570" s="76"/>
    </row>
    <row r="571" ht="15.75" customHeight="1">
      <c r="H571" s="76"/>
    </row>
    <row r="572" ht="15.75" customHeight="1">
      <c r="H572" s="76"/>
    </row>
    <row r="573" ht="15.75" customHeight="1">
      <c r="H573" s="76"/>
    </row>
    <row r="574" ht="15.75" customHeight="1">
      <c r="H574" s="76"/>
    </row>
    <row r="575" ht="15.75" customHeight="1">
      <c r="H575" s="76"/>
    </row>
    <row r="576" ht="15.75" customHeight="1">
      <c r="H576" s="76"/>
    </row>
    <row r="577" ht="15.75" customHeight="1">
      <c r="H577" s="76"/>
    </row>
    <row r="578" ht="15.75" customHeight="1">
      <c r="H578" s="76"/>
    </row>
    <row r="579" ht="15.75" customHeight="1">
      <c r="H579" s="76"/>
    </row>
    <row r="580" ht="15.75" customHeight="1">
      <c r="H580" s="76"/>
    </row>
    <row r="581" ht="15.75" customHeight="1">
      <c r="H581" s="76"/>
    </row>
    <row r="582" ht="15.75" customHeight="1">
      <c r="H582" s="76"/>
    </row>
    <row r="583" ht="15.75" customHeight="1">
      <c r="H583" s="76"/>
    </row>
    <row r="584" ht="15.75" customHeight="1">
      <c r="H584" s="76"/>
    </row>
    <row r="585" ht="15.75" customHeight="1">
      <c r="H585" s="76"/>
    </row>
    <row r="586" ht="15.75" customHeight="1">
      <c r="H586" s="76"/>
    </row>
    <row r="587" ht="15.75" customHeight="1">
      <c r="H587" s="76"/>
    </row>
    <row r="588" ht="15.75" customHeight="1">
      <c r="H588" s="76"/>
    </row>
    <row r="589" ht="15.75" customHeight="1">
      <c r="H589" s="76"/>
    </row>
    <row r="590" ht="15.75" customHeight="1">
      <c r="H590" s="76"/>
    </row>
    <row r="591" ht="15.75" customHeight="1">
      <c r="H591" s="76"/>
    </row>
    <row r="592" ht="15.75" customHeight="1">
      <c r="H592" s="76"/>
    </row>
    <row r="593" ht="15.75" customHeight="1">
      <c r="H593" s="76"/>
    </row>
    <row r="594" ht="15.75" customHeight="1">
      <c r="H594" s="76"/>
    </row>
    <row r="595" ht="15.75" customHeight="1">
      <c r="H595" s="76"/>
    </row>
    <row r="596" ht="15.75" customHeight="1">
      <c r="H596" s="76"/>
    </row>
    <row r="597" ht="15.75" customHeight="1">
      <c r="H597" s="76"/>
    </row>
    <row r="598" ht="15.75" customHeight="1">
      <c r="H598" s="76"/>
    </row>
    <row r="599" ht="15.75" customHeight="1">
      <c r="H599" s="76"/>
    </row>
    <row r="600" ht="15.75" customHeight="1">
      <c r="H600" s="76"/>
    </row>
    <row r="601" ht="15.75" customHeight="1">
      <c r="H601" s="76"/>
    </row>
    <row r="602" ht="15.75" customHeight="1">
      <c r="H602" s="76"/>
    </row>
    <row r="603" ht="15.75" customHeight="1">
      <c r="H603" s="76"/>
    </row>
    <row r="604" ht="15.75" customHeight="1">
      <c r="H604" s="76"/>
    </row>
    <row r="605" ht="15.75" customHeight="1">
      <c r="H605" s="76"/>
    </row>
    <row r="606" ht="15.75" customHeight="1">
      <c r="H606" s="76"/>
    </row>
    <row r="607" ht="15.75" customHeight="1">
      <c r="H607" s="76"/>
    </row>
    <row r="608" ht="15.75" customHeight="1">
      <c r="H608" s="76"/>
    </row>
    <row r="609" ht="15.75" customHeight="1">
      <c r="H609" s="76"/>
    </row>
    <row r="610" ht="15.75" customHeight="1">
      <c r="H610" s="76"/>
    </row>
    <row r="611" ht="15.75" customHeight="1">
      <c r="H611" s="76"/>
    </row>
    <row r="612" ht="15.75" customHeight="1">
      <c r="H612" s="76"/>
    </row>
    <row r="613" ht="15.75" customHeight="1">
      <c r="H613" s="76"/>
    </row>
    <row r="614" ht="15.75" customHeight="1">
      <c r="H614" s="76"/>
    </row>
    <row r="615" ht="15.75" customHeight="1">
      <c r="H615" s="76"/>
    </row>
    <row r="616" ht="15.75" customHeight="1">
      <c r="H616" s="76"/>
    </row>
    <row r="617" ht="15.75" customHeight="1">
      <c r="H617" s="76"/>
    </row>
    <row r="618" ht="15.75" customHeight="1">
      <c r="H618" s="76"/>
    </row>
    <row r="619" ht="15.75" customHeight="1">
      <c r="H619" s="76"/>
    </row>
    <row r="620" ht="15.75" customHeight="1">
      <c r="H620" s="76"/>
    </row>
    <row r="621" ht="15.75" customHeight="1">
      <c r="H621" s="76"/>
    </row>
    <row r="622" ht="15.75" customHeight="1">
      <c r="H622" s="76"/>
    </row>
    <row r="623" ht="15.75" customHeight="1">
      <c r="H623" s="76"/>
    </row>
    <row r="624" ht="15.75" customHeight="1">
      <c r="H624" s="76"/>
    </row>
    <row r="625" ht="15.75" customHeight="1">
      <c r="H625" s="76"/>
    </row>
    <row r="626" ht="15.75" customHeight="1">
      <c r="H626" s="76"/>
    </row>
    <row r="627" ht="15.75" customHeight="1">
      <c r="H627" s="76"/>
    </row>
    <row r="628" ht="15.75" customHeight="1">
      <c r="H628" s="76"/>
    </row>
    <row r="629" ht="15.75" customHeight="1">
      <c r="H629" s="76"/>
    </row>
    <row r="630" ht="15.75" customHeight="1">
      <c r="H630" s="76"/>
    </row>
    <row r="631" ht="15.75" customHeight="1">
      <c r="H631" s="76"/>
    </row>
    <row r="632" ht="15.75" customHeight="1">
      <c r="H632" s="76"/>
    </row>
    <row r="633" ht="15.75" customHeight="1">
      <c r="H633" s="76"/>
    </row>
    <row r="634" ht="15.75" customHeight="1">
      <c r="H634" s="76"/>
    </row>
    <row r="635" ht="15.75" customHeight="1">
      <c r="H635" s="76"/>
    </row>
    <row r="636" ht="15.75" customHeight="1">
      <c r="H636" s="76"/>
    </row>
    <row r="637" ht="15.75" customHeight="1">
      <c r="H637" s="76"/>
    </row>
    <row r="638" ht="15.75" customHeight="1">
      <c r="H638" s="76"/>
    </row>
    <row r="639" ht="15.75" customHeight="1">
      <c r="H639" s="76"/>
    </row>
    <row r="640" ht="15.75" customHeight="1">
      <c r="H640" s="76"/>
    </row>
    <row r="641" ht="15.75" customHeight="1">
      <c r="H641" s="76"/>
    </row>
    <row r="642" ht="15.75" customHeight="1">
      <c r="H642" s="76"/>
    </row>
    <row r="643" ht="15.75" customHeight="1">
      <c r="H643" s="76"/>
    </row>
    <row r="644" ht="15.75" customHeight="1">
      <c r="H644" s="76"/>
    </row>
    <row r="645" ht="15.75" customHeight="1">
      <c r="H645" s="76"/>
    </row>
    <row r="646" ht="15.75" customHeight="1">
      <c r="H646" s="76"/>
    </row>
    <row r="647" ht="15.75" customHeight="1">
      <c r="H647" s="76"/>
    </row>
    <row r="648" ht="15.75" customHeight="1">
      <c r="H648" s="76"/>
    </row>
    <row r="649" ht="15.75" customHeight="1">
      <c r="H649" s="76"/>
    </row>
    <row r="650" ht="15.75" customHeight="1">
      <c r="H650" s="76"/>
    </row>
    <row r="651" ht="15.75" customHeight="1">
      <c r="H651" s="76"/>
    </row>
    <row r="652" ht="15.75" customHeight="1">
      <c r="H652" s="76"/>
    </row>
    <row r="653" ht="15.75" customHeight="1">
      <c r="H653" s="76"/>
    </row>
    <row r="654" ht="15.75" customHeight="1">
      <c r="H654" s="76"/>
    </row>
    <row r="655" ht="15.75" customHeight="1">
      <c r="H655" s="76"/>
    </row>
    <row r="656" ht="15.75" customHeight="1">
      <c r="H656" s="76"/>
    </row>
    <row r="657" ht="15.75" customHeight="1">
      <c r="H657" s="76"/>
    </row>
    <row r="658" ht="15.75" customHeight="1">
      <c r="H658" s="76"/>
    </row>
    <row r="659" ht="15.75" customHeight="1">
      <c r="H659" s="76"/>
    </row>
    <row r="660" ht="15.75" customHeight="1">
      <c r="H660" s="76"/>
    </row>
    <row r="661" ht="15.75" customHeight="1">
      <c r="H661" s="76"/>
    </row>
    <row r="662" ht="15.75" customHeight="1">
      <c r="H662" s="76"/>
    </row>
    <row r="663" ht="15.75" customHeight="1">
      <c r="H663" s="76"/>
    </row>
    <row r="664" ht="15.75" customHeight="1">
      <c r="H664" s="76"/>
    </row>
    <row r="665" ht="15.75" customHeight="1">
      <c r="H665" s="76"/>
    </row>
    <row r="666" ht="15.75" customHeight="1">
      <c r="H666" s="76"/>
    </row>
    <row r="667" ht="15.75" customHeight="1">
      <c r="H667" s="76"/>
    </row>
    <row r="668" ht="15.75" customHeight="1">
      <c r="H668" s="76"/>
    </row>
    <row r="669" ht="15.75" customHeight="1">
      <c r="H669" s="76"/>
    </row>
    <row r="670" ht="15.75" customHeight="1">
      <c r="H670" s="76"/>
    </row>
    <row r="671" ht="15.75" customHeight="1">
      <c r="H671" s="76"/>
    </row>
    <row r="672" ht="15.75" customHeight="1">
      <c r="H672" s="76"/>
    </row>
    <row r="673" ht="15.75" customHeight="1">
      <c r="H673" s="76"/>
    </row>
    <row r="674" ht="15.75" customHeight="1">
      <c r="H674" s="76"/>
    </row>
    <row r="675" ht="15.75" customHeight="1">
      <c r="H675" s="76"/>
    </row>
    <row r="676" ht="15.75" customHeight="1">
      <c r="H676" s="76"/>
    </row>
    <row r="677" ht="15.75" customHeight="1">
      <c r="H677" s="76"/>
    </row>
    <row r="678" ht="15.75" customHeight="1">
      <c r="H678" s="76"/>
    </row>
    <row r="679" ht="15.75" customHeight="1">
      <c r="H679" s="76"/>
    </row>
    <row r="680" ht="15.75" customHeight="1">
      <c r="H680" s="76"/>
    </row>
    <row r="681" ht="15.75" customHeight="1">
      <c r="H681" s="76"/>
    </row>
    <row r="682" ht="15.75" customHeight="1">
      <c r="H682" s="76"/>
    </row>
    <row r="683" ht="15.75" customHeight="1">
      <c r="H683" s="76"/>
    </row>
    <row r="684" ht="15.75" customHeight="1">
      <c r="H684" s="76"/>
    </row>
    <row r="685" ht="15.75" customHeight="1">
      <c r="H685" s="76"/>
    </row>
    <row r="686" ht="15.75" customHeight="1">
      <c r="H686" s="76"/>
    </row>
    <row r="687" ht="15.75" customHeight="1">
      <c r="H687" s="76"/>
    </row>
    <row r="688" ht="15.75" customHeight="1">
      <c r="H688" s="76"/>
    </row>
    <row r="689" ht="15.75" customHeight="1">
      <c r="H689" s="76"/>
    </row>
    <row r="690" ht="15.75" customHeight="1">
      <c r="H690" s="76"/>
    </row>
    <row r="691" ht="15.75" customHeight="1">
      <c r="H691" s="76"/>
    </row>
    <row r="692" ht="15.75" customHeight="1">
      <c r="H692" s="76"/>
    </row>
    <row r="693" ht="15.75" customHeight="1">
      <c r="H693" s="76"/>
    </row>
    <row r="694" ht="15.75" customHeight="1">
      <c r="H694" s="76"/>
    </row>
    <row r="695" ht="15.75" customHeight="1">
      <c r="H695" s="76"/>
    </row>
    <row r="696" ht="15.75" customHeight="1">
      <c r="H696" s="76"/>
    </row>
    <row r="697" ht="15.75" customHeight="1">
      <c r="H697" s="76"/>
    </row>
    <row r="698" ht="15.75" customHeight="1">
      <c r="H698" s="76"/>
    </row>
    <row r="699" ht="15.75" customHeight="1">
      <c r="H699" s="76"/>
    </row>
    <row r="700" ht="15.75" customHeight="1">
      <c r="H700" s="76"/>
    </row>
    <row r="701" ht="15.75" customHeight="1">
      <c r="H701" s="76"/>
    </row>
    <row r="702" ht="15.75" customHeight="1">
      <c r="H702" s="76"/>
    </row>
    <row r="703" ht="15.75" customHeight="1">
      <c r="H703" s="76"/>
    </row>
    <row r="704" ht="15.75" customHeight="1">
      <c r="H704" s="76"/>
    </row>
    <row r="705" ht="15.75" customHeight="1">
      <c r="H705" s="76"/>
    </row>
    <row r="706" ht="15.75" customHeight="1">
      <c r="H706" s="76"/>
    </row>
    <row r="707" ht="15.75" customHeight="1">
      <c r="H707" s="76"/>
    </row>
    <row r="708" ht="15.75" customHeight="1">
      <c r="H708" s="76"/>
    </row>
    <row r="709" ht="15.75" customHeight="1">
      <c r="H709" s="76"/>
    </row>
    <row r="710" ht="15.75" customHeight="1">
      <c r="H710" s="76"/>
    </row>
    <row r="711" ht="15.75" customHeight="1">
      <c r="H711" s="76"/>
    </row>
    <row r="712" ht="15.75" customHeight="1">
      <c r="H712" s="76"/>
    </row>
    <row r="713" ht="15.75" customHeight="1">
      <c r="H713" s="76"/>
    </row>
    <row r="714" ht="15.75" customHeight="1">
      <c r="H714" s="76"/>
    </row>
    <row r="715" ht="15.75" customHeight="1">
      <c r="H715" s="76"/>
    </row>
    <row r="716" ht="15.75" customHeight="1">
      <c r="H716" s="76"/>
    </row>
    <row r="717" ht="15.75" customHeight="1">
      <c r="H717" s="76"/>
    </row>
    <row r="718" ht="15.75" customHeight="1">
      <c r="H718" s="76"/>
    </row>
    <row r="719" ht="15.75" customHeight="1">
      <c r="H719" s="76"/>
    </row>
    <row r="720" ht="15.75" customHeight="1">
      <c r="H720" s="76"/>
    </row>
    <row r="721" ht="15.75" customHeight="1">
      <c r="H721" s="76"/>
    </row>
    <row r="722" ht="15.75" customHeight="1">
      <c r="H722" s="76"/>
    </row>
    <row r="723" ht="15.75" customHeight="1">
      <c r="H723" s="76"/>
    </row>
    <row r="724" ht="15.75" customHeight="1">
      <c r="H724" s="76"/>
    </row>
    <row r="725" ht="15.75" customHeight="1">
      <c r="H725" s="76"/>
    </row>
    <row r="726" ht="15.75" customHeight="1">
      <c r="H726" s="76"/>
    </row>
    <row r="727" ht="15.75" customHeight="1">
      <c r="H727" s="76"/>
    </row>
    <row r="728" ht="15.75" customHeight="1">
      <c r="H728" s="76"/>
    </row>
    <row r="729" ht="15.75" customHeight="1">
      <c r="H729" s="76"/>
    </row>
    <row r="730" ht="15.75" customHeight="1">
      <c r="H730" s="76"/>
    </row>
    <row r="731" ht="15.75" customHeight="1">
      <c r="H731" s="76"/>
    </row>
    <row r="732" ht="15.75" customHeight="1">
      <c r="H732" s="76"/>
    </row>
    <row r="733" ht="15.75" customHeight="1">
      <c r="H733" s="76"/>
    </row>
    <row r="734" ht="15.75" customHeight="1">
      <c r="H734" s="76"/>
    </row>
    <row r="735" ht="15.75" customHeight="1">
      <c r="H735" s="76"/>
    </row>
    <row r="736" ht="15.75" customHeight="1">
      <c r="H736" s="76"/>
    </row>
    <row r="737" ht="15.75" customHeight="1">
      <c r="H737" s="76"/>
    </row>
    <row r="738" ht="15.75" customHeight="1">
      <c r="H738" s="76"/>
    </row>
    <row r="739" ht="15.75" customHeight="1">
      <c r="H739" s="76"/>
    </row>
    <row r="740" ht="15.75" customHeight="1">
      <c r="H740" s="76"/>
    </row>
    <row r="741" ht="15.75" customHeight="1">
      <c r="H741" s="76"/>
    </row>
    <row r="742" ht="15.75" customHeight="1">
      <c r="H742" s="76"/>
    </row>
    <row r="743" ht="15.75" customHeight="1">
      <c r="H743" s="76"/>
    </row>
    <row r="744" ht="15.75" customHeight="1">
      <c r="H744" s="76"/>
    </row>
    <row r="745" ht="15.75" customHeight="1">
      <c r="H745" s="76"/>
    </row>
    <row r="746" ht="15.75" customHeight="1">
      <c r="H746" s="76"/>
    </row>
    <row r="747" ht="15.75" customHeight="1">
      <c r="H747" s="76"/>
    </row>
    <row r="748" ht="15.75" customHeight="1">
      <c r="H748" s="76"/>
    </row>
    <row r="749" ht="15.75" customHeight="1">
      <c r="H749" s="76"/>
    </row>
    <row r="750" ht="15.75" customHeight="1">
      <c r="H750" s="76"/>
    </row>
    <row r="751" ht="15.75" customHeight="1">
      <c r="H751" s="76"/>
    </row>
    <row r="752" ht="15.75" customHeight="1">
      <c r="H752" s="76"/>
    </row>
    <row r="753" ht="15.75" customHeight="1">
      <c r="H753" s="76"/>
    </row>
    <row r="754" ht="15.75" customHeight="1">
      <c r="H754" s="76"/>
    </row>
    <row r="755" ht="15.75" customHeight="1">
      <c r="H755" s="76"/>
    </row>
    <row r="756" ht="15.75" customHeight="1">
      <c r="H756" s="76"/>
    </row>
    <row r="757" ht="15.75" customHeight="1">
      <c r="H757" s="76"/>
    </row>
    <row r="758" ht="15.75" customHeight="1">
      <c r="H758" s="76"/>
    </row>
    <row r="759" ht="15.75" customHeight="1">
      <c r="H759" s="76"/>
    </row>
    <row r="760" ht="15.75" customHeight="1">
      <c r="H760" s="76"/>
    </row>
    <row r="761" ht="15.75" customHeight="1">
      <c r="H761" s="76"/>
    </row>
    <row r="762" ht="15.75" customHeight="1">
      <c r="H762" s="76"/>
    </row>
    <row r="763" ht="15.75" customHeight="1">
      <c r="H763" s="76"/>
    </row>
    <row r="764" ht="15.75" customHeight="1">
      <c r="H764" s="76"/>
    </row>
    <row r="765" ht="15.75" customHeight="1">
      <c r="H765" s="76"/>
    </row>
    <row r="766" ht="15.75" customHeight="1">
      <c r="H766" s="76"/>
    </row>
    <row r="767" ht="15.75" customHeight="1">
      <c r="H767" s="76"/>
    </row>
    <row r="768" ht="15.75" customHeight="1">
      <c r="H768" s="76"/>
    </row>
    <row r="769" ht="15.75" customHeight="1">
      <c r="H769" s="76"/>
    </row>
    <row r="770" ht="15.75" customHeight="1">
      <c r="H770" s="76"/>
    </row>
    <row r="771" ht="15.75" customHeight="1">
      <c r="H771" s="76"/>
    </row>
    <row r="772" ht="15.75" customHeight="1">
      <c r="H772" s="76"/>
    </row>
    <row r="773" ht="15.75" customHeight="1">
      <c r="H773" s="76"/>
    </row>
    <row r="774" ht="15.75" customHeight="1">
      <c r="H774" s="76"/>
    </row>
    <row r="775" ht="15.75" customHeight="1">
      <c r="H775" s="76"/>
    </row>
    <row r="776" ht="15.75" customHeight="1">
      <c r="H776" s="76"/>
    </row>
    <row r="777" ht="15.75" customHeight="1">
      <c r="H777" s="76"/>
    </row>
    <row r="778" ht="15.75" customHeight="1">
      <c r="H778" s="76"/>
    </row>
    <row r="779" ht="15.75" customHeight="1">
      <c r="H779" s="76"/>
    </row>
    <row r="780" ht="15.75" customHeight="1">
      <c r="H780" s="76"/>
    </row>
    <row r="781" ht="15.75" customHeight="1">
      <c r="H781" s="76"/>
    </row>
    <row r="782" ht="15.75" customHeight="1">
      <c r="H782" s="76"/>
    </row>
    <row r="783" ht="15.75" customHeight="1">
      <c r="H783" s="76"/>
    </row>
    <row r="784" ht="15.75" customHeight="1">
      <c r="H784" s="76"/>
    </row>
    <row r="785" ht="15.75" customHeight="1">
      <c r="H785" s="76"/>
    </row>
    <row r="786" ht="15.75" customHeight="1">
      <c r="H786" s="76"/>
    </row>
    <row r="787" ht="15.75" customHeight="1">
      <c r="H787" s="76"/>
    </row>
    <row r="788" ht="15.75" customHeight="1">
      <c r="H788" s="76"/>
    </row>
    <row r="789" ht="15.75" customHeight="1">
      <c r="H789" s="76"/>
    </row>
    <row r="790" ht="15.75" customHeight="1">
      <c r="H790" s="76"/>
    </row>
    <row r="791" ht="15.75" customHeight="1">
      <c r="H791" s="76"/>
    </row>
    <row r="792" ht="15.75" customHeight="1">
      <c r="H792" s="76"/>
    </row>
    <row r="793" ht="15.75" customHeight="1">
      <c r="H793" s="76"/>
    </row>
    <row r="794" ht="15.75" customHeight="1">
      <c r="H794" s="76"/>
    </row>
    <row r="795" ht="15.75" customHeight="1">
      <c r="H795" s="76"/>
    </row>
    <row r="796" ht="15.75" customHeight="1">
      <c r="H796" s="76"/>
    </row>
    <row r="797" ht="15.75" customHeight="1">
      <c r="H797" s="76"/>
    </row>
    <row r="798" ht="15.75" customHeight="1">
      <c r="H798" s="76"/>
    </row>
    <row r="799" ht="15.75" customHeight="1">
      <c r="H799" s="76"/>
    </row>
    <row r="800" ht="15.75" customHeight="1">
      <c r="H800" s="76"/>
    </row>
    <row r="801" ht="15.75" customHeight="1">
      <c r="H801" s="76"/>
    </row>
    <row r="802" ht="15.75" customHeight="1">
      <c r="H802" s="76"/>
    </row>
    <row r="803" ht="15.75" customHeight="1">
      <c r="H803" s="76"/>
    </row>
    <row r="804" ht="15.75" customHeight="1">
      <c r="H804" s="76"/>
    </row>
    <row r="805" ht="15.75" customHeight="1">
      <c r="H805" s="76"/>
    </row>
    <row r="806" ht="15.75" customHeight="1">
      <c r="H806" s="76"/>
    </row>
    <row r="807" ht="15.75" customHeight="1">
      <c r="H807" s="76"/>
    </row>
    <row r="808" ht="15.75" customHeight="1">
      <c r="H808" s="76"/>
    </row>
    <row r="809" ht="15.75" customHeight="1">
      <c r="H809" s="76"/>
    </row>
    <row r="810" ht="15.75" customHeight="1">
      <c r="H810" s="76"/>
    </row>
    <row r="811" ht="15.75" customHeight="1">
      <c r="H811" s="76"/>
    </row>
    <row r="812" ht="15.75" customHeight="1">
      <c r="H812" s="76"/>
    </row>
    <row r="813" ht="15.75" customHeight="1">
      <c r="H813" s="76"/>
    </row>
    <row r="814" ht="15.75" customHeight="1">
      <c r="H814" s="76"/>
    </row>
    <row r="815" ht="15.75" customHeight="1">
      <c r="H815" s="76"/>
    </row>
    <row r="816" ht="15.75" customHeight="1">
      <c r="H816" s="76"/>
    </row>
    <row r="817" ht="15.75" customHeight="1">
      <c r="H817" s="76"/>
    </row>
    <row r="818" ht="15.75" customHeight="1">
      <c r="H818" s="76"/>
    </row>
    <row r="819" ht="15.75" customHeight="1">
      <c r="H819" s="76"/>
    </row>
    <row r="820" ht="15.75" customHeight="1">
      <c r="H820" s="76"/>
    </row>
    <row r="821" ht="15.75" customHeight="1">
      <c r="H821" s="76"/>
    </row>
    <row r="822" ht="15.75" customHeight="1">
      <c r="H822" s="76"/>
    </row>
    <row r="823" ht="15.75" customHeight="1">
      <c r="H823" s="76"/>
    </row>
    <row r="824" ht="15.75" customHeight="1">
      <c r="H824" s="76"/>
    </row>
    <row r="825" ht="15.75" customHeight="1">
      <c r="H825" s="76"/>
    </row>
    <row r="826" ht="15.75" customHeight="1">
      <c r="H826" s="76"/>
    </row>
    <row r="827" ht="15.75" customHeight="1">
      <c r="H827" s="76"/>
    </row>
    <row r="828" ht="15.75" customHeight="1">
      <c r="H828" s="76"/>
    </row>
    <row r="829" ht="15.75" customHeight="1">
      <c r="H829" s="76"/>
    </row>
    <row r="830" ht="15.75" customHeight="1">
      <c r="H830" s="76"/>
    </row>
    <row r="831" ht="15.75" customHeight="1">
      <c r="H831" s="76"/>
    </row>
    <row r="832" ht="15.75" customHeight="1">
      <c r="H832" s="76"/>
    </row>
    <row r="833" ht="15.75" customHeight="1">
      <c r="H833" s="76"/>
    </row>
    <row r="834" ht="15.75" customHeight="1">
      <c r="H834" s="76"/>
    </row>
    <row r="835" ht="15.75" customHeight="1">
      <c r="H835" s="76"/>
    </row>
    <row r="836" ht="15.75" customHeight="1">
      <c r="H836" s="76"/>
    </row>
    <row r="837" ht="15.75" customHeight="1">
      <c r="H837" s="76"/>
    </row>
    <row r="838" ht="15.75" customHeight="1">
      <c r="H838" s="76"/>
    </row>
    <row r="839" ht="15.75" customHeight="1">
      <c r="H839" s="76"/>
    </row>
    <row r="840" ht="15.75" customHeight="1">
      <c r="H840" s="76"/>
    </row>
    <row r="841" ht="15.75" customHeight="1">
      <c r="H841" s="76"/>
    </row>
    <row r="842" ht="15.75" customHeight="1">
      <c r="H842" s="76"/>
    </row>
    <row r="843" ht="15.75" customHeight="1">
      <c r="H843" s="76"/>
    </row>
    <row r="844" ht="15.75" customHeight="1">
      <c r="H844" s="76"/>
    </row>
    <row r="845" ht="15.75" customHeight="1">
      <c r="H845" s="76"/>
    </row>
    <row r="846" ht="15.75" customHeight="1">
      <c r="H846" s="76"/>
    </row>
    <row r="847" ht="15.75" customHeight="1">
      <c r="H847" s="76"/>
    </row>
    <row r="848" ht="15.75" customHeight="1">
      <c r="H848" s="76"/>
    </row>
    <row r="849" ht="15.75" customHeight="1">
      <c r="H849" s="76"/>
    </row>
    <row r="850" ht="15.75" customHeight="1">
      <c r="H850" s="76"/>
    </row>
    <row r="851" ht="15.75" customHeight="1">
      <c r="H851" s="76"/>
    </row>
    <row r="852" ht="15.75" customHeight="1">
      <c r="H852" s="76"/>
    </row>
    <row r="853" ht="15.75" customHeight="1">
      <c r="H853" s="76"/>
    </row>
    <row r="854" ht="15.75" customHeight="1">
      <c r="H854" s="76"/>
    </row>
    <row r="855" ht="15.75" customHeight="1">
      <c r="H855" s="76"/>
    </row>
    <row r="856" ht="15.75" customHeight="1">
      <c r="H856" s="76"/>
    </row>
    <row r="857" ht="15.75" customHeight="1">
      <c r="H857" s="76"/>
    </row>
    <row r="858" ht="15.75" customHeight="1">
      <c r="H858" s="76"/>
    </row>
    <row r="859" ht="15.75" customHeight="1">
      <c r="H859" s="76"/>
    </row>
    <row r="860" ht="15.75" customHeight="1">
      <c r="H860" s="76"/>
    </row>
    <row r="861" ht="15.75" customHeight="1">
      <c r="H861" s="76"/>
    </row>
    <row r="862" ht="15.75" customHeight="1">
      <c r="H862" s="76"/>
    </row>
    <row r="863" ht="15.75" customHeight="1">
      <c r="H863" s="76"/>
    </row>
    <row r="864" ht="15.75" customHeight="1">
      <c r="H864" s="76"/>
    </row>
    <row r="865" ht="15.75" customHeight="1">
      <c r="H865" s="76"/>
    </row>
    <row r="866" ht="15.75" customHeight="1">
      <c r="H866" s="76"/>
    </row>
    <row r="867" ht="15.75" customHeight="1">
      <c r="H867" s="76"/>
    </row>
    <row r="868" ht="15.75" customHeight="1">
      <c r="H868" s="76"/>
    </row>
    <row r="869" ht="15.75" customHeight="1">
      <c r="H869" s="76"/>
    </row>
    <row r="870" ht="15.75" customHeight="1">
      <c r="H870" s="76"/>
    </row>
    <row r="871" ht="15.75" customHeight="1">
      <c r="H871" s="76"/>
    </row>
    <row r="872" ht="15.75" customHeight="1">
      <c r="H872" s="76"/>
    </row>
    <row r="873" ht="15.75" customHeight="1">
      <c r="H873" s="76"/>
    </row>
    <row r="874" ht="15.75" customHeight="1">
      <c r="H874" s="76"/>
    </row>
    <row r="875" ht="15.75" customHeight="1">
      <c r="H875" s="76"/>
    </row>
    <row r="876" ht="15.75" customHeight="1">
      <c r="H876" s="76"/>
    </row>
    <row r="877" ht="15.75" customHeight="1">
      <c r="H877" s="76"/>
    </row>
    <row r="878" ht="15.75" customHeight="1">
      <c r="H878" s="76"/>
    </row>
    <row r="879" ht="15.75" customHeight="1">
      <c r="H879" s="76"/>
    </row>
    <row r="880" ht="15.75" customHeight="1">
      <c r="H880" s="76"/>
    </row>
    <row r="881" ht="15.75" customHeight="1">
      <c r="H881" s="76"/>
    </row>
    <row r="882" ht="15.75" customHeight="1">
      <c r="H882" s="76"/>
    </row>
    <row r="883" ht="15.75" customHeight="1">
      <c r="H883" s="76"/>
    </row>
    <row r="884" ht="15.75" customHeight="1">
      <c r="H884" s="76"/>
    </row>
    <row r="885" ht="15.75" customHeight="1">
      <c r="H885" s="76"/>
    </row>
    <row r="886" ht="15.75" customHeight="1">
      <c r="H886" s="76"/>
    </row>
    <row r="887" ht="15.75" customHeight="1">
      <c r="H887" s="76"/>
    </row>
    <row r="888" ht="15.75" customHeight="1">
      <c r="H888" s="76"/>
    </row>
    <row r="889" ht="15.75" customHeight="1">
      <c r="H889" s="76"/>
    </row>
    <row r="890" ht="15.75" customHeight="1">
      <c r="H890" s="76"/>
    </row>
    <row r="891" ht="15.75" customHeight="1">
      <c r="H891" s="76"/>
    </row>
    <row r="892" ht="15.75" customHeight="1">
      <c r="H892" s="76"/>
    </row>
    <row r="893" ht="15.75" customHeight="1">
      <c r="H893" s="76"/>
    </row>
    <row r="894" ht="15.75" customHeight="1">
      <c r="H894" s="76"/>
    </row>
    <row r="895" ht="15.75" customHeight="1">
      <c r="H895" s="76"/>
    </row>
    <row r="896" ht="15.75" customHeight="1">
      <c r="H896" s="76"/>
    </row>
    <row r="897" ht="15.75" customHeight="1">
      <c r="H897" s="76"/>
    </row>
    <row r="898" ht="15.75" customHeight="1">
      <c r="H898" s="76"/>
    </row>
    <row r="899" ht="15.75" customHeight="1">
      <c r="H899" s="76"/>
    </row>
    <row r="900" ht="15.75" customHeight="1">
      <c r="H900" s="76"/>
    </row>
    <row r="901" ht="15.75" customHeight="1">
      <c r="H901" s="76"/>
    </row>
    <row r="902" ht="15.75" customHeight="1">
      <c r="H902" s="76"/>
    </row>
    <row r="903" ht="15.75" customHeight="1">
      <c r="H903" s="76"/>
    </row>
    <row r="904" ht="15.75" customHeight="1">
      <c r="H904" s="76"/>
    </row>
    <row r="905" ht="15.75" customHeight="1">
      <c r="H905" s="76"/>
    </row>
    <row r="906" ht="15.75" customHeight="1">
      <c r="H906" s="76"/>
    </row>
    <row r="907" ht="15.75" customHeight="1">
      <c r="H907" s="76"/>
    </row>
    <row r="908" ht="15.75" customHeight="1">
      <c r="H908" s="76"/>
    </row>
    <row r="909" ht="15.75" customHeight="1">
      <c r="H909" s="76"/>
    </row>
    <row r="910" ht="15.75" customHeight="1">
      <c r="H910" s="76"/>
    </row>
    <row r="911" ht="15.75" customHeight="1">
      <c r="H911" s="76"/>
    </row>
    <row r="912" ht="15.75" customHeight="1">
      <c r="H912" s="76"/>
    </row>
    <row r="913" ht="15.75" customHeight="1">
      <c r="H913" s="76"/>
    </row>
    <row r="914" ht="15.75" customHeight="1">
      <c r="H914" s="76"/>
    </row>
    <row r="915" ht="15.75" customHeight="1">
      <c r="H915" s="76"/>
    </row>
    <row r="916" ht="15.75" customHeight="1">
      <c r="H916" s="76"/>
    </row>
    <row r="917" ht="15.75" customHeight="1">
      <c r="H917" s="76"/>
    </row>
    <row r="918" ht="15.75" customHeight="1">
      <c r="H918" s="76"/>
    </row>
    <row r="919" ht="15.75" customHeight="1">
      <c r="H919" s="76"/>
    </row>
    <row r="920" ht="15.75" customHeight="1">
      <c r="H920" s="76"/>
    </row>
    <row r="921" ht="15.75" customHeight="1">
      <c r="H921" s="76"/>
    </row>
    <row r="922" ht="15.75" customHeight="1">
      <c r="H922" s="76"/>
    </row>
    <row r="923" ht="15.75" customHeight="1">
      <c r="H923" s="76"/>
    </row>
    <row r="924" ht="15.75" customHeight="1">
      <c r="H924" s="76"/>
    </row>
    <row r="925" ht="15.75" customHeight="1">
      <c r="H925" s="76"/>
    </row>
    <row r="926" ht="15.75" customHeight="1">
      <c r="H926" s="76"/>
    </row>
    <row r="927" ht="15.75" customHeight="1">
      <c r="H927" s="76"/>
    </row>
    <row r="928" ht="15.75" customHeight="1">
      <c r="H928" s="76"/>
    </row>
    <row r="929" ht="15.75" customHeight="1">
      <c r="H929" s="76"/>
    </row>
    <row r="930" ht="15.75" customHeight="1">
      <c r="H930" s="76"/>
    </row>
    <row r="931" ht="15.75" customHeight="1">
      <c r="H931" s="76"/>
    </row>
    <row r="932" ht="15.75" customHeight="1">
      <c r="H932" s="76"/>
    </row>
    <row r="933" ht="15.75" customHeight="1">
      <c r="H933" s="76"/>
    </row>
    <row r="934" ht="15.75" customHeight="1">
      <c r="H934" s="76"/>
    </row>
    <row r="935" ht="15.75" customHeight="1">
      <c r="H935" s="76"/>
    </row>
    <row r="936" ht="15.75" customHeight="1">
      <c r="H936" s="76"/>
    </row>
    <row r="937" ht="15.75" customHeight="1">
      <c r="H937" s="76"/>
    </row>
    <row r="938" ht="15.75" customHeight="1">
      <c r="H938" s="76"/>
    </row>
    <row r="939" ht="15.75" customHeight="1">
      <c r="H939" s="76"/>
    </row>
    <row r="940" ht="15.75" customHeight="1">
      <c r="H940" s="76"/>
    </row>
    <row r="941" ht="15.75" customHeight="1">
      <c r="H941" s="76"/>
    </row>
    <row r="942" ht="15.75" customHeight="1">
      <c r="H942" s="76"/>
    </row>
    <row r="943" ht="15.75" customHeight="1">
      <c r="H943" s="76"/>
    </row>
    <row r="944" ht="15.75" customHeight="1">
      <c r="H944" s="76"/>
    </row>
    <row r="945" ht="15.75" customHeight="1">
      <c r="H945" s="76"/>
    </row>
    <row r="946" ht="15.75" customHeight="1">
      <c r="H946" s="76"/>
    </row>
    <row r="947" ht="15.75" customHeight="1">
      <c r="H947" s="76"/>
    </row>
    <row r="948" ht="15.75" customHeight="1">
      <c r="H948" s="76"/>
    </row>
    <row r="949" ht="15.75" customHeight="1">
      <c r="H949" s="76"/>
    </row>
    <row r="950" ht="15.75" customHeight="1">
      <c r="H950" s="76"/>
    </row>
    <row r="951" ht="15.75" customHeight="1">
      <c r="H951" s="76"/>
    </row>
    <row r="952" ht="15.75" customHeight="1">
      <c r="H952" s="76"/>
    </row>
    <row r="953" ht="15.75" customHeight="1">
      <c r="H953" s="76"/>
    </row>
    <row r="954" ht="15.75" customHeight="1">
      <c r="H954" s="76"/>
    </row>
    <row r="955" ht="15.75" customHeight="1">
      <c r="H955" s="76"/>
    </row>
    <row r="956" ht="15.75" customHeight="1">
      <c r="H956" s="76"/>
    </row>
    <row r="957" ht="15.75" customHeight="1">
      <c r="H957" s="76"/>
    </row>
    <row r="958" ht="15.75" customHeight="1">
      <c r="H958" s="76"/>
    </row>
    <row r="959" ht="15.75" customHeight="1">
      <c r="H959" s="76"/>
    </row>
    <row r="960" ht="15.75" customHeight="1">
      <c r="H960" s="76"/>
    </row>
    <row r="961" ht="15.75" customHeight="1">
      <c r="H961" s="76"/>
    </row>
    <row r="962" ht="15.75" customHeight="1">
      <c r="H962" s="76"/>
    </row>
    <row r="963" ht="15.75" customHeight="1">
      <c r="H963" s="76"/>
    </row>
    <row r="964" ht="15.75" customHeight="1">
      <c r="H964" s="76"/>
    </row>
    <row r="965" ht="15.75" customHeight="1">
      <c r="H965" s="76"/>
    </row>
    <row r="966" ht="15.75" customHeight="1">
      <c r="H966" s="76"/>
    </row>
    <row r="967" ht="15.75" customHeight="1">
      <c r="H967" s="76"/>
    </row>
    <row r="968" ht="15.75" customHeight="1">
      <c r="H968" s="76"/>
    </row>
    <row r="969" ht="15.75" customHeight="1">
      <c r="H969" s="76"/>
    </row>
    <row r="970" ht="15.75" customHeight="1">
      <c r="H970" s="76"/>
    </row>
    <row r="971" ht="15.75" customHeight="1">
      <c r="H971" s="76"/>
    </row>
    <row r="972" ht="15.75" customHeight="1">
      <c r="H972" s="76"/>
    </row>
    <row r="973" ht="15.75" customHeight="1">
      <c r="H973" s="76"/>
    </row>
    <row r="974" ht="15.75" customHeight="1">
      <c r="H974" s="76"/>
    </row>
    <row r="975" ht="15.75" customHeight="1">
      <c r="H975" s="76"/>
    </row>
    <row r="976" ht="15.75" customHeight="1">
      <c r="H976" s="76"/>
    </row>
    <row r="977" ht="15.75" customHeight="1">
      <c r="H977" s="76"/>
    </row>
    <row r="978" ht="15.75" customHeight="1">
      <c r="H978" s="76"/>
    </row>
    <row r="979" ht="15.75" customHeight="1">
      <c r="H979" s="76"/>
    </row>
    <row r="980" ht="15.75" customHeight="1">
      <c r="H980" s="76"/>
    </row>
    <row r="981" ht="15.75" customHeight="1">
      <c r="H981" s="76"/>
    </row>
    <row r="982" ht="15.75" customHeight="1">
      <c r="H982" s="76"/>
    </row>
    <row r="983" ht="15.75" customHeight="1">
      <c r="H983" s="76"/>
    </row>
    <row r="984" ht="15.75" customHeight="1">
      <c r="H984" s="76"/>
    </row>
    <row r="985" ht="15.75" customHeight="1">
      <c r="H985" s="76"/>
    </row>
    <row r="986" ht="15.75" customHeight="1">
      <c r="H986" s="76"/>
    </row>
    <row r="987" ht="15.75" customHeight="1">
      <c r="H987" s="76"/>
    </row>
    <row r="988" ht="15.75" customHeight="1">
      <c r="H988" s="76"/>
    </row>
    <row r="989" ht="15.75" customHeight="1">
      <c r="H989" s="76"/>
    </row>
    <row r="990" ht="15.75" customHeight="1">
      <c r="H990" s="76"/>
    </row>
    <row r="991" ht="15.75" customHeight="1">
      <c r="H991" s="76"/>
    </row>
    <row r="992" ht="15.75" customHeight="1">
      <c r="H992" s="76"/>
    </row>
    <row r="993" ht="15.75" customHeight="1">
      <c r="H993" s="76"/>
    </row>
    <row r="994" ht="15.75" customHeight="1">
      <c r="H994" s="76"/>
    </row>
    <row r="995" ht="15.75" customHeight="1">
      <c r="H995" s="76"/>
    </row>
    <row r="996" ht="15.75" customHeight="1">
      <c r="H996" s="76"/>
    </row>
    <row r="997" ht="15.75" customHeight="1">
      <c r="H997" s="76"/>
    </row>
    <row r="998" ht="15.75" customHeight="1">
      <c r="H998" s="76"/>
    </row>
    <row r="999" ht="15.75" customHeight="1">
      <c r="H999" s="76"/>
    </row>
    <row r="1000" ht="15.75" customHeight="1">
      <c r="H1000" s="76"/>
    </row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2" width="16.5"/>
    <col customWidth="1" min="3" max="3" width="12.75"/>
    <col customWidth="1" min="4" max="4" width="11.13"/>
    <col customWidth="1" min="5" max="5" width="6.63"/>
    <col customWidth="1" min="6" max="6" width="10.0"/>
    <col customWidth="1" min="7" max="7" width="13.25"/>
    <col customWidth="1" min="8" max="8" width="15.63"/>
    <col customWidth="1" min="9" max="14" width="10.0"/>
    <col customWidth="1" min="15" max="15" width="15.13"/>
    <col customWidth="1" min="16" max="16" width="5.25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91"/>
      <c r="J5" s="91"/>
      <c r="K5" s="91"/>
      <c r="L5" s="91"/>
      <c r="M5" s="91"/>
      <c r="N5" s="91"/>
      <c r="O5" s="91"/>
    </row>
    <row r="6" ht="14.25" customHeight="1">
      <c r="A6" s="95" t="s">
        <v>35</v>
      </c>
      <c r="B6" s="96"/>
      <c r="C6" s="96"/>
      <c r="D6" s="96"/>
      <c r="E6" s="96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36</v>
      </c>
      <c r="B7" s="100" t="s">
        <v>37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50</v>
      </c>
      <c r="C9" s="118" t="s">
        <v>51</v>
      </c>
      <c r="D9" s="118" t="s">
        <v>52</v>
      </c>
      <c r="E9" s="117"/>
      <c r="F9" s="118">
        <v>2.0</v>
      </c>
      <c r="G9" s="117"/>
      <c r="H9" s="118" t="s">
        <v>21</v>
      </c>
      <c r="I9" s="119"/>
      <c r="J9" s="120"/>
      <c r="K9" s="121" t="s">
        <v>53</v>
      </c>
      <c r="L9" s="120"/>
      <c r="M9" s="120"/>
      <c r="N9" s="120"/>
      <c r="O9" s="121" t="s">
        <v>54</v>
      </c>
    </row>
    <row r="10" ht="14.25" customHeight="1">
      <c r="A10" s="117"/>
      <c r="B10" s="118" t="s">
        <v>55</v>
      </c>
      <c r="C10" s="118" t="s">
        <v>56</v>
      </c>
      <c r="D10" s="118" t="s">
        <v>57</v>
      </c>
      <c r="E10" s="117"/>
      <c r="F10" s="118">
        <v>2.0</v>
      </c>
      <c r="G10" s="117"/>
      <c r="H10" s="118" t="s">
        <v>21</v>
      </c>
      <c r="I10" s="119"/>
      <c r="J10" s="120"/>
      <c r="K10" s="121" t="s">
        <v>58</v>
      </c>
      <c r="L10" s="120"/>
      <c r="M10" s="120"/>
      <c r="N10" s="120"/>
      <c r="O10" s="121" t="s">
        <v>54</v>
      </c>
    </row>
    <row r="11" ht="14.25" customHeight="1">
      <c r="A11" s="117" t="s">
        <v>19</v>
      </c>
      <c r="B11" s="118" t="s">
        <v>59</v>
      </c>
      <c r="C11" s="118" t="s">
        <v>60</v>
      </c>
      <c r="D11" s="118" t="s">
        <v>61</v>
      </c>
      <c r="E11" s="117"/>
      <c r="F11" s="118">
        <v>1.0</v>
      </c>
      <c r="G11" s="117"/>
      <c r="H11" s="118" t="s">
        <v>21</v>
      </c>
      <c r="I11" s="119"/>
      <c r="J11" s="120"/>
      <c r="K11" s="121" t="s">
        <v>58</v>
      </c>
      <c r="L11" s="120"/>
      <c r="M11" s="120"/>
      <c r="N11" s="120"/>
      <c r="O11" s="121" t="s">
        <v>54</v>
      </c>
    </row>
    <row r="12" ht="14.25" customHeight="1">
      <c r="A12" s="117" t="s">
        <v>20</v>
      </c>
      <c r="B12" s="118" t="s">
        <v>62</v>
      </c>
      <c r="C12" s="118" t="s">
        <v>63</v>
      </c>
      <c r="D12" s="118" t="s">
        <v>61</v>
      </c>
      <c r="E12" s="117"/>
      <c r="F12" s="118">
        <v>1.0</v>
      </c>
      <c r="G12" s="117"/>
      <c r="H12" s="118" t="s">
        <v>21</v>
      </c>
      <c r="I12" s="119"/>
      <c r="J12" s="120"/>
      <c r="K12" s="121" t="s">
        <v>58</v>
      </c>
      <c r="L12" s="120"/>
      <c r="M12" s="120"/>
      <c r="N12" s="120"/>
      <c r="O12" s="121" t="s">
        <v>54</v>
      </c>
    </row>
    <row r="13" ht="14.25" customHeight="1">
      <c r="A13" s="117" t="s">
        <v>21</v>
      </c>
      <c r="B13" s="118" t="s">
        <v>64</v>
      </c>
      <c r="C13" s="118" t="s">
        <v>65</v>
      </c>
      <c r="D13" s="118" t="s">
        <v>66</v>
      </c>
      <c r="E13" s="117"/>
      <c r="F13" s="118">
        <v>1.0</v>
      </c>
      <c r="G13" s="117"/>
      <c r="H13" s="118" t="s">
        <v>21</v>
      </c>
      <c r="I13" s="119"/>
      <c r="J13" s="120"/>
      <c r="K13" s="121" t="s">
        <v>67</v>
      </c>
      <c r="L13" s="120"/>
      <c r="M13" s="120"/>
      <c r="N13" s="120"/>
      <c r="O13" s="121" t="s">
        <v>54</v>
      </c>
    </row>
    <row r="14" ht="14.25" customHeight="1">
      <c r="A14" s="117" t="s">
        <v>22</v>
      </c>
      <c r="B14" s="118" t="s">
        <v>68</v>
      </c>
      <c r="C14" s="118" t="s">
        <v>69</v>
      </c>
      <c r="D14" s="118" t="s">
        <v>70</v>
      </c>
      <c r="E14" s="117"/>
      <c r="F14" s="118">
        <v>1.0</v>
      </c>
      <c r="G14" s="117"/>
      <c r="H14" s="118" t="s">
        <v>21</v>
      </c>
      <c r="I14" s="119"/>
      <c r="J14" s="120"/>
      <c r="K14" s="121" t="s">
        <v>58</v>
      </c>
      <c r="L14" s="120"/>
      <c r="M14" s="120"/>
      <c r="N14" s="120"/>
      <c r="O14" s="121" t="s">
        <v>54</v>
      </c>
    </row>
    <row r="15" ht="14.25" customHeight="1">
      <c r="A15" s="117" t="s">
        <v>23</v>
      </c>
      <c r="B15" s="118" t="s">
        <v>71</v>
      </c>
      <c r="C15" s="117"/>
      <c r="D15" s="118" t="s">
        <v>72</v>
      </c>
      <c r="E15" s="117"/>
      <c r="F15" s="118">
        <v>1.5</v>
      </c>
      <c r="G15" s="117"/>
      <c r="H15" s="118" t="s">
        <v>21</v>
      </c>
      <c r="I15" s="119"/>
      <c r="J15" s="120"/>
      <c r="K15" s="121" t="s">
        <v>73</v>
      </c>
      <c r="L15" s="120"/>
      <c r="M15" s="120"/>
      <c r="N15" s="120"/>
      <c r="O15" s="121" t="s">
        <v>74</v>
      </c>
    </row>
    <row r="16" ht="14.25" customHeight="1">
      <c r="A16" s="117" t="s">
        <v>24</v>
      </c>
      <c r="B16" s="118" t="s">
        <v>75</v>
      </c>
      <c r="C16" s="118" t="s">
        <v>76</v>
      </c>
      <c r="D16" s="118" t="s">
        <v>77</v>
      </c>
      <c r="E16" s="117"/>
      <c r="F16" s="118">
        <v>1.0</v>
      </c>
      <c r="G16" s="117"/>
      <c r="H16" s="118" t="s">
        <v>23</v>
      </c>
      <c r="I16" s="119"/>
      <c r="J16" s="120"/>
      <c r="K16" s="121" t="s">
        <v>58</v>
      </c>
      <c r="L16" s="120"/>
      <c r="M16" s="120"/>
      <c r="N16" s="120"/>
      <c r="O16" s="121" t="s">
        <v>74</v>
      </c>
    </row>
    <row r="17" ht="14.25" customHeight="1">
      <c r="A17" s="117" t="s">
        <v>25</v>
      </c>
      <c r="B17" s="118" t="s">
        <v>78</v>
      </c>
      <c r="C17" s="118" t="s">
        <v>76</v>
      </c>
      <c r="D17" s="118" t="s">
        <v>77</v>
      </c>
      <c r="E17" s="117"/>
      <c r="F17" s="118">
        <v>1.0</v>
      </c>
      <c r="G17" s="117"/>
      <c r="H17" s="118" t="s">
        <v>23</v>
      </c>
      <c r="I17" s="119"/>
      <c r="J17" s="120"/>
      <c r="K17" s="121" t="s">
        <v>73</v>
      </c>
      <c r="L17" s="120"/>
      <c r="M17" s="120"/>
      <c r="N17" s="120"/>
      <c r="O17" s="121" t="s">
        <v>74</v>
      </c>
    </row>
    <row r="18" ht="14.25" customHeight="1">
      <c r="A18" s="117" t="s">
        <v>26</v>
      </c>
      <c r="B18" s="118" t="s">
        <v>79</v>
      </c>
      <c r="C18" s="118" t="s">
        <v>80</v>
      </c>
      <c r="D18" s="118" t="s">
        <v>81</v>
      </c>
      <c r="E18" s="117"/>
      <c r="F18" s="118">
        <v>2.0</v>
      </c>
      <c r="G18" s="117"/>
      <c r="H18" s="118" t="s">
        <v>23</v>
      </c>
      <c r="I18" s="119"/>
      <c r="J18" s="120"/>
      <c r="K18" s="120"/>
      <c r="L18" s="120"/>
      <c r="M18" s="121" t="s">
        <v>82</v>
      </c>
      <c r="N18" s="120"/>
      <c r="O18" s="121" t="s">
        <v>74</v>
      </c>
    </row>
    <row r="19" ht="14.25" customHeight="1">
      <c r="A19" s="117" t="s">
        <v>27</v>
      </c>
      <c r="B19" s="118" t="s">
        <v>83</v>
      </c>
      <c r="C19" s="118" t="s">
        <v>84</v>
      </c>
      <c r="D19" s="118" t="s">
        <v>85</v>
      </c>
      <c r="E19" s="118" t="s">
        <v>86</v>
      </c>
      <c r="F19" s="118">
        <v>2.0</v>
      </c>
      <c r="G19" s="117"/>
      <c r="H19" s="118" t="s">
        <v>23</v>
      </c>
      <c r="I19" s="119"/>
      <c r="J19" s="120"/>
      <c r="K19" s="121" t="s">
        <v>58</v>
      </c>
      <c r="L19" s="120"/>
      <c r="M19" s="120"/>
      <c r="N19" s="120"/>
      <c r="O19" s="121" t="s">
        <v>74</v>
      </c>
    </row>
    <row r="20" ht="14.25" customHeight="1">
      <c r="A20" s="117" t="s">
        <v>28</v>
      </c>
      <c r="B20" s="118" t="s">
        <v>87</v>
      </c>
      <c r="C20" s="118" t="s">
        <v>88</v>
      </c>
      <c r="D20" s="118" t="s">
        <v>89</v>
      </c>
      <c r="E20" s="117"/>
      <c r="F20" s="118">
        <v>1.0</v>
      </c>
      <c r="G20" s="117"/>
      <c r="H20" s="118" t="s">
        <v>23</v>
      </c>
      <c r="I20" s="119"/>
      <c r="J20" s="120"/>
      <c r="K20" s="121" t="s">
        <v>58</v>
      </c>
      <c r="L20" s="120"/>
      <c r="M20" s="120"/>
      <c r="N20" s="120"/>
      <c r="O20" s="121" t="s">
        <v>74</v>
      </c>
    </row>
    <row r="21" ht="14.25" customHeight="1">
      <c r="A21" s="122" t="s">
        <v>29</v>
      </c>
      <c r="B21" s="123" t="s">
        <v>90</v>
      </c>
      <c r="C21" s="123" t="s">
        <v>91</v>
      </c>
      <c r="D21" s="123" t="s">
        <v>92</v>
      </c>
      <c r="E21" s="124"/>
      <c r="F21" s="123">
        <v>2.0</v>
      </c>
      <c r="G21" s="124"/>
      <c r="H21" s="123" t="s">
        <v>23</v>
      </c>
      <c r="I21" s="120"/>
      <c r="J21" s="120"/>
      <c r="K21" s="121" t="s">
        <v>67</v>
      </c>
      <c r="L21" s="120"/>
      <c r="M21" s="120"/>
      <c r="N21" s="120"/>
      <c r="O21" s="121" t="s">
        <v>54</v>
      </c>
    </row>
    <row r="22" ht="14.25" customHeight="1">
      <c r="A22" s="122" t="s">
        <v>30</v>
      </c>
      <c r="B22" s="123" t="s">
        <v>93</v>
      </c>
      <c r="C22" s="123" t="s">
        <v>94</v>
      </c>
      <c r="D22" s="123" t="s">
        <v>95</v>
      </c>
      <c r="E22" s="124"/>
      <c r="F22" s="123">
        <v>1.0</v>
      </c>
      <c r="G22" s="124"/>
      <c r="H22" s="123" t="s">
        <v>23</v>
      </c>
      <c r="I22" s="120"/>
      <c r="J22" s="120"/>
      <c r="K22" s="121" t="s">
        <v>58</v>
      </c>
      <c r="L22" s="120"/>
      <c r="M22" s="120"/>
      <c r="N22" s="120"/>
      <c r="O22" s="121" t="s">
        <v>74</v>
      </c>
    </row>
    <row r="23" ht="14.25" customHeight="1">
      <c r="B23" s="125" t="s">
        <v>96</v>
      </c>
      <c r="C23" s="125" t="s">
        <v>97</v>
      </c>
      <c r="D23" s="125" t="s">
        <v>98</v>
      </c>
      <c r="F23" s="125">
        <v>3.0</v>
      </c>
      <c r="H23" s="125" t="s">
        <v>23</v>
      </c>
      <c r="K23" s="125" t="s">
        <v>73</v>
      </c>
      <c r="O23" s="125" t="s">
        <v>74</v>
      </c>
    </row>
    <row r="24" ht="14.25" customHeight="1">
      <c r="B24" s="125" t="s">
        <v>99</v>
      </c>
      <c r="C24" s="125" t="s">
        <v>100</v>
      </c>
      <c r="D24" s="125" t="s">
        <v>98</v>
      </c>
      <c r="F24" s="125">
        <v>1.0</v>
      </c>
      <c r="H24" s="125" t="s">
        <v>23</v>
      </c>
      <c r="K24" s="125" t="s">
        <v>67</v>
      </c>
      <c r="O24" s="125" t="s">
        <v>74</v>
      </c>
    </row>
    <row r="25" ht="14.25" customHeight="1">
      <c r="B25" s="125" t="s">
        <v>101</v>
      </c>
      <c r="C25" s="125" t="s">
        <v>95</v>
      </c>
      <c r="D25" s="125" t="s">
        <v>102</v>
      </c>
      <c r="F25" s="125">
        <v>1.0</v>
      </c>
      <c r="H25" s="125" t="s">
        <v>23</v>
      </c>
      <c r="K25" s="125" t="s">
        <v>67</v>
      </c>
      <c r="O25" s="125" t="s">
        <v>54</v>
      </c>
    </row>
    <row r="26" ht="14.25" customHeight="1">
      <c r="A26" s="126">
        <f>-A29</f>
        <v>0</v>
      </c>
      <c r="B26" s="125" t="s">
        <v>103</v>
      </c>
      <c r="C26" s="125" t="s">
        <v>95</v>
      </c>
      <c r="D26" s="125" t="s">
        <v>102</v>
      </c>
      <c r="F26" s="125">
        <v>1.0</v>
      </c>
      <c r="H26" s="125" t="s">
        <v>23</v>
      </c>
      <c r="K26" s="125" t="s">
        <v>104</v>
      </c>
      <c r="O26" s="125" t="s">
        <v>54</v>
      </c>
    </row>
    <row r="27" ht="14.25" customHeight="1">
      <c r="B27" s="125" t="s">
        <v>105</v>
      </c>
      <c r="C27" s="125" t="s">
        <v>106</v>
      </c>
      <c r="D27" s="125" t="s">
        <v>107</v>
      </c>
      <c r="F27" s="125">
        <v>1.0</v>
      </c>
      <c r="H27" s="125" t="s">
        <v>23</v>
      </c>
      <c r="K27" s="125" t="s">
        <v>73</v>
      </c>
      <c r="O27" s="125" t="s">
        <v>74</v>
      </c>
    </row>
    <row r="28" ht="14.25" customHeight="1">
      <c r="B28" s="125" t="s">
        <v>108</v>
      </c>
      <c r="C28" s="125" t="s">
        <v>89</v>
      </c>
      <c r="D28" s="125" t="s">
        <v>88</v>
      </c>
      <c r="F28" s="125">
        <v>1.5</v>
      </c>
      <c r="H28" s="125" t="s">
        <v>23</v>
      </c>
      <c r="K28" s="125" t="s">
        <v>67</v>
      </c>
      <c r="O28" s="125" t="s">
        <v>54</v>
      </c>
    </row>
    <row r="29" ht="14.25" customHeight="1">
      <c r="B29" s="125" t="s">
        <v>109</v>
      </c>
      <c r="C29" s="125" t="s">
        <v>81</v>
      </c>
      <c r="D29" s="125" t="s">
        <v>88</v>
      </c>
      <c r="F29" s="125">
        <v>1.0</v>
      </c>
      <c r="H29" s="125" t="s">
        <v>23</v>
      </c>
      <c r="K29" s="125" t="s">
        <v>58</v>
      </c>
      <c r="O29" s="125" t="s">
        <v>74</v>
      </c>
    </row>
    <row r="30" ht="14.25" customHeight="1">
      <c r="B30" s="125" t="s">
        <v>110</v>
      </c>
      <c r="C30" s="125" t="s">
        <v>92</v>
      </c>
      <c r="D30" s="125" t="s">
        <v>88</v>
      </c>
      <c r="F30" s="125">
        <v>2.0</v>
      </c>
      <c r="H30" s="125" t="s">
        <v>23</v>
      </c>
      <c r="K30" s="125" t="s">
        <v>67</v>
      </c>
      <c r="O30" s="125" t="s">
        <v>74</v>
      </c>
    </row>
    <row r="31" ht="14.25" customHeight="1">
      <c r="B31" s="125" t="s">
        <v>111</v>
      </c>
      <c r="C31" s="125" t="s">
        <v>89</v>
      </c>
      <c r="D31" s="125" t="s">
        <v>88</v>
      </c>
      <c r="F31" s="125">
        <v>1.0</v>
      </c>
      <c r="H31" s="125" t="s">
        <v>23</v>
      </c>
      <c r="K31" s="125" t="s">
        <v>112</v>
      </c>
      <c r="O31" s="125" t="s">
        <v>74</v>
      </c>
    </row>
    <row r="32" ht="14.25" customHeight="1">
      <c r="B32" s="125" t="s">
        <v>113</v>
      </c>
      <c r="C32" s="125" t="s">
        <v>114</v>
      </c>
      <c r="D32" s="125" t="s">
        <v>88</v>
      </c>
      <c r="F32" s="125">
        <v>2.0</v>
      </c>
      <c r="H32" s="125" t="s">
        <v>23</v>
      </c>
      <c r="K32" s="125" t="s">
        <v>73</v>
      </c>
      <c r="O32" s="125" t="s">
        <v>74</v>
      </c>
    </row>
    <row r="33" ht="14.25" customHeight="1">
      <c r="B33" s="125" t="s">
        <v>115</v>
      </c>
      <c r="C33" s="125" t="s">
        <v>116</v>
      </c>
      <c r="D33" s="125" t="s">
        <v>117</v>
      </c>
      <c r="F33" s="125">
        <v>2.0</v>
      </c>
      <c r="H33" s="125" t="s">
        <v>23</v>
      </c>
      <c r="K33" s="125" t="s">
        <v>118</v>
      </c>
      <c r="O33" s="125" t="s">
        <v>74</v>
      </c>
    </row>
    <row r="34" ht="14.25" customHeight="1">
      <c r="B34" s="125" t="s">
        <v>119</v>
      </c>
      <c r="C34" s="125" t="s">
        <v>120</v>
      </c>
      <c r="D34" s="125" t="s">
        <v>121</v>
      </c>
      <c r="F34" s="125">
        <v>1.3</v>
      </c>
      <c r="H34" s="125" t="s">
        <v>23</v>
      </c>
      <c r="K34" s="125" t="s">
        <v>67</v>
      </c>
      <c r="O34" s="125" t="s">
        <v>74</v>
      </c>
    </row>
    <row r="35" ht="14.25" customHeight="1">
      <c r="B35" s="125" t="s">
        <v>122</v>
      </c>
      <c r="C35" s="125" t="s">
        <v>81</v>
      </c>
      <c r="D35" s="125" t="s">
        <v>88</v>
      </c>
      <c r="F35" s="125">
        <v>1.5</v>
      </c>
      <c r="H35" s="125" t="s">
        <v>23</v>
      </c>
      <c r="M35" s="125" t="s">
        <v>82</v>
      </c>
      <c r="O35" s="125" t="s">
        <v>74</v>
      </c>
    </row>
    <row r="36" ht="14.25" customHeight="1">
      <c r="B36" s="125" t="s">
        <v>122</v>
      </c>
      <c r="C36" s="125" t="s">
        <v>123</v>
      </c>
      <c r="D36" s="125" t="s">
        <v>124</v>
      </c>
      <c r="F36" s="125">
        <v>1.0</v>
      </c>
      <c r="H36" s="125" t="s">
        <v>25</v>
      </c>
      <c r="I36" s="125" t="s">
        <v>125</v>
      </c>
      <c r="O36" s="125" t="s">
        <v>74</v>
      </c>
    </row>
    <row r="37" ht="14.25" customHeight="1">
      <c r="B37" s="125" t="s">
        <v>126</v>
      </c>
      <c r="C37" s="125" t="s">
        <v>127</v>
      </c>
      <c r="D37" s="125" t="s">
        <v>128</v>
      </c>
      <c r="F37" s="125">
        <v>0.5</v>
      </c>
      <c r="H37" s="125" t="s">
        <v>25</v>
      </c>
      <c r="M37" s="125" t="s">
        <v>129</v>
      </c>
      <c r="O37" s="125" t="s">
        <v>74</v>
      </c>
    </row>
    <row r="38" ht="14.25" customHeight="1">
      <c r="B38" s="125" t="s">
        <v>130</v>
      </c>
      <c r="C38" s="125" t="s">
        <v>131</v>
      </c>
      <c r="D38" s="125" t="s">
        <v>132</v>
      </c>
      <c r="F38" s="125">
        <v>1.8</v>
      </c>
      <c r="H38" s="125" t="s">
        <v>25</v>
      </c>
      <c r="M38" s="125" t="s">
        <v>133</v>
      </c>
      <c r="O38" s="125" t="s">
        <v>54</v>
      </c>
    </row>
    <row r="39" ht="14.25" customHeight="1">
      <c r="B39" s="125" t="s">
        <v>134</v>
      </c>
      <c r="C39" s="125" t="s">
        <v>135</v>
      </c>
      <c r="D39" s="125" t="s">
        <v>136</v>
      </c>
      <c r="F39" s="125">
        <v>1.8</v>
      </c>
      <c r="H39" s="125" t="s">
        <v>25</v>
      </c>
      <c r="M39" s="125" t="s">
        <v>137</v>
      </c>
      <c r="O39" s="125" t="s">
        <v>54</v>
      </c>
    </row>
    <row r="40" ht="14.25" customHeight="1">
      <c r="B40" s="125" t="s">
        <v>138</v>
      </c>
      <c r="C40" s="125" t="s">
        <v>139</v>
      </c>
      <c r="D40" s="125" t="s">
        <v>140</v>
      </c>
      <c r="F40" s="125">
        <v>1.0</v>
      </c>
      <c r="H40" s="125" t="s">
        <v>25</v>
      </c>
      <c r="M40" s="125" t="s">
        <v>133</v>
      </c>
      <c r="O40" s="125" t="s">
        <v>74</v>
      </c>
    </row>
    <row r="41" ht="14.25" customHeight="1">
      <c r="B41" s="125" t="s">
        <v>141</v>
      </c>
      <c r="C41" s="125" t="s">
        <v>142</v>
      </c>
      <c r="D41" s="125" t="s">
        <v>143</v>
      </c>
      <c r="F41" s="125">
        <v>1.0</v>
      </c>
      <c r="H41" s="125" t="s">
        <v>25</v>
      </c>
      <c r="M41" s="125" t="s">
        <v>144</v>
      </c>
      <c r="O41" s="125" t="s">
        <v>74</v>
      </c>
    </row>
    <row r="42" ht="14.25" customHeight="1">
      <c r="B42" s="125" t="s">
        <v>145</v>
      </c>
      <c r="C42" s="125" t="s">
        <v>146</v>
      </c>
      <c r="D42" s="125" t="s">
        <v>147</v>
      </c>
      <c r="F42" s="125">
        <v>1.0</v>
      </c>
      <c r="H42" s="125" t="s">
        <v>28</v>
      </c>
      <c r="K42" s="125" t="s">
        <v>148</v>
      </c>
      <c r="O42" s="125" t="s">
        <v>54</v>
      </c>
    </row>
    <row r="43" ht="14.25" customHeight="1">
      <c r="B43" s="125" t="s">
        <v>149</v>
      </c>
      <c r="C43" s="125" t="s">
        <v>150</v>
      </c>
      <c r="D43" s="125" t="s">
        <v>151</v>
      </c>
      <c r="F43" s="125">
        <v>2.0</v>
      </c>
      <c r="H43" s="125" t="s">
        <v>28</v>
      </c>
      <c r="M43" s="125" t="s">
        <v>152</v>
      </c>
      <c r="O43" s="125" t="s">
        <v>54</v>
      </c>
    </row>
    <row r="44" ht="14.25" customHeight="1">
      <c r="B44" s="125" t="s">
        <v>153</v>
      </c>
      <c r="C44" s="125" t="s">
        <v>154</v>
      </c>
      <c r="D44" s="125" t="s">
        <v>81</v>
      </c>
      <c r="F44" s="125">
        <v>3.3</v>
      </c>
      <c r="H44" s="125" t="s">
        <v>28</v>
      </c>
      <c r="K44" s="125" t="s">
        <v>155</v>
      </c>
      <c r="O44" s="125" t="s">
        <v>54</v>
      </c>
    </row>
    <row r="45" ht="14.25" customHeight="1">
      <c r="B45" s="125" t="s">
        <v>156</v>
      </c>
      <c r="C45" s="125" t="s">
        <v>157</v>
      </c>
      <c r="D45" s="125" t="s">
        <v>158</v>
      </c>
      <c r="F45" s="125">
        <v>3.2</v>
      </c>
      <c r="H45" s="125" t="s">
        <v>28</v>
      </c>
      <c r="K45" s="125" t="s">
        <v>53</v>
      </c>
      <c r="O45" s="125" t="s">
        <v>54</v>
      </c>
    </row>
    <row r="46" ht="14.25" customHeight="1">
      <c r="B46" s="125" t="s">
        <v>159</v>
      </c>
      <c r="C46" s="125" t="s">
        <v>160</v>
      </c>
      <c r="D46" s="125" t="s">
        <v>161</v>
      </c>
      <c r="F46" s="125">
        <v>3.4</v>
      </c>
      <c r="H46" s="125" t="s">
        <v>28</v>
      </c>
      <c r="K46" s="125" t="s">
        <v>53</v>
      </c>
      <c r="O46" s="125" t="s">
        <v>54</v>
      </c>
    </row>
    <row r="47" ht="14.25" customHeight="1">
      <c r="B47" s="125" t="s">
        <v>162</v>
      </c>
      <c r="C47" s="125" t="s">
        <v>163</v>
      </c>
      <c r="D47" s="125" t="s">
        <v>164</v>
      </c>
      <c r="F47" s="125">
        <v>1.0</v>
      </c>
      <c r="H47" s="125" t="s">
        <v>28</v>
      </c>
      <c r="K47" s="125" t="s">
        <v>155</v>
      </c>
      <c r="O47" s="125" t="s">
        <v>54</v>
      </c>
    </row>
    <row r="48" ht="14.25" customHeight="1">
      <c r="B48" s="125" t="s">
        <v>165</v>
      </c>
      <c r="C48" s="125" t="s">
        <v>166</v>
      </c>
      <c r="D48" s="125" t="s">
        <v>167</v>
      </c>
      <c r="F48" s="125">
        <v>2.8</v>
      </c>
      <c r="H48" s="125" t="s">
        <v>28</v>
      </c>
      <c r="K48" s="125" t="s">
        <v>168</v>
      </c>
      <c r="O48" s="125" t="s">
        <v>54</v>
      </c>
    </row>
    <row r="49" ht="14.25" customHeight="1">
      <c r="B49" s="125" t="s">
        <v>169</v>
      </c>
      <c r="C49" s="125" t="s">
        <v>170</v>
      </c>
      <c r="D49" s="125" t="s">
        <v>171</v>
      </c>
      <c r="F49" s="125">
        <v>1.0</v>
      </c>
      <c r="H49" s="125" t="s">
        <v>28</v>
      </c>
      <c r="K49" s="125" t="s">
        <v>172</v>
      </c>
      <c r="O49" s="125" t="s">
        <v>54</v>
      </c>
    </row>
    <row r="50" ht="14.25" customHeight="1">
      <c r="B50" s="125" t="s">
        <v>173</v>
      </c>
      <c r="C50" s="125" t="s">
        <v>174</v>
      </c>
      <c r="D50" s="125" t="s">
        <v>175</v>
      </c>
      <c r="F50" s="125">
        <v>1.3</v>
      </c>
      <c r="H50" s="125" t="s">
        <v>29</v>
      </c>
      <c r="K50" s="125" t="s">
        <v>53</v>
      </c>
      <c r="O50" s="125" t="s">
        <v>74</v>
      </c>
    </row>
    <row r="51" ht="14.25" customHeight="1">
      <c r="B51" s="125" t="s">
        <v>176</v>
      </c>
      <c r="C51" s="125" t="s">
        <v>177</v>
      </c>
      <c r="D51" s="125" t="s">
        <v>178</v>
      </c>
      <c r="F51" s="125">
        <v>2.6</v>
      </c>
      <c r="H51" s="125" t="s">
        <v>29</v>
      </c>
      <c r="I51" s="125" t="s">
        <v>179</v>
      </c>
      <c r="O51" s="125" t="s">
        <v>54</v>
      </c>
    </row>
    <row r="52" ht="14.25" customHeight="1">
      <c r="B52" s="125" t="s">
        <v>180</v>
      </c>
      <c r="C52" s="125" t="s">
        <v>181</v>
      </c>
      <c r="D52" s="125" t="s">
        <v>182</v>
      </c>
      <c r="E52" s="125" t="s">
        <v>137</v>
      </c>
      <c r="F52" s="125">
        <v>4.5</v>
      </c>
      <c r="H52" s="125" t="s">
        <v>29</v>
      </c>
      <c r="M52" s="125" t="s">
        <v>183</v>
      </c>
      <c r="O52" s="125" t="s">
        <v>54</v>
      </c>
    </row>
    <row r="53" ht="14.25" customHeight="1">
      <c r="B53" s="125" t="s">
        <v>184</v>
      </c>
      <c r="C53" s="125" t="s">
        <v>185</v>
      </c>
      <c r="D53" s="125" t="s">
        <v>186</v>
      </c>
      <c r="F53" s="125">
        <v>1.0</v>
      </c>
      <c r="H53" s="125" t="s">
        <v>29</v>
      </c>
      <c r="K53" s="125" t="s">
        <v>53</v>
      </c>
      <c r="O53" s="125" t="s">
        <v>54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O$125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187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127" t="s">
        <v>13</v>
      </c>
      <c r="H9" s="128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129"/>
      <c r="H10" s="130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80</v>
      </c>
      <c r="C11" s="50">
        <f t="shared" si="1"/>
        <v>24.7</v>
      </c>
      <c r="D11" s="51">
        <f t="shared" si="1"/>
        <v>0</v>
      </c>
      <c r="E11" s="51">
        <f t="shared" si="1"/>
        <v>35.5</v>
      </c>
      <c r="F11" s="51">
        <f t="shared" si="1"/>
        <v>0</v>
      </c>
      <c r="G11" s="54">
        <f t="shared" si="1"/>
        <v>5</v>
      </c>
      <c r="H11" s="131">
        <f t="shared" si="1"/>
        <v>0</v>
      </c>
      <c r="I11" s="53">
        <f t="shared" si="1"/>
        <v>8.9</v>
      </c>
      <c r="J11" s="51">
        <f t="shared" si="1"/>
        <v>0</v>
      </c>
      <c r="K11" s="51">
        <f t="shared" si="1"/>
        <v>42.1</v>
      </c>
      <c r="L11" s="51">
        <f t="shared" si="1"/>
        <v>0</v>
      </c>
      <c r="M11" s="54">
        <f t="shared" si="1"/>
        <v>7.4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58.4</v>
      </c>
      <c r="R11" s="50">
        <f t="shared" si="1"/>
        <v>33.6</v>
      </c>
      <c r="S11" s="51">
        <f t="shared" si="1"/>
        <v>0</v>
      </c>
      <c r="T11" s="51">
        <f t="shared" si="1"/>
        <v>77.6</v>
      </c>
      <c r="U11" s="51">
        <f t="shared" si="1"/>
        <v>0</v>
      </c>
      <c r="V11" s="51">
        <f t="shared" si="1"/>
        <v>12.4</v>
      </c>
      <c r="W11" s="52">
        <f t="shared" si="1"/>
        <v>123.6</v>
      </c>
      <c r="X11" s="56"/>
      <c r="Y11" s="57"/>
      <c r="Z11" s="57"/>
    </row>
    <row r="12" ht="14.25" customHeight="1">
      <c r="A12" s="58" t="s">
        <v>20</v>
      </c>
      <c r="B12" s="79">
        <v>6.0</v>
      </c>
      <c r="C12" s="62"/>
      <c r="D12" s="80"/>
      <c r="E12" s="80"/>
      <c r="F12" s="80"/>
      <c r="G12" s="83"/>
      <c r="H12" s="132"/>
      <c r="I12" s="87">
        <v>2.8</v>
      </c>
      <c r="J12" s="80"/>
      <c r="K12" s="85">
        <v>0.5</v>
      </c>
      <c r="L12" s="80"/>
      <c r="M12" s="86">
        <v>2.9</v>
      </c>
      <c r="N12" s="62"/>
      <c r="O12" s="80"/>
      <c r="P12" s="59"/>
      <c r="Q12" s="61">
        <f t="shared" ref="Q12:Q22" si="4">SUM(I12:P12)</f>
        <v>6.2</v>
      </c>
      <c r="R12" s="62">
        <f t="shared" ref="R12:S12" si="2">C12+I12</f>
        <v>2.8</v>
      </c>
      <c r="S12" s="80">
        <f t="shared" si="2"/>
        <v>0</v>
      </c>
      <c r="T12" s="80">
        <f t="shared" ref="T12:V12" si="3">E12+K12+N12</f>
        <v>0.5</v>
      </c>
      <c r="U12" s="80">
        <f t="shared" si="3"/>
        <v>0</v>
      </c>
      <c r="V12" s="80">
        <f t="shared" si="3"/>
        <v>2.9</v>
      </c>
      <c r="W12" s="59">
        <f t="shared" ref="W12:W22" si="7">SUM(R12:V12)</f>
        <v>6.2</v>
      </c>
      <c r="X12" s="64"/>
    </row>
    <row r="13" ht="14.25" customHeight="1">
      <c r="A13" s="58" t="s">
        <v>21</v>
      </c>
      <c r="B13" s="79">
        <v>4.0</v>
      </c>
      <c r="C13" s="88">
        <v>4.0</v>
      </c>
      <c r="D13" s="80"/>
      <c r="E13" s="80"/>
      <c r="F13" s="80"/>
      <c r="G13" s="83"/>
      <c r="H13" s="132"/>
      <c r="I13" s="60"/>
      <c r="J13" s="80"/>
      <c r="K13" s="85">
        <v>3.5</v>
      </c>
      <c r="L13" s="80"/>
      <c r="M13" s="83"/>
      <c r="N13" s="62"/>
      <c r="O13" s="80"/>
      <c r="P13" s="59"/>
      <c r="Q13" s="61">
        <f t="shared" si="4"/>
        <v>3.5</v>
      </c>
      <c r="R13" s="62">
        <f t="shared" ref="R13:S13" si="5">C13+I13</f>
        <v>4</v>
      </c>
      <c r="S13" s="80">
        <f t="shared" si="5"/>
        <v>0</v>
      </c>
      <c r="T13" s="80">
        <f t="shared" ref="T13:V13" si="6">E13+K13+N13</f>
        <v>3.5</v>
      </c>
      <c r="U13" s="80">
        <f t="shared" si="6"/>
        <v>0</v>
      </c>
      <c r="V13" s="80">
        <f t="shared" si="6"/>
        <v>0</v>
      </c>
      <c r="W13" s="59">
        <f t="shared" si="7"/>
        <v>7.5</v>
      </c>
      <c r="X13" s="64"/>
    </row>
    <row r="14" ht="14.25" customHeight="1">
      <c r="A14" s="58" t="s">
        <v>22</v>
      </c>
      <c r="B14" s="79">
        <v>5.0</v>
      </c>
      <c r="C14" s="88">
        <v>7.0</v>
      </c>
      <c r="D14" s="80"/>
      <c r="E14" s="85">
        <v>3.5</v>
      </c>
      <c r="F14" s="80"/>
      <c r="G14" s="83"/>
      <c r="H14" s="132"/>
      <c r="I14" s="60"/>
      <c r="J14" s="80"/>
      <c r="K14" s="85">
        <v>2.5</v>
      </c>
      <c r="L14" s="80"/>
      <c r="M14" s="83"/>
      <c r="N14" s="62"/>
      <c r="O14" s="80"/>
      <c r="P14" s="59"/>
      <c r="Q14" s="61">
        <f t="shared" si="4"/>
        <v>2.5</v>
      </c>
      <c r="R14" s="62">
        <f t="shared" ref="R14:S14" si="8">C14+I14</f>
        <v>7</v>
      </c>
      <c r="S14" s="80">
        <f t="shared" si="8"/>
        <v>0</v>
      </c>
      <c r="T14" s="80">
        <f t="shared" ref="T14:V14" si="9">E14+K14+N14</f>
        <v>6</v>
      </c>
      <c r="U14" s="80">
        <f t="shared" si="9"/>
        <v>0</v>
      </c>
      <c r="V14" s="80">
        <f t="shared" si="9"/>
        <v>0</v>
      </c>
      <c r="W14" s="59">
        <f t="shared" si="7"/>
        <v>13</v>
      </c>
      <c r="X14" s="64"/>
    </row>
    <row r="15" ht="14.25" customHeight="1">
      <c r="A15" s="58" t="s">
        <v>23</v>
      </c>
      <c r="B15" s="79">
        <v>13.0</v>
      </c>
      <c r="C15" s="88">
        <v>2.8</v>
      </c>
      <c r="D15" s="80"/>
      <c r="E15" s="85">
        <v>3.0</v>
      </c>
      <c r="F15" s="80"/>
      <c r="G15" s="83"/>
      <c r="H15" s="132"/>
      <c r="I15" s="87">
        <v>3.6</v>
      </c>
      <c r="J15" s="80"/>
      <c r="K15" s="85">
        <v>10.8</v>
      </c>
      <c r="L15" s="80"/>
      <c r="M15" s="86">
        <v>1.0</v>
      </c>
      <c r="N15" s="62"/>
      <c r="O15" s="80"/>
      <c r="P15" s="59"/>
      <c r="Q15" s="61">
        <f t="shared" si="4"/>
        <v>15.4</v>
      </c>
      <c r="R15" s="62">
        <f t="shared" ref="R15:S15" si="10">C15+I15</f>
        <v>6.4</v>
      </c>
      <c r="S15" s="80">
        <f t="shared" si="10"/>
        <v>0</v>
      </c>
      <c r="T15" s="80">
        <f t="shared" ref="T15:V15" si="11">E15+K15+N15</f>
        <v>13.8</v>
      </c>
      <c r="U15" s="80">
        <f t="shared" si="11"/>
        <v>0</v>
      </c>
      <c r="V15" s="80">
        <f t="shared" si="11"/>
        <v>1</v>
      </c>
      <c r="W15" s="59">
        <f t="shared" si="7"/>
        <v>21.2</v>
      </c>
      <c r="X15" s="64"/>
    </row>
    <row r="16" ht="14.25" customHeight="1">
      <c r="A16" s="58" t="s">
        <v>24</v>
      </c>
      <c r="B16" s="79">
        <v>4.0</v>
      </c>
      <c r="C16" s="62"/>
      <c r="D16" s="80"/>
      <c r="E16" s="85">
        <v>2.0</v>
      </c>
      <c r="F16" s="80"/>
      <c r="G16" s="83"/>
      <c r="H16" s="132"/>
      <c r="I16" s="60"/>
      <c r="J16" s="80"/>
      <c r="K16" s="85">
        <v>3.8</v>
      </c>
      <c r="L16" s="80"/>
      <c r="M16" s="83"/>
      <c r="N16" s="62"/>
      <c r="O16" s="80"/>
      <c r="P16" s="59"/>
      <c r="Q16" s="61">
        <f t="shared" si="4"/>
        <v>3.8</v>
      </c>
      <c r="R16" s="62">
        <f t="shared" ref="R16:S16" si="12">C16+I16</f>
        <v>0</v>
      </c>
      <c r="S16" s="80">
        <f t="shared" si="12"/>
        <v>0</v>
      </c>
      <c r="T16" s="80">
        <f t="shared" ref="T16:V16" si="13">E16+K16+N16</f>
        <v>5.8</v>
      </c>
      <c r="U16" s="80">
        <f t="shared" si="13"/>
        <v>0</v>
      </c>
      <c r="V16" s="80">
        <f t="shared" si="13"/>
        <v>0</v>
      </c>
      <c r="W16" s="59">
        <f t="shared" si="7"/>
        <v>5.8</v>
      </c>
      <c r="X16" s="64"/>
    </row>
    <row r="17" ht="14.25" customHeight="1">
      <c r="A17" s="58" t="s">
        <v>25</v>
      </c>
      <c r="B17" s="79">
        <v>19.0</v>
      </c>
      <c r="C17" s="88">
        <v>1.0</v>
      </c>
      <c r="D17" s="80"/>
      <c r="E17" s="85">
        <v>8.5</v>
      </c>
      <c r="F17" s="80"/>
      <c r="G17" s="86">
        <v>2.8</v>
      </c>
      <c r="H17" s="132"/>
      <c r="I17" s="60"/>
      <c r="J17" s="80"/>
      <c r="K17" s="85">
        <v>13.5</v>
      </c>
      <c r="L17" s="80"/>
      <c r="M17" s="86">
        <v>3.5</v>
      </c>
      <c r="N17" s="62"/>
      <c r="O17" s="80"/>
      <c r="P17" s="59"/>
      <c r="Q17" s="61">
        <f t="shared" si="4"/>
        <v>17</v>
      </c>
      <c r="R17" s="62">
        <f t="shared" ref="R17:S17" si="14">C17+I17</f>
        <v>1</v>
      </c>
      <c r="S17" s="80">
        <f t="shared" si="14"/>
        <v>0</v>
      </c>
      <c r="T17" s="80">
        <f t="shared" ref="T17:V17" si="15">E17+K17+N17</f>
        <v>22</v>
      </c>
      <c r="U17" s="80">
        <f t="shared" si="15"/>
        <v>0</v>
      </c>
      <c r="V17" s="80">
        <f t="shared" si="15"/>
        <v>6.3</v>
      </c>
      <c r="W17" s="59">
        <f t="shared" si="7"/>
        <v>29.3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3"/>
      <c r="H18" s="132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0.0</v>
      </c>
      <c r="C19" s="62"/>
      <c r="D19" s="80"/>
      <c r="E19" s="80"/>
      <c r="F19" s="80"/>
      <c r="G19" s="83"/>
      <c r="H19" s="132"/>
      <c r="I19" s="60"/>
      <c r="J19" s="80"/>
      <c r="K19" s="80"/>
      <c r="L19" s="80"/>
      <c r="M19" s="83"/>
      <c r="N19" s="62"/>
      <c r="O19" s="80"/>
      <c r="P19" s="59"/>
      <c r="Q19" s="61">
        <f t="shared" si="4"/>
        <v>0</v>
      </c>
      <c r="R19" s="62">
        <f t="shared" ref="R19:S19" si="18">C19+I19</f>
        <v>0</v>
      </c>
      <c r="S19" s="80">
        <f t="shared" si="18"/>
        <v>0</v>
      </c>
      <c r="T19" s="80">
        <f t="shared" ref="T19:V19" si="19">E19+K19+N19</f>
        <v>0</v>
      </c>
      <c r="U19" s="80">
        <f t="shared" si="19"/>
        <v>0</v>
      </c>
      <c r="V19" s="80">
        <f t="shared" si="19"/>
        <v>0</v>
      </c>
      <c r="W19" s="59">
        <f t="shared" si="7"/>
        <v>0</v>
      </c>
      <c r="X19" s="64"/>
    </row>
    <row r="20" ht="14.25" customHeight="1">
      <c r="A20" s="58" t="s">
        <v>28</v>
      </c>
      <c r="B20" s="79">
        <v>18.0</v>
      </c>
      <c r="C20" s="88">
        <v>7.7</v>
      </c>
      <c r="D20" s="80"/>
      <c r="E20" s="85">
        <v>12.5</v>
      </c>
      <c r="F20" s="80"/>
      <c r="G20" s="86">
        <v>2.2</v>
      </c>
      <c r="H20" s="132"/>
      <c r="I20" s="87">
        <v>2.5</v>
      </c>
      <c r="J20" s="80"/>
      <c r="K20" s="85">
        <v>1.0</v>
      </c>
      <c r="L20" s="80"/>
      <c r="M20" s="83"/>
      <c r="N20" s="62"/>
      <c r="O20" s="80"/>
      <c r="P20" s="59"/>
      <c r="Q20" s="61">
        <f t="shared" si="4"/>
        <v>3.5</v>
      </c>
      <c r="R20" s="62">
        <f t="shared" ref="R20:S20" si="20">C20+I20</f>
        <v>10.2</v>
      </c>
      <c r="S20" s="80">
        <f t="shared" si="20"/>
        <v>0</v>
      </c>
      <c r="T20" s="80">
        <f t="shared" ref="T20:V20" si="21">E20+K20+N20</f>
        <v>13.5</v>
      </c>
      <c r="U20" s="80">
        <f t="shared" si="21"/>
        <v>0</v>
      </c>
      <c r="V20" s="80">
        <f t="shared" si="21"/>
        <v>2.2</v>
      </c>
      <c r="W20" s="59">
        <f t="shared" si="7"/>
        <v>25.9</v>
      </c>
      <c r="X20" s="64"/>
    </row>
    <row r="21" ht="14.25" customHeight="1">
      <c r="A21" s="58" t="s">
        <v>29</v>
      </c>
      <c r="B21" s="79">
        <v>7.0</v>
      </c>
      <c r="C21" s="88">
        <v>2.2</v>
      </c>
      <c r="D21" s="80"/>
      <c r="E21" s="85">
        <v>6.0</v>
      </c>
      <c r="F21" s="80"/>
      <c r="G21" s="83"/>
      <c r="H21" s="132"/>
      <c r="I21" s="60"/>
      <c r="J21" s="80"/>
      <c r="K21" s="85">
        <v>1.5</v>
      </c>
      <c r="L21" s="80"/>
      <c r="M21" s="83"/>
      <c r="N21" s="62"/>
      <c r="O21" s="80"/>
      <c r="P21" s="59"/>
      <c r="Q21" s="61">
        <f t="shared" si="4"/>
        <v>1.5</v>
      </c>
      <c r="R21" s="62">
        <f t="shared" ref="R21:S21" si="22">C21+I21</f>
        <v>2.2</v>
      </c>
      <c r="S21" s="80">
        <f t="shared" si="22"/>
        <v>0</v>
      </c>
      <c r="T21" s="80">
        <f t="shared" ref="T21:V21" si="23">E21+K21+N21</f>
        <v>7.5</v>
      </c>
      <c r="U21" s="80">
        <f t="shared" si="23"/>
        <v>0</v>
      </c>
      <c r="V21" s="80">
        <f t="shared" si="23"/>
        <v>0</v>
      </c>
      <c r="W21" s="59">
        <f t="shared" si="7"/>
        <v>9.7</v>
      </c>
      <c r="X21" s="64"/>
    </row>
    <row r="22" ht="14.25" customHeight="1">
      <c r="A22" s="58" t="s">
        <v>30</v>
      </c>
      <c r="B22" s="79">
        <v>4.0</v>
      </c>
      <c r="C22" s="62"/>
      <c r="D22" s="80"/>
      <c r="E22" s="80"/>
      <c r="F22" s="80"/>
      <c r="G22" s="83"/>
      <c r="H22" s="132"/>
      <c r="I22" s="60"/>
      <c r="J22" s="80"/>
      <c r="K22" s="85">
        <v>5.0</v>
      </c>
      <c r="L22" s="80"/>
      <c r="M22" s="83"/>
      <c r="N22" s="62"/>
      <c r="O22" s="80"/>
      <c r="P22" s="59"/>
      <c r="Q22" s="61">
        <f t="shared" si="4"/>
        <v>5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5</v>
      </c>
      <c r="U22" s="80">
        <f t="shared" si="25"/>
        <v>0</v>
      </c>
      <c r="V22" s="80">
        <f t="shared" si="25"/>
        <v>0</v>
      </c>
      <c r="W22" s="59">
        <f t="shared" si="7"/>
        <v>5</v>
      </c>
      <c r="X22" s="64"/>
    </row>
    <row r="23" ht="14.25" customHeight="1">
      <c r="A23" s="65"/>
      <c r="B23" s="65"/>
      <c r="C23" s="70"/>
      <c r="D23" s="68"/>
      <c r="E23" s="68"/>
      <c r="F23" s="68"/>
      <c r="G23" s="69"/>
      <c r="H23" s="133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4" width="18.5"/>
    <col customWidth="1" min="5" max="5" width="9.5"/>
    <col customWidth="1" min="6" max="6" width="10.0"/>
    <col customWidth="1" min="7" max="7" width="13.25"/>
    <col customWidth="1" min="8" max="14" width="10.0"/>
    <col customWidth="1" min="15" max="15" width="11.88"/>
    <col customWidth="1" min="16" max="16" width="7.25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188</v>
      </c>
      <c r="J5" s="91"/>
      <c r="K5" s="134" t="s">
        <v>189</v>
      </c>
      <c r="L5" s="91"/>
      <c r="M5" s="134" t="s">
        <v>190</v>
      </c>
      <c r="N5" s="91"/>
      <c r="O5" s="91"/>
    </row>
    <row r="6" ht="14.25" customHeight="1">
      <c r="A6" s="135" t="s">
        <v>191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193</v>
      </c>
      <c r="C9" s="118" t="s">
        <v>194</v>
      </c>
      <c r="D9" s="118" t="s">
        <v>195</v>
      </c>
      <c r="E9" s="117"/>
      <c r="F9" s="118">
        <v>1.6</v>
      </c>
      <c r="G9" s="117"/>
      <c r="H9" s="118" t="s">
        <v>20</v>
      </c>
      <c r="I9" s="137" t="s">
        <v>196</v>
      </c>
      <c r="J9" s="120"/>
      <c r="K9" s="120"/>
      <c r="L9" s="120"/>
      <c r="M9" s="120"/>
      <c r="N9" s="120"/>
      <c r="O9" s="121" t="s">
        <v>74</v>
      </c>
    </row>
    <row r="10" ht="14.25" customHeight="1">
      <c r="A10" s="117"/>
      <c r="B10" s="118" t="s">
        <v>197</v>
      </c>
      <c r="C10" s="118" t="s">
        <v>198</v>
      </c>
      <c r="D10" s="118" t="s">
        <v>194</v>
      </c>
      <c r="E10" s="117"/>
      <c r="F10" s="118">
        <v>0.7</v>
      </c>
      <c r="G10" s="117"/>
      <c r="H10" s="118" t="s">
        <v>20</v>
      </c>
      <c r="I10" s="137" t="s">
        <v>196</v>
      </c>
      <c r="J10" s="120"/>
      <c r="K10" s="120"/>
      <c r="L10" s="120"/>
      <c r="M10" s="120"/>
      <c r="N10" s="120"/>
      <c r="O10" s="121" t="s">
        <v>74</v>
      </c>
    </row>
    <row r="11" ht="14.25" customHeight="1">
      <c r="A11" s="117" t="s">
        <v>19</v>
      </c>
      <c r="B11" s="118" t="s">
        <v>110</v>
      </c>
      <c r="C11" s="118" t="s">
        <v>199</v>
      </c>
      <c r="D11" s="118" t="s">
        <v>200</v>
      </c>
      <c r="E11" s="117"/>
      <c r="F11" s="118">
        <v>1.9</v>
      </c>
      <c r="G11" s="117"/>
      <c r="H11" s="118" t="s">
        <v>20</v>
      </c>
      <c r="I11" s="137"/>
      <c r="J11" s="120"/>
      <c r="K11" s="120"/>
      <c r="L11" s="120"/>
      <c r="M11" s="137" t="s">
        <v>201</v>
      </c>
      <c r="N11" s="120"/>
      <c r="O11" s="121" t="s">
        <v>74</v>
      </c>
    </row>
    <row r="12" ht="14.25" customHeight="1">
      <c r="A12" s="117" t="s">
        <v>20</v>
      </c>
      <c r="B12" s="118" t="s">
        <v>202</v>
      </c>
      <c r="C12" s="118" t="s">
        <v>199</v>
      </c>
      <c r="D12" s="118" t="s">
        <v>200</v>
      </c>
      <c r="E12" s="117"/>
      <c r="F12" s="118">
        <v>1.0</v>
      </c>
      <c r="G12" s="117"/>
      <c r="H12" s="118" t="s">
        <v>20</v>
      </c>
      <c r="I12" s="137"/>
      <c r="J12" s="120"/>
      <c r="K12" s="120"/>
      <c r="L12" s="120"/>
      <c r="M12" s="137" t="s">
        <v>203</v>
      </c>
      <c r="N12" s="120"/>
      <c r="O12" s="121" t="s">
        <v>74</v>
      </c>
    </row>
    <row r="13" ht="14.25" customHeight="1">
      <c r="A13" s="117" t="s">
        <v>21</v>
      </c>
      <c r="B13" s="118" t="s">
        <v>204</v>
      </c>
      <c r="C13" s="118" t="s">
        <v>205</v>
      </c>
      <c r="D13" s="118" t="s">
        <v>206</v>
      </c>
      <c r="E13" s="117"/>
      <c r="F13" s="118">
        <v>0.5</v>
      </c>
      <c r="G13" s="117"/>
      <c r="H13" s="118" t="s">
        <v>20</v>
      </c>
      <c r="I13" s="137" t="s">
        <v>179</v>
      </c>
      <c r="J13" s="120"/>
      <c r="K13" s="120"/>
      <c r="L13" s="120"/>
      <c r="M13" s="120"/>
      <c r="N13" s="120"/>
      <c r="O13" s="121" t="s">
        <v>74</v>
      </c>
    </row>
    <row r="14" ht="14.25" customHeight="1">
      <c r="A14" s="117" t="s">
        <v>22</v>
      </c>
      <c r="B14" s="118" t="s">
        <v>207</v>
      </c>
      <c r="C14" s="118" t="s">
        <v>208</v>
      </c>
      <c r="D14" s="118" t="s">
        <v>209</v>
      </c>
      <c r="E14" s="117"/>
      <c r="F14" s="118">
        <v>0.5</v>
      </c>
      <c r="G14" s="117"/>
      <c r="H14" s="118" t="s">
        <v>20</v>
      </c>
      <c r="I14" s="137"/>
      <c r="J14" s="120"/>
      <c r="K14" s="137" t="s">
        <v>210</v>
      </c>
      <c r="L14" s="120"/>
      <c r="M14" s="120"/>
      <c r="N14" s="120"/>
      <c r="O14" s="121" t="s">
        <v>74</v>
      </c>
    </row>
    <row r="15" ht="14.25" customHeight="1">
      <c r="A15" s="117" t="s">
        <v>23</v>
      </c>
      <c r="B15" s="118" t="s">
        <v>211</v>
      </c>
      <c r="C15" s="118" t="s">
        <v>212</v>
      </c>
      <c r="D15" s="118" t="s">
        <v>213</v>
      </c>
      <c r="E15" s="117"/>
      <c r="F15" s="118">
        <v>3.0</v>
      </c>
      <c r="G15" s="117"/>
      <c r="H15" s="118" t="s">
        <v>21</v>
      </c>
      <c r="I15" s="137" t="s">
        <v>179</v>
      </c>
      <c r="J15" s="120"/>
      <c r="K15" s="120"/>
      <c r="L15" s="120"/>
      <c r="M15" s="120"/>
      <c r="N15" s="120"/>
      <c r="O15" s="121" t="s">
        <v>54</v>
      </c>
    </row>
    <row r="16" ht="14.25" customHeight="1">
      <c r="A16" s="117" t="s">
        <v>24</v>
      </c>
      <c r="B16" s="118" t="s">
        <v>214</v>
      </c>
      <c r="C16" s="118" t="s">
        <v>215</v>
      </c>
      <c r="D16" s="118" t="s">
        <v>216</v>
      </c>
      <c r="E16" s="117"/>
      <c r="F16" s="118">
        <v>1.0</v>
      </c>
      <c r="G16" s="117"/>
      <c r="H16" s="118" t="s">
        <v>21</v>
      </c>
      <c r="I16" s="137" t="s">
        <v>179</v>
      </c>
      <c r="J16" s="120"/>
      <c r="K16" s="120"/>
      <c r="L16" s="120"/>
      <c r="M16" s="120"/>
      <c r="N16" s="120"/>
      <c r="O16" s="121" t="s">
        <v>54</v>
      </c>
    </row>
    <row r="17" ht="14.25" customHeight="1">
      <c r="A17" s="117" t="s">
        <v>25</v>
      </c>
      <c r="B17" s="118" t="s">
        <v>217</v>
      </c>
      <c r="C17" s="118" t="s">
        <v>218</v>
      </c>
      <c r="D17" s="118" t="s">
        <v>219</v>
      </c>
      <c r="E17" s="117"/>
      <c r="F17" s="118">
        <v>1.5</v>
      </c>
      <c r="G17" s="117"/>
      <c r="H17" s="118" t="s">
        <v>21</v>
      </c>
      <c r="I17" s="137"/>
      <c r="J17" s="120"/>
      <c r="K17" s="137" t="s">
        <v>58</v>
      </c>
      <c r="L17" s="120"/>
      <c r="M17" s="120"/>
      <c r="N17" s="120"/>
      <c r="O17" s="121" t="s">
        <v>74</v>
      </c>
    </row>
    <row r="18" ht="14.25" customHeight="1">
      <c r="A18" s="117" t="s">
        <v>26</v>
      </c>
      <c r="B18" s="118" t="s">
        <v>220</v>
      </c>
      <c r="C18" s="118" t="s">
        <v>221</v>
      </c>
      <c r="D18" s="118" t="s">
        <v>222</v>
      </c>
      <c r="E18" s="117"/>
      <c r="F18" s="118">
        <v>2.0</v>
      </c>
      <c r="G18" s="117"/>
      <c r="H18" s="118" t="s">
        <v>21</v>
      </c>
      <c r="I18" s="137"/>
      <c r="J18" s="120"/>
      <c r="K18" s="137" t="s">
        <v>58</v>
      </c>
      <c r="L18" s="120"/>
      <c r="M18" s="120"/>
      <c r="N18" s="120"/>
      <c r="O18" s="121" t="s">
        <v>74</v>
      </c>
    </row>
    <row r="19" ht="14.25" customHeight="1">
      <c r="A19" s="117" t="s">
        <v>27</v>
      </c>
      <c r="B19" s="118" t="s">
        <v>223</v>
      </c>
      <c r="C19" s="118" t="s">
        <v>89</v>
      </c>
      <c r="D19" s="118" t="s">
        <v>81</v>
      </c>
      <c r="E19" s="117"/>
      <c r="F19" s="118">
        <v>1.0</v>
      </c>
      <c r="G19" s="117"/>
      <c r="H19" s="118" t="s">
        <v>23</v>
      </c>
      <c r="I19" s="137"/>
      <c r="J19" s="120"/>
      <c r="K19" s="137" t="s">
        <v>172</v>
      </c>
      <c r="L19" s="120"/>
      <c r="M19" s="120"/>
      <c r="N19" s="120"/>
      <c r="O19" s="121" t="s">
        <v>74</v>
      </c>
    </row>
    <row r="20" ht="14.25" customHeight="1">
      <c r="A20" s="117" t="s">
        <v>28</v>
      </c>
      <c r="B20" s="118" t="s">
        <v>224</v>
      </c>
      <c r="C20" s="118" t="s">
        <v>95</v>
      </c>
      <c r="D20" s="118" t="s">
        <v>85</v>
      </c>
      <c r="E20" s="117"/>
      <c r="F20" s="118">
        <v>2.0</v>
      </c>
      <c r="G20" s="117"/>
      <c r="H20" s="118" t="s">
        <v>23</v>
      </c>
      <c r="I20" s="137" t="s">
        <v>179</v>
      </c>
      <c r="J20" s="120"/>
      <c r="K20" s="120"/>
      <c r="L20" s="120"/>
      <c r="M20" s="120"/>
      <c r="N20" s="120"/>
      <c r="O20" s="121" t="s">
        <v>74</v>
      </c>
    </row>
    <row r="21" ht="14.25" customHeight="1">
      <c r="A21" s="122" t="s">
        <v>29</v>
      </c>
      <c r="B21" s="123" t="s">
        <v>225</v>
      </c>
      <c r="C21" s="123" t="s">
        <v>226</v>
      </c>
      <c r="D21" s="123" t="s">
        <v>89</v>
      </c>
      <c r="E21" s="124"/>
      <c r="F21" s="123">
        <v>1.5</v>
      </c>
      <c r="G21" s="124"/>
      <c r="H21" s="123" t="s">
        <v>23</v>
      </c>
      <c r="I21" s="121"/>
      <c r="J21" s="120"/>
      <c r="K21" s="121" t="s">
        <v>53</v>
      </c>
      <c r="L21" s="120"/>
      <c r="M21" s="120"/>
      <c r="N21" s="120"/>
      <c r="O21" s="121" t="s">
        <v>74</v>
      </c>
    </row>
    <row r="22" ht="14.25" customHeight="1">
      <c r="A22" s="122" t="s">
        <v>30</v>
      </c>
      <c r="B22" s="123" t="s">
        <v>227</v>
      </c>
      <c r="C22" s="123" t="s">
        <v>228</v>
      </c>
      <c r="D22" s="123" t="s">
        <v>92</v>
      </c>
      <c r="E22" s="124"/>
      <c r="F22" s="123">
        <v>2.0</v>
      </c>
      <c r="G22" s="124"/>
      <c r="H22" s="123" t="s">
        <v>23</v>
      </c>
      <c r="I22" s="121"/>
      <c r="J22" s="120"/>
      <c r="K22" s="121" t="s">
        <v>172</v>
      </c>
      <c r="L22" s="120"/>
      <c r="M22" s="120"/>
      <c r="N22" s="120"/>
      <c r="O22" s="121" t="s">
        <v>74</v>
      </c>
    </row>
    <row r="23" ht="14.25" customHeight="1">
      <c r="B23" s="125" t="s">
        <v>229</v>
      </c>
      <c r="C23" s="125" t="s">
        <v>230</v>
      </c>
      <c r="D23" s="125" t="s">
        <v>84</v>
      </c>
      <c r="F23" s="125">
        <v>1.0</v>
      </c>
      <c r="H23" s="125" t="s">
        <v>23</v>
      </c>
      <c r="K23" s="125" t="s">
        <v>172</v>
      </c>
      <c r="O23" s="125" t="s">
        <v>74</v>
      </c>
    </row>
    <row r="24" ht="14.25" customHeight="1">
      <c r="B24" s="125" t="s">
        <v>231</v>
      </c>
      <c r="C24" s="125" t="s">
        <v>89</v>
      </c>
      <c r="D24" s="125" t="s">
        <v>232</v>
      </c>
      <c r="F24" s="125">
        <v>1.0</v>
      </c>
      <c r="H24" s="125" t="s">
        <v>23</v>
      </c>
      <c r="K24" s="125" t="s">
        <v>53</v>
      </c>
      <c r="O24" s="125" t="s">
        <v>74</v>
      </c>
    </row>
    <row r="25" ht="14.25" customHeight="1">
      <c r="B25" s="125" t="s">
        <v>233</v>
      </c>
      <c r="C25" s="125" t="s">
        <v>84</v>
      </c>
      <c r="D25" s="125" t="s">
        <v>95</v>
      </c>
      <c r="E25" s="125" t="s">
        <v>137</v>
      </c>
      <c r="F25" s="125">
        <v>1.6</v>
      </c>
      <c r="H25" s="125" t="s">
        <v>23</v>
      </c>
      <c r="I25" s="125" t="s">
        <v>179</v>
      </c>
      <c r="O25" s="125" t="s">
        <v>74</v>
      </c>
    </row>
    <row r="26" ht="14.25" customHeight="1">
      <c r="A26" s="126">
        <f>-A29</f>
        <v>0</v>
      </c>
      <c r="B26" s="125" t="s">
        <v>234</v>
      </c>
      <c r="C26" s="125" t="s">
        <v>89</v>
      </c>
      <c r="D26" s="125" t="s">
        <v>95</v>
      </c>
      <c r="F26" s="125">
        <v>1.0</v>
      </c>
      <c r="H26" s="125" t="s">
        <v>23</v>
      </c>
      <c r="M26" s="125" t="s">
        <v>129</v>
      </c>
      <c r="O26" s="125" t="s">
        <v>74</v>
      </c>
    </row>
    <row r="27" ht="14.25" customHeight="1">
      <c r="B27" s="125" t="s">
        <v>235</v>
      </c>
      <c r="C27" s="125" t="s">
        <v>84</v>
      </c>
      <c r="D27" s="125" t="s">
        <v>236</v>
      </c>
      <c r="F27" s="125">
        <v>2.0</v>
      </c>
      <c r="H27" s="125" t="s">
        <v>23</v>
      </c>
      <c r="K27" s="125" t="s">
        <v>172</v>
      </c>
      <c r="O27" s="125" t="s">
        <v>54</v>
      </c>
    </row>
    <row r="28" ht="14.25" customHeight="1">
      <c r="B28" s="125" t="s">
        <v>237</v>
      </c>
      <c r="C28" s="125" t="s">
        <v>84</v>
      </c>
      <c r="D28" s="125" t="s">
        <v>236</v>
      </c>
      <c r="F28" s="125">
        <v>2.8</v>
      </c>
      <c r="H28" s="125" t="s">
        <v>23</v>
      </c>
      <c r="I28" s="125" t="s">
        <v>179</v>
      </c>
      <c r="O28" s="125" t="s">
        <v>54</v>
      </c>
    </row>
    <row r="29" ht="14.25" customHeight="1">
      <c r="B29" s="125" t="s">
        <v>238</v>
      </c>
      <c r="C29" s="125" t="s">
        <v>239</v>
      </c>
      <c r="D29" s="125" t="s">
        <v>236</v>
      </c>
      <c r="F29" s="125">
        <v>3.0</v>
      </c>
      <c r="H29" s="125" t="s">
        <v>23</v>
      </c>
      <c r="K29" s="125" t="s">
        <v>53</v>
      </c>
      <c r="O29" s="125" t="s">
        <v>74</v>
      </c>
    </row>
    <row r="30" ht="14.25" customHeight="1">
      <c r="B30" s="125" t="s">
        <v>240</v>
      </c>
      <c r="C30" s="125" t="s">
        <v>241</v>
      </c>
      <c r="D30" s="125" t="s">
        <v>242</v>
      </c>
      <c r="F30" s="125">
        <v>1.0</v>
      </c>
      <c r="H30" s="125" t="s">
        <v>23</v>
      </c>
      <c r="K30" s="125" t="s">
        <v>53</v>
      </c>
      <c r="O30" s="125" t="s">
        <v>54</v>
      </c>
    </row>
    <row r="31" ht="14.25" customHeight="1">
      <c r="B31" s="125" t="s">
        <v>243</v>
      </c>
      <c r="C31" s="125" t="s">
        <v>244</v>
      </c>
      <c r="D31" s="125" t="s">
        <v>245</v>
      </c>
      <c r="F31" s="125">
        <v>1.3</v>
      </c>
      <c r="H31" s="125" t="s">
        <v>23</v>
      </c>
      <c r="K31" s="125" t="s">
        <v>172</v>
      </c>
      <c r="O31" s="125" t="s">
        <v>74</v>
      </c>
    </row>
    <row r="32" ht="14.25" customHeight="1">
      <c r="B32" s="125" t="s">
        <v>246</v>
      </c>
      <c r="C32" s="125" t="s">
        <v>247</v>
      </c>
      <c r="D32" s="125" t="s">
        <v>248</v>
      </c>
      <c r="F32" s="125">
        <v>2.5</v>
      </c>
      <c r="H32" s="125" t="s">
        <v>22</v>
      </c>
      <c r="K32" s="125" t="s">
        <v>172</v>
      </c>
      <c r="O32" s="125" t="s">
        <v>74</v>
      </c>
    </row>
    <row r="33" ht="14.25" customHeight="1">
      <c r="B33" s="125" t="s">
        <v>249</v>
      </c>
      <c r="C33" s="125" t="s">
        <v>250</v>
      </c>
      <c r="D33" s="125" t="s">
        <v>251</v>
      </c>
      <c r="F33" s="125">
        <v>5.0</v>
      </c>
      <c r="H33" s="125" t="s">
        <v>22</v>
      </c>
      <c r="I33" s="125" t="s">
        <v>179</v>
      </c>
      <c r="O33" s="125" t="s">
        <v>54</v>
      </c>
    </row>
    <row r="34" ht="14.25" customHeight="1">
      <c r="B34" s="125" t="s">
        <v>252</v>
      </c>
      <c r="C34" s="125" t="s">
        <v>253</v>
      </c>
      <c r="D34" s="125" t="s">
        <v>254</v>
      </c>
      <c r="F34" s="125">
        <v>2.0</v>
      </c>
      <c r="H34" s="125" t="s">
        <v>22</v>
      </c>
      <c r="I34" s="125" t="s">
        <v>179</v>
      </c>
      <c r="O34" s="125" t="s">
        <v>54</v>
      </c>
    </row>
    <row r="35" ht="14.25" customHeight="1">
      <c r="B35" s="125" t="s">
        <v>255</v>
      </c>
      <c r="C35" s="125" t="s">
        <v>256</v>
      </c>
      <c r="D35" s="125" t="s">
        <v>257</v>
      </c>
      <c r="F35" s="125">
        <v>0.5</v>
      </c>
      <c r="H35" s="125" t="s">
        <v>22</v>
      </c>
      <c r="K35" s="125" t="s">
        <v>73</v>
      </c>
      <c r="O35" s="125" t="s">
        <v>54</v>
      </c>
    </row>
    <row r="36" ht="14.25" customHeight="1">
      <c r="B36" s="125" t="s">
        <v>258</v>
      </c>
      <c r="C36" s="125" t="s">
        <v>259</v>
      </c>
      <c r="D36" s="125" t="s">
        <v>260</v>
      </c>
      <c r="F36" s="125">
        <v>3.0</v>
      </c>
      <c r="H36" s="125" t="s">
        <v>22</v>
      </c>
      <c r="K36" s="125" t="s">
        <v>172</v>
      </c>
      <c r="O36" s="125" t="s">
        <v>54</v>
      </c>
    </row>
    <row r="37" ht="14.25" customHeight="1">
      <c r="B37" s="125" t="s">
        <v>261</v>
      </c>
      <c r="C37" s="125" t="s">
        <v>262</v>
      </c>
      <c r="D37" s="125" t="s">
        <v>263</v>
      </c>
      <c r="F37" s="125">
        <v>0.8</v>
      </c>
      <c r="H37" s="125" t="s">
        <v>24</v>
      </c>
      <c r="K37" s="125" t="s">
        <v>210</v>
      </c>
      <c r="O37" s="125" t="s">
        <v>74</v>
      </c>
    </row>
    <row r="38" ht="14.25" customHeight="1">
      <c r="B38" s="125" t="s">
        <v>264</v>
      </c>
      <c r="C38" s="125" t="s">
        <v>265</v>
      </c>
      <c r="D38" s="125" t="s">
        <v>95</v>
      </c>
      <c r="F38" s="125">
        <v>1.0</v>
      </c>
      <c r="H38" s="125" t="s">
        <v>24</v>
      </c>
      <c r="K38" s="125" t="s">
        <v>266</v>
      </c>
      <c r="O38" s="125" t="s">
        <v>74</v>
      </c>
    </row>
    <row r="39" ht="14.25" customHeight="1">
      <c r="B39" s="125" t="s">
        <v>267</v>
      </c>
      <c r="C39" s="125" t="s">
        <v>268</v>
      </c>
      <c r="D39" s="125" t="s">
        <v>269</v>
      </c>
      <c r="F39" s="125">
        <v>2.0</v>
      </c>
      <c r="H39" s="125" t="s">
        <v>24</v>
      </c>
      <c r="K39" s="125" t="s">
        <v>210</v>
      </c>
      <c r="O39" s="125" t="s">
        <v>54</v>
      </c>
    </row>
    <row r="40" ht="14.25" customHeight="1">
      <c r="B40" s="125" t="s">
        <v>270</v>
      </c>
      <c r="C40" s="125" t="s">
        <v>271</v>
      </c>
      <c r="D40" s="125" t="s">
        <v>272</v>
      </c>
      <c r="F40" s="125">
        <v>2.0</v>
      </c>
      <c r="H40" s="125" t="s">
        <v>24</v>
      </c>
      <c r="K40" s="125" t="s">
        <v>210</v>
      </c>
      <c r="O40" s="125" t="s">
        <v>74</v>
      </c>
    </row>
    <row r="41" ht="14.25" customHeight="1">
      <c r="B41" s="125" t="s">
        <v>273</v>
      </c>
      <c r="C41" s="125" t="s">
        <v>274</v>
      </c>
      <c r="D41" s="125" t="s">
        <v>275</v>
      </c>
      <c r="F41" s="125">
        <v>1.0</v>
      </c>
      <c r="H41" s="125" t="s">
        <v>25</v>
      </c>
      <c r="K41" s="125" t="s">
        <v>168</v>
      </c>
      <c r="O41" s="125" t="s">
        <v>74</v>
      </c>
    </row>
    <row r="42" ht="14.25" customHeight="1">
      <c r="B42" s="125" t="s">
        <v>276</v>
      </c>
      <c r="C42" s="125" t="s">
        <v>277</v>
      </c>
      <c r="D42" s="125" t="s">
        <v>123</v>
      </c>
      <c r="F42" s="125">
        <v>1.0</v>
      </c>
      <c r="H42" s="125" t="s">
        <v>25</v>
      </c>
      <c r="K42" s="125" t="s">
        <v>53</v>
      </c>
      <c r="O42" s="125" t="s">
        <v>74</v>
      </c>
    </row>
    <row r="43" ht="14.25" customHeight="1">
      <c r="B43" s="125" t="s">
        <v>278</v>
      </c>
      <c r="C43" s="125" t="s">
        <v>279</v>
      </c>
      <c r="D43" s="125" t="s">
        <v>280</v>
      </c>
      <c r="F43" s="125">
        <v>2.0</v>
      </c>
      <c r="H43" s="125" t="s">
        <v>25</v>
      </c>
      <c r="K43" s="125" t="s">
        <v>53</v>
      </c>
      <c r="O43" s="125" t="s">
        <v>74</v>
      </c>
    </row>
    <row r="44" ht="14.25" customHeight="1">
      <c r="B44" s="125" t="s">
        <v>281</v>
      </c>
      <c r="C44" s="125" t="s">
        <v>282</v>
      </c>
      <c r="D44" s="125" t="s">
        <v>283</v>
      </c>
      <c r="F44" s="125">
        <v>2.9</v>
      </c>
      <c r="H44" s="125" t="s">
        <v>25</v>
      </c>
      <c r="K44" s="125" t="s">
        <v>53</v>
      </c>
      <c r="O44" s="125" t="s">
        <v>74</v>
      </c>
    </row>
    <row r="45" ht="14.25" customHeight="1">
      <c r="B45" s="125" t="s">
        <v>284</v>
      </c>
      <c r="C45" s="125" t="s">
        <v>285</v>
      </c>
      <c r="D45" s="125" t="s">
        <v>283</v>
      </c>
      <c r="F45" s="125">
        <v>1.0</v>
      </c>
      <c r="H45" s="125" t="s">
        <v>25</v>
      </c>
      <c r="K45" s="125" t="s">
        <v>155</v>
      </c>
      <c r="O45" s="125" t="s">
        <v>74</v>
      </c>
    </row>
    <row r="46" ht="14.25" customHeight="1">
      <c r="B46" s="125" t="s">
        <v>286</v>
      </c>
      <c r="C46" s="125" t="s">
        <v>117</v>
      </c>
      <c r="D46" s="125" t="s">
        <v>287</v>
      </c>
      <c r="F46" s="125">
        <v>3.0</v>
      </c>
      <c r="H46" s="125" t="s">
        <v>25</v>
      </c>
      <c r="K46" s="125" t="s">
        <v>53</v>
      </c>
      <c r="O46" s="125" t="s">
        <v>74</v>
      </c>
    </row>
    <row r="47" ht="14.25" customHeight="1">
      <c r="B47" s="125" t="s">
        <v>288</v>
      </c>
      <c r="C47" s="125" t="s">
        <v>117</v>
      </c>
      <c r="D47" s="125" t="s">
        <v>287</v>
      </c>
      <c r="F47" s="125">
        <v>2.5</v>
      </c>
      <c r="H47" s="125" t="s">
        <v>25</v>
      </c>
      <c r="M47" s="125" t="s">
        <v>129</v>
      </c>
      <c r="O47" s="125" t="s">
        <v>74</v>
      </c>
    </row>
    <row r="48" ht="14.25" customHeight="1">
      <c r="B48" s="125" t="s">
        <v>289</v>
      </c>
      <c r="C48" s="125" t="s">
        <v>290</v>
      </c>
      <c r="D48" s="125" t="s">
        <v>287</v>
      </c>
      <c r="F48" s="125">
        <v>1.0</v>
      </c>
      <c r="H48" s="125" t="s">
        <v>25</v>
      </c>
      <c r="K48" s="125" t="s">
        <v>53</v>
      </c>
      <c r="O48" s="125" t="s">
        <v>74</v>
      </c>
    </row>
    <row r="49" ht="14.25" customHeight="1">
      <c r="B49" s="125" t="s">
        <v>291</v>
      </c>
      <c r="C49" s="125" t="s">
        <v>292</v>
      </c>
      <c r="D49" s="125" t="s">
        <v>293</v>
      </c>
      <c r="F49" s="125">
        <v>2.5</v>
      </c>
      <c r="H49" s="125" t="s">
        <v>25</v>
      </c>
      <c r="K49" s="125" t="s">
        <v>53</v>
      </c>
      <c r="O49" s="125" t="s">
        <v>54</v>
      </c>
    </row>
    <row r="50" ht="14.25" customHeight="1">
      <c r="B50" s="125" t="s">
        <v>294</v>
      </c>
      <c r="C50" s="125" t="s">
        <v>295</v>
      </c>
      <c r="D50" s="125" t="s">
        <v>135</v>
      </c>
      <c r="F50" s="125">
        <v>1.9</v>
      </c>
      <c r="H50" s="125" t="s">
        <v>25</v>
      </c>
      <c r="M50" s="125" t="s">
        <v>129</v>
      </c>
      <c r="O50" s="125" t="s">
        <v>54</v>
      </c>
    </row>
    <row r="51" ht="14.25" customHeight="1">
      <c r="B51" s="125" t="s">
        <v>296</v>
      </c>
      <c r="C51" s="125" t="s">
        <v>297</v>
      </c>
      <c r="D51" s="125" t="s">
        <v>142</v>
      </c>
      <c r="F51" s="125">
        <v>0.9</v>
      </c>
      <c r="H51" s="125" t="s">
        <v>25</v>
      </c>
      <c r="M51" s="125" t="s">
        <v>129</v>
      </c>
      <c r="O51" s="125" t="s">
        <v>54</v>
      </c>
    </row>
    <row r="52" ht="14.25" customHeight="1">
      <c r="B52" s="125" t="s">
        <v>298</v>
      </c>
      <c r="C52" s="125" t="s">
        <v>299</v>
      </c>
      <c r="D52" s="125" t="s">
        <v>300</v>
      </c>
      <c r="F52" s="125">
        <v>1.5</v>
      </c>
      <c r="H52" s="125" t="s">
        <v>25</v>
      </c>
      <c r="K52" s="125" t="s">
        <v>168</v>
      </c>
      <c r="O52" s="125" t="s">
        <v>54</v>
      </c>
    </row>
    <row r="53" ht="14.25" customHeight="1">
      <c r="B53" s="125" t="s">
        <v>301</v>
      </c>
      <c r="C53" s="125" t="s">
        <v>302</v>
      </c>
      <c r="D53" s="125" t="s">
        <v>303</v>
      </c>
      <c r="F53" s="125">
        <v>1.0</v>
      </c>
      <c r="H53" s="125" t="s">
        <v>25</v>
      </c>
      <c r="M53" s="125" t="s">
        <v>304</v>
      </c>
      <c r="O53" s="125" t="s">
        <v>74</v>
      </c>
    </row>
    <row r="54" ht="14.25" customHeight="1">
      <c r="B54" s="125" t="s">
        <v>305</v>
      </c>
      <c r="C54" s="125" t="s">
        <v>306</v>
      </c>
      <c r="D54" s="125" t="s">
        <v>307</v>
      </c>
      <c r="F54" s="125">
        <v>0.6</v>
      </c>
      <c r="H54" s="125" t="s">
        <v>25</v>
      </c>
      <c r="K54" s="125" t="s">
        <v>148</v>
      </c>
      <c r="O54" s="125" t="s">
        <v>74</v>
      </c>
    </row>
    <row r="55" ht="14.25" customHeight="1">
      <c r="B55" s="125" t="s">
        <v>308</v>
      </c>
      <c r="C55" s="125" t="s">
        <v>309</v>
      </c>
      <c r="D55" s="125" t="s">
        <v>131</v>
      </c>
      <c r="F55" s="125">
        <v>1.5</v>
      </c>
      <c r="H55" s="125" t="s">
        <v>25</v>
      </c>
      <c r="K55" s="125" t="s">
        <v>148</v>
      </c>
      <c r="O55" s="125" t="s">
        <v>54</v>
      </c>
    </row>
    <row r="56" ht="14.25" customHeight="1">
      <c r="B56" s="125" t="s">
        <v>310</v>
      </c>
      <c r="C56" s="125" t="s">
        <v>311</v>
      </c>
      <c r="D56" s="125" t="s">
        <v>312</v>
      </c>
      <c r="F56" s="125">
        <v>1.0</v>
      </c>
      <c r="H56" s="125" t="s">
        <v>25</v>
      </c>
      <c r="I56" s="125" t="s">
        <v>196</v>
      </c>
      <c r="O56" s="125" t="s">
        <v>54</v>
      </c>
    </row>
    <row r="57" ht="14.25" customHeight="1">
      <c r="B57" s="125" t="s">
        <v>313</v>
      </c>
      <c r="C57" s="125" t="s">
        <v>314</v>
      </c>
      <c r="D57" s="125" t="s">
        <v>315</v>
      </c>
      <c r="F57" s="125">
        <v>1.0</v>
      </c>
      <c r="H57" s="125" t="s">
        <v>25</v>
      </c>
      <c r="K57" s="125" t="s">
        <v>53</v>
      </c>
      <c r="O57" s="125" t="s">
        <v>74</v>
      </c>
    </row>
    <row r="58" ht="14.25" customHeight="1">
      <c r="B58" s="125" t="s">
        <v>316</v>
      </c>
      <c r="C58" s="125" t="s">
        <v>317</v>
      </c>
      <c r="D58" s="125" t="s">
        <v>318</v>
      </c>
      <c r="F58" s="125">
        <v>1.0</v>
      </c>
      <c r="H58" s="125" t="s">
        <v>25</v>
      </c>
      <c r="K58" s="125" t="s">
        <v>172</v>
      </c>
      <c r="O58" s="125" t="s">
        <v>54</v>
      </c>
    </row>
    <row r="59" ht="14.25" customHeight="1">
      <c r="B59" s="125" t="s">
        <v>319</v>
      </c>
      <c r="C59" s="125" t="s">
        <v>320</v>
      </c>
      <c r="D59" s="125" t="s">
        <v>321</v>
      </c>
      <c r="F59" s="125">
        <v>2.0</v>
      </c>
      <c r="H59" s="125" t="s">
        <v>25</v>
      </c>
      <c r="K59" s="125" t="s">
        <v>172</v>
      </c>
      <c r="O59" s="125" t="s">
        <v>54</v>
      </c>
    </row>
    <row r="60" ht="14.25" customHeight="1">
      <c r="B60" s="125" t="s">
        <v>322</v>
      </c>
      <c r="C60" s="125" t="s">
        <v>323</v>
      </c>
      <c r="D60" s="125" t="s">
        <v>324</v>
      </c>
      <c r="F60" s="125">
        <v>1.0</v>
      </c>
      <c r="H60" s="125" t="s">
        <v>28</v>
      </c>
      <c r="K60" s="125" t="s">
        <v>53</v>
      </c>
      <c r="O60" s="125" t="s">
        <v>54</v>
      </c>
    </row>
    <row r="61" ht="14.25" customHeight="1">
      <c r="B61" s="125" t="s">
        <v>325</v>
      </c>
      <c r="C61" s="125" t="s">
        <v>326</v>
      </c>
      <c r="D61" s="125" t="s">
        <v>327</v>
      </c>
      <c r="F61" s="125">
        <v>1.0</v>
      </c>
      <c r="H61" s="125" t="s">
        <v>28</v>
      </c>
      <c r="K61" s="125" t="s">
        <v>172</v>
      </c>
      <c r="O61" s="125" t="s">
        <v>54</v>
      </c>
    </row>
    <row r="62" ht="14.25" customHeight="1">
      <c r="B62" s="125" t="s">
        <v>328</v>
      </c>
      <c r="C62" s="125" t="s">
        <v>329</v>
      </c>
      <c r="D62" s="125" t="s">
        <v>330</v>
      </c>
      <c r="F62" s="125">
        <v>1.0</v>
      </c>
      <c r="H62" s="125" t="s">
        <v>28</v>
      </c>
      <c r="I62" s="125" t="s">
        <v>179</v>
      </c>
      <c r="O62" s="125" t="s">
        <v>54</v>
      </c>
    </row>
    <row r="63" ht="14.25" customHeight="1">
      <c r="B63" s="125" t="s">
        <v>331</v>
      </c>
      <c r="C63" s="125" t="s">
        <v>332</v>
      </c>
      <c r="D63" s="125" t="s">
        <v>333</v>
      </c>
      <c r="F63" s="125">
        <v>1.0</v>
      </c>
      <c r="H63" s="125" t="s">
        <v>28</v>
      </c>
      <c r="K63" s="125" t="s">
        <v>155</v>
      </c>
      <c r="O63" s="125" t="s">
        <v>74</v>
      </c>
    </row>
    <row r="64" ht="14.25" customHeight="1">
      <c r="B64" s="125" t="s">
        <v>334</v>
      </c>
      <c r="C64" s="125" t="s">
        <v>335</v>
      </c>
      <c r="D64" s="125" t="s">
        <v>336</v>
      </c>
      <c r="F64" s="125">
        <v>3.0</v>
      </c>
      <c r="H64" s="125" t="s">
        <v>28</v>
      </c>
      <c r="K64" s="125" t="s">
        <v>53</v>
      </c>
      <c r="O64" s="125" t="s">
        <v>54</v>
      </c>
    </row>
    <row r="65" ht="14.25" customHeight="1">
      <c r="B65" s="125" t="s">
        <v>337</v>
      </c>
      <c r="C65" s="125" t="s">
        <v>338</v>
      </c>
      <c r="D65" s="125" t="s">
        <v>339</v>
      </c>
      <c r="F65" s="125">
        <v>0.7</v>
      </c>
      <c r="H65" s="125" t="s">
        <v>28</v>
      </c>
      <c r="K65" s="125" t="s">
        <v>53</v>
      </c>
      <c r="O65" s="125" t="s">
        <v>54</v>
      </c>
    </row>
    <row r="66" ht="14.25" customHeight="1">
      <c r="B66" s="125" t="s">
        <v>340</v>
      </c>
      <c r="C66" s="125" t="s">
        <v>341</v>
      </c>
      <c r="D66" s="125" t="s">
        <v>339</v>
      </c>
      <c r="F66" s="125">
        <v>1.6</v>
      </c>
      <c r="H66" s="125" t="s">
        <v>28</v>
      </c>
      <c r="K66" s="125" t="s">
        <v>155</v>
      </c>
      <c r="O66" s="125" t="s">
        <v>54</v>
      </c>
    </row>
    <row r="67" ht="14.25" customHeight="1">
      <c r="B67" s="125" t="s">
        <v>342</v>
      </c>
      <c r="C67" s="125" t="s">
        <v>343</v>
      </c>
      <c r="D67" s="125" t="s">
        <v>339</v>
      </c>
      <c r="F67" s="125">
        <v>0.7</v>
      </c>
      <c r="H67" s="125" t="s">
        <v>28</v>
      </c>
      <c r="K67" s="125" t="s">
        <v>155</v>
      </c>
      <c r="O67" s="125" t="s">
        <v>54</v>
      </c>
    </row>
    <row r="68" ht="14.25" customHeight="1">
      <c r="B68" s="125" t="s">
        <v>344</v>
      </c>
      <c r="C68" s="125" t="s">
        <v>345</v>
      </c>
      <c r="D68" s="125" t="s">
        <v>346</v>
      </c>
      <c r="F68" s="125">
        <v>0.7</v>
      </c>
      <c r="H68" s="125" t="s">
        <v>28</v>
      </c>
      <c r="I68" s="125" t="s">
        <v>347</v>
      </c>
      <c r="O68" s="125" t="s">
        <v>54</v>
      </c>
    </row>
    <row r="69" ht="14.25" customHeight="1">
      <c r="B69" s="125" t="s">
        <v>348</v>
      </c>
      <c r="C69" s="125" t="s">
        <v>349</v>
      </c>
      <c r="D69" s="125" t="s">
        <v>350</v>
      </c>
      <c r="F69" s="125">
        <v>2.0</v>
      </c>
      <c r="H69" s="125" t="s">
        <v>28</v>
      </c>
      <c r="K69" s="125" t="s">
        <v>53</v>
      </c>
      <c r="O69" s="125" t="s">
        <v>54</v>
      </c>
    </row>
    <row r="70" ht="14.25" customHeight="1">
      <c r="B70" s="125" t="s">
        <v>351</v>
      </c>
      <c r="C70" s="125" t="s">
        <v>352</v>
      </c>
      <c r="D70" s="125" t="s">
        <v>353</v>
      </c>
      <c r="F70" s="125">
        <v>2.5</v>
      </c>
      <c r="H70" s="125" t="s">
        <v>28</v>
      </c>
      <c r="I70" s="125" t="s">
        <v>179</v>
      </c>
      <c r="O70" s="125" t="s">
        <v>74</v>
      </c>
    </row>
    <row r="71" ht="14.25" customHeight="1">
      <c r="B71" s="125" t="s">
        <v>354</v>
      </c>
      <c r="C71" s="125" t="s">
        <v>355</v>
      </c>
      <c r="D71" s="125" t="s">
        <v>356</v>
      </c>
      <c r="F71" s="125">
        <v>1.0</v>
      </c>
      <c r="H71" s="125" t="s">
        <v>28</v>
      </c>
      <c r="K71" s="125" t="s">
        <v>155</v>
      </c>
      <c r="O71" s="125" t="s">
        <v>54</v>
      </c>
    </row>
    <row r="72" ht="14.25" customHeight="1">
      <c r="B72" s="125" t="s">
        <v>357</v>
      </c>
      <c r="C72" s="125" t="s">
        <v>358</v>
      </c>
      <c r="D72" s="125" t="s">
        <v>359</v>
      </c>
      <c r="F72" s="125">
        <v>1.0</v>
      </c>
      <c r="H72" s="125" t="s">
        <v>28</v>
      </c>
      <c r="I72" s="125" t="s">
        <v>347</v>
      </c>
      <c r="O72" s="125" t="s">
        <v>54</v>
      </c>
    </row>
    <row r="73" ht="14.25" customHeight="1">
      <c r="B73" s="125" t="s">
        <v>357</v>
      </c>
      <c r="C73" s="125" t="s">
        <v>360</v>
      </c>
      <c r="D73" s="125" t="s">
        <v>359</v>
      </c>
      <c r="E73" s="125" t="s">
        <v>86</v>
      </c>
      <c r="F73" s="125">
        <v>3.0</v>
      </c>
      <c r="H73" s="125" t="s">
        <v>28</v>
      </c>
      <c r="I73" s="125" t="s">
        <v>347</v>
      </c>
      <c r="O73" s="125" t="s">
        <v>54</v>
      </c>
    </row>
    <row r="74" ht="14.25" customHeight="1">
      <c r="B74" s="125" t="s">
        <v>233</v>
      </c>
      <c r="C74" s="125" t="s">
        <v>360</v>
      </c>
      <c r="D74" s="125" t="s">
        <v>359</v>
      </c>
      <c r="F74" s="125">
        <v>2.0</v>
      </c>
      <c r="H74" s="125" t="s">
        <v>28</v>
      </c>
      <c r="I74" s="125" t="s">
        <v>347</v>
      </c>
      <c r="O74" s="125" t="s">
        <v>54</v>
      </c>
    </row>
    <row r="75" ht="14.25" customHeight="1">
      <c r="B75" s="125" t="s">
        <v>361</v>
      </c>
      <c r="C75" s="125" t="s">
        <v>362</v>
      </c>
      <c r="D75" s="125" t="s">
        <v>363</v>
      </c>
      <c r="F75" s="125">
        <v>1.5</v>
      </c>
      <c r="H75" s="125" t="s">
        <v>28</v>
      </c>
      <c r="K75" s="125" t="s">
        <v>266</v>
      </c>
      <c r="O75" s="125" t="s">
        <v>54</v>
      </c>
    </row>
    <row r="76" ht="14.25" customHeight="1">
      <c r="B76" s="125" t="s">
        <v>364</v>
      </c>
      <c r="C76" s="125" t="s">
        <v>365</v>
      </c>
      <c r="D76" s="125" t="s">
        <v>366</v>
      </c>
      <c r="F76" s="125">
        <v>1.0</v>
      </c>
      <c r="H76" s="125" t="s">
        <v>28</v>
      </c>
      <c r="M76" s="125" t="s">
        <v>367</v>
      </c>
      <c r="O76" s="125" t="s">
        <v>54</v>
      </c>
    </row>
    <row r="77" ht="14.25" customHeight="1">
      <c r="B77" s="125" t="s">
        <v>368</v>
      </c>
      <c r="C77" s="125" t="s">
        <v>369</v>
      </c>
      <c r="D77" s="125" t="s">
        <v>370</v>
      </c>
      <c r="F77" s="125">
        <v>1.2</v>
      </c>
      <c r="H77" s="125" t="s">
        <v>28</v>
      </c>
      <c r="M77" s="125" t="s">
        <v>371</v>
      </c>
      <c r="O77" s="125" t="s">
        <v>54</v>
      </c>
    </row>
    <row r="78" ht="14.25" customHeight="1">
      <c r="B78" s="125" t="s">
        <v>372</v>
      </c>
      <c r="C78" s="125" t="s">
        <v>373</v>
      </c>
      <c r="D78" s="125" t="s">
        <v>374</v>
      </c>
      <c r="F78" s="125">
        <v>1.5</v>
      </c>
      <c r="H78" s="125" t="s">
        <v>29</v>
      </c>
      <c r="K78" s="125" t="s">
        <v>210</v>
      </c>
      <c r="O78" s="125" t="s">
        <v>74</v>
      </c>
    </row>
    <row r="79" ht="14.25" customHeight="1">
      <c r="B79" s="125" t="s">
        <v>375</v>
      </c>
      <c r="C79" s="125" t="s">
        <v>376</v>
      </c>
      <c r="D79" s="125" t="s">
        <v>374</v>
      </c>
      <c r="F79" s="125">
        <v>1.0</v>
      </c>
      <c r="H79" s="125" t="s">
        <v>29</v>
      </c>
      <c r="I79" s="125" t="s">
        <v>377</v>
      </c>
      <c r="O79" s="125" t="s">
        <v>54</v>
      </c>
    </row>
    <row r="80" ht="14.25" customHeight="1">
      <c r="B80" s="125" t="s">
        <v>378</v>
      </c>
      <c r="C80" s="125" t="s">
        <v>379</v>
      </c>
      <c r="D80" s="125" t="s">
        <v>380</v>
      </c>
      <c r="F80" s="125">
        <v>1.2</v>
      </c>
      <c r="H80" s="125" t="s">
        <v>29</v>
      </c>
      <c r="I80" s="125" t="s">
        <v>381</v>
      </c>
      <c r="O80" s="125" t="s">
        <v>54</v>
      </c>
    </row>
    <row r="81" ht="14.25" customHeight="1">
      <c r="B81" s="125" t="s">
        <v>382</v>
      </c>
      <c r="C81" s="125" t="s">
        <v>383</v>
      </c>
      <c r="D81" s="125" t="s">
        <v>384</v>
      </c>
      <c r="F81" s="125">
        <v>2.2</v>
      </c>
      <c r="H81" s="125" t="s">
        <v>29</v>
      </c>
      <c r="K81" s="125" t="s">
        <v>210</v>
      </c>
      <c r="O81" s="125" t="s">
        <v>54</v>
      </c>
    </row>
    <row r="82" ht="14.25" customHeight="1">
      <c r="B82" s="125" t="s">
        <v>252</v>
      </c>
      <c r="C82" s="125" t="s">
        <v>385</v>
      </c>
      <c r="D82" s="125" t="s">
        <v>386</v>
      </c>
      <c r="F82" s="125">
        <v>1.0</v>
      </c>
      <c r="H82" s="125" t="s">
        <v>29</v>
      </c>
      <c r="K82" s="125" t="s">
        <v>210</v>
      </c>
      <c r="O82" s="125" t="s">
        <v>54</v>
      </c>
    </row>
    <row r="83" ht="14.25" customHeight="1">
      <c r="B83" s="125" t="s">
        <v>387</v>
      </c>
      <c r="C83" s="125" t="s">
        <v>388</v>
      </c>
      <c r="D83" s="125" t="s">
        <v>389</v>
      </c>
      <c r="F83" s="125">
        <v>1.2</v>
      </c>
      <c r="H83" s="125" t="s">
        <v>29</v>
      </c>
      <c r="K83" s="125" t="s">
        <v>210</v>
      </c>
      <c r="O83" s="125" t="s">
        <v>54</v>
      </c>
    </row>
    <row r="84" ht="14.25" customHeight="1">
      <c r="B84" s="125" t="s">
        <v>390</v>
      </c>
      <c r="C84" s="125" t="s">
        <v>391</v>
      </c>
      <c r="D84" s="125" t="s">
        <v>392</v>
      </c>
      <c r="F84" s="125">
        <v>1.6</v>
      </c>
      <c r="H84" s="125" t="s">
        <v>29</v>
      </c>
      <c r="K84" s="125" t="s">
        <v>210</v>
      </c>
      <c r="O84" s="125" t="s">
        <v>54</v>
      </c>
    </row>
    <row r="85" ht="14.25" customHeight="1">
      <c r="B85" s="125" t="s">
        <v>393</v>
      </c>
      <c r="C85" s="125" t="s">
        <v>394</v>
      </c>
      <c r="D85" s="125" t="s">
        <v>395</v>
      </c>
      <c r="F85" s="125">
        <v>2.0</v>
      </c>
      <c r="H85" s="125" t="s">
        <v>30</v>
      </c>
      <c r="K85" s="125" t="s">
        <v>266</v>
      </c>
      <c r="O85" s="125" t="s">
        <v>74</v>
      </c>
    </row>
    <row r="86" ht="14.25" customHeight="1">
      <c r="B86" s="125" t="s">
        <v>396</v>
      </c>
      <c r="C86" s="125" t="s">
        <v>397</v>
      </c>
      <c r="D86" s="125" t="s">
        <v>398</v>
      </c>
      <c r="F86" s="125">
        <v>1.0</v>
      </c>
      <c r="H86" s="125" t="s">
        <v>30</v>
      </c>
      <c r="K86" s="125" t="s">
        <v>266</v>
      </c>
      <c r="O86" s="125" t="s">
        <v>74</v>
      </c>
    </row>
    <row r="87" ht="14.25" customHeight="1">
      <c r="B87" s="125" t="s">
        <v>399</v>
      </c>
      <c r="C87" s="125" t="s">
        <v>400</v>
      </c>
      <c r="D87" s="125" t="s">
        <v>401</v>
      </c>
      <c r="F87" s="125">
        <v>1.0</v>
      </c>
      <c r="H87" s="125" t="s">
        <v>30</v>
      </c>
      <c r="K87" s="125" t="s">
        <v>266</v>
      </c>
      <c r="O87" s="125" t="s">
        <v>74</v>
      </c>
    </row>
    <row r="88" ht="14.25" customHeight="1">
      <c r="B88" s="125" t="s">
        <v>402</v>
      </c>
      <c r="C88" s="125" t="s">
        <v>403</v>
      </c>
      <c r="D88" s="125" t="s">
        <v>404</v>
      </c>
      <c r="F88" s="125">
        <v>1.0</v>
      </c>
      <c r="H88" s="125" t="s">
        <v>30</v>
      </c>
      <c r="K88" s="125" t="s">
        <v>266</v>
      </c>
      <c r="O88" s="125" t="s">
        <v>74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C$88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405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34</v>
      </c>
      <c r="C11" s="50">
        <f t="shared" si="1"/>
        <v>5</v>
      </c>
      <c r="D11" s="51">
        <f t="shared" si="1"/>
        <v>0</v>
      </c>
      <c r="E11" s="51">
        <f t="shared" si="1"/>
        <v>17.5</v>
      </c>
      <c r="F11" s="51">
        <f t="shared" si="1"/>
        <v>0</v>
      </c>
      <c r="G11" s="51">
        <f t="shared" si="1"/>
        <v>0.7</v>
      </c>
      <c r="H11" s="52">
        <f t="shared" si="1"/>
        <v>0</v>
      </c>
      <c r="I11" s="53">
        <f t="shared" si="1"/>
        <v>0</v>
      </c>
      <c r="J11" s="51">
        <f t="shared" si="1"/>
        <v>0</v>
      </c>
      <c r="K11" s="51">
        <f t="shared" si="1"/>
        <v>19.1</v>
      </c>
      <c r="L11" s="51">
        <f t="shared" si="1"/>
        <v>0</v>
      </c>
      <c r="M11" s="54">
        <f t="shared" si="1"/>
        <v>3.5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22.6</v>
      </c>
      <c r="R11" s="50">
        <f t="shared" si="1"/>
        <v>5</v>
      </c>
      <c r="S11" s="51">
        <f t="shared" si="1"/>
        <v>0</v>
      </c>
      <c r="T11" s="51">
        <f t="shared" si="1"/>
        <v>36.6</v>
      </c>
      <c r="U11" s="51">
        <f t="shared" si="1"/>
        <v>0</v>
      </c>
      <c r="V11" s="51">
        <f t="shared" si="1"/>
        <v>4.2</v>
      </c>
      <c r="W11" s="52">
        <f t="shared" si="1"/>
        <v>45.8</v>
      </c>
      <c r="X11" s="56"/>
      <c r="Y11" s="57"/>
      <c r="Z11" s="57"/>
    </row>
    <row r="12" ht="14.25" customHeight="1">
      <c r="A12" s="58" t="s">
        <v>20</v>
      </c>
      <c r="B12" s="79">
        <v>0.0</v>
      </c>
      <c r="C12" s="62"/>
      <c r="D12" s="80"/>
      <c r="E12" s="80"/>
      <c r="F12" s="80"/>
      <c r="G12" s="80"/>
      <c r="H12" s="59"/>
      <c r="I12" s="60"/>
      <c r="J12" s="80"/>
      <c r="K12" s="80"/>
      <c r="L12" s="80"/>
      <c r="M12" s="83"/>
      <c r="N12" s="62"/>
      <c r="O12" s="80"/>
      <c r="P12" s="59"/>
      <c r="Q12" s="61">
        <f t="shared" ref="Q12:Q22" si="4">SUM(I12:P12)</f>
        <v>0</v>
      </c>
      <c r="R12" s="62">
        <f t="shared" ref="R12:S12" si="2">C12+I12</f>
        <v>0</v>
      </c>
      <c r="S12" s="80">
        <f t="shared" si="2"/>
        <v>0</v>
      </c>
      <c r="T12" s="80">
        <f t="shared" ref="T12:V12" si="3">E12+K12+N12</f>
        <v>0</v>
      </c>
      <c r="U12" s="80">
        <f t="shared" si="3"/>
        <v>0</v>
      </c>
      <c r="V12" s="80">
        <f t="shared" si="3"/>
        <v>0</v>
      </c>
      <c r="W12" s="59">
        <f t="shared" ref="W12:W22" si="7">SUM(R12:V12)</f>
        <v>0</v>
      </c>
      <c r="X12" s="64"/>
    </row>
    <row r="13" ht="14.25" customHeight="1">
      <c r="A13" s="58" t="s">
        <v>21</v>
      </c>
      <c r="B13" s="79">
        <v>9.0</v>
      </c>
      <c r="C13" s="88">
        <v>5.0</v>
      </c>
      <c r="D13" s="80"/>
      <c r="E13" s="85">
        <v>2.5</v>
      </c>
      <c r="F13" s="80"/>
      <c r="G13" s="80"/>
      <c r="H13" s="59"/>
      <c r="I13" s="60"/>
      <c r="J13" s="80"/>
      <c r="K13" s="85">
        <v>3.0</v>
      </c>
      <c r="L13" s="80"/>
      <c r="M13" s="83"/>
      <c r="N13" s="62"/>
      <c r="O13" s="80"/>
      <c r="P13" s="59"/>
      <c r="Q13" s="61">
        <f t="shared" si="4"/>
        <v>3</v>
      </c>
      <c r="R13" s="62">
        <f t="shared" ref="R13:S13" si="5">C13+I13</f>
        <v>5</v>
      </c>
      <c r="S13" s="80">
        <f t="shared" si="5"/>
        <v>0</v>
      </c>
      <c r="T13" s="80">
        <f t="shared" ref="T13:V13" si="6">E13+K13+N13</f>
        <v>5.5</v>
      </c>
      <c r="U13" s="80">
        <f t="shared" si="6"/>
        <v>0</v>
      </c>
      <c r="V13" s="80">
        <f t="shared" si="6"/>
        <v>0</v>
      </c>
      <c r="W13" s="59">
        <f t="shared" si="7"/>
        <v>10.5</v>
      </c>
      <c r="X13" s="64"/>
    </row>
    <row r="14" ht="14.25" customHeight="1">
      <c r="A14" s="58" t="s">
        <v>22</v>
      </c>
      <c r="B14" s="79">
        <v>0.0</v>
      </c>
      <c r="C14" s="62"/>
      <c r="D14" s="80"/>
      <c r="E14" s="80"/>
      <c r="F14" s="80"/>
      <c r="G14" s="80"/>
      <c r="H14" s="59"/>
      <c r="I14" s="60"/>
      <c r="J14" s="80"/>
      <c r="K14" s="80"/>
      <c r="L14" s="80"/>
      <c r="M14" s="83"/>
      <c r="N14" s="62"/>
      <c r="O14" s="80"/>
      <c r="P14" s="59"/>
      <c r="Q14" s="61">
        <f t="shared" si="4"/>
        <v>0</v>
      </c>
      <c r="R14" s="62">
        <f t="shared" ref="R14:S14" si="8">C14+I14</f>
        <v>0</v>
      </c>
      <c r="S14" s="80">
        <f t="shared" si="8"/>
        <v>0</v>
      </c>
      <c r="T14" s="80">
        <f t="shared" ref="T14:V14" si="9">E14+K14+N14</f>
        <v>0</v>
      </c>
      <c r="U14" s="80">
        <f t="shared" si="9"/>
        <v>0</v>
      </c>
      <c r="V14" s="80">
        <f t="shared" si="9"/>
        <v>0</v>
      </c>
      <c r="W14" s="59">
        <f t="shared" si="7"/>
        <v>0</v>
      </c>
      <c r="X14" s="64"/>
    </row>
    <row r="15" ht="14.25" customHeight="1">
      <c r="A15" s="58" t="s">
        <v>23</v>
      </c>
      <c r="B15" s="79">
        <v>0.0</v>
      </c>
      <c r="C15" s="62"/>
      <c r="D15" s="80"/>
      <c r="E15" s="80"/>
      <c r="F15" s="80"/>
      <c r="G15" s="80"/>
      <c r="H15" s="59"/>
      <c r="I15" s="60"/>
      <c r="J15" s="80"/>
      <c r="K15" s="80"/>
      <c r="L15" s="80"/>
      <c r="M15" s="83"/>
      <c r="N15" s="62"/>
      <c r="O15" s="80"/>
      <c r="P15" s="59"/>
      <c r="Q15" s="61">
        <f t="shared" si="4"/>
        <v>0</v>
      </c>
      <c r="R15" s="62">
        <f t="shared" ref="R15:S15" si="10">C15+I15</f>
        <v>0</v>
      </c>
      <c r="S15" s="80">
        <f t="shared" si="10"/>
        <v>0</v>
      </c>
      <c r="T15" s="80">
        <f t="shared" ref="T15:V15" si="11">E15+K15+N15</f>
        <v>0</v>
      </c>
      <c r="U15" s="80">
        <f t="shared" si="11"/>
        <v>0</v>
      </c>
      <c r="V15" s="80">
        <f t="shared" si="11"/>
        <v>0</v>
      </c>
      <c r="W15" s="59">
        <f t="shared" si="7"/>
        <v>0</v>
      </c>
      <c r="X15" s="64"/>
    </row>
    <row r="16" ht="14.25" customHeight="1">
      <c r="A16" s="58" t="s">
        <v>24</v>
      </c>
      <c r="B16" s="79">
        <v>6.0</v>
      </c>
      <c r="C16" s="62"/>
      <c r="D16" s="80"/>
      <c r="E16" s="85">
        <v>4.4</v>
      </c>
      <c r="F16" s="80"/>
      <c r="G16" s="80"/>
      <c r="H16" s="59"/>
      <c r="I16" s="60"/>
      <c r="J16" s="80"/>
      <c r="K16" s="85">
        <v>4.3</v>
      </c>
      <c r="L16" s="80"/>
      <c r="M16" s="86">
        <v>1.7</v>
      </c>
      <c r="N16" s="62"/>
      <c r="O16" s="80"/>
      <c r="P16" s="59"/>
      <c r="Q16" s="61">
        <f t="shared" si="4"/>
        <v>6</v>
      </c>
      <c r="R16" s="62">
        <f t="shared" ref="R16:S16" si="12">C16+I16</f>
        <v>0</v>
      </c>
      <c r="S16" s="80">
        <f t="shared" si="12"/>
        <v>0</v>
      </c>
      <c r="T16" s="80">
        <f t="shared" ref="T16:V16" si="13">E16+K16+N16</f>
        <v>8.7</v>
      </c>
      <c r="U16" s="80">
        <f t="shared" si="13"/>
        <v>0</v>
      </c>
      <c r="V16" s="80">
        <f t="shared" si="13"/>
        <v>1.7</v>
      </c>
      <c r="W16" s="59">
        <f t="shared" si="7"/>
        <v>10.4</v>
      </c>
      <c r="X16" s="64"/>
    </row>
    <row r="17" ht="14.25" customHeight="1">
      <c r="A17" s="58" t="s">
        <v>25</v>
      </c>
      <c r="B17" s="79">
        <v>8.0</v>
      </c>
      <c r="C17" s="62"/>
      <c r="D17" s="80"/>
      <c r="E17" s="85">
        <v>5.4</v>
      </c>
      <c r="F17" s="80"/>
      <c r="G17" s="80"/>
      <c r="H17" s="59"/>
      <c r="I17" s="60"/>
      <c r="J17" s="80"/>
      <c r="K17" s="85">
        <v>4.1</v>
      </c>
      <c r="L17" s="80"/>
      <c r="M17" s="86">
        <v>1.8</v>
      </c>
      <c r="N17" s="62"/>
      <c r="O17" s="80"/>
      <c r="P17" s="59"/>
      <c r="Q17" s="61">
        <f t="shared" si="4"/>
        <v>5.9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9.5</v>
      </c>
      <c r="U17" s="80">
        <f t="shared" si="15"/>
        <v>0</v>
      </c>
      <c r="V17" s="80">
        <f t="shared" si="15"/>
        <v>1.8</v>
      </c>
      <c r="W17" s="59">
        <f t="shared" si="7"/>
        <v>11.3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0"/>
      <c r="H18" s="59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0.0</v>
      </c>
      <c r="C19" s="62"/>
      <c r="D19" s="80"/>
      <c r="E19" s="80"/>
      <c r="F19" s="80"/>
      <c r="G19" s="80"/>
      <c r="H19" s="59"/>
      <c r="I19" s="60"/>
      <c r="J19" s="80"/>
      <c r="K19" s="80"/>
      <c r="L19" s="80"/>
      <c r="M19" s="83"/>
      <c r="N19" s="62"/>
      <c r="O19" s="80"/>
      <c r="P19" s="59"/>
      <c r="Q19" s="61">
        <f t="shared" si="4"/>
        <v>0</v>
      </c>
      <c r="R19" s="62">
        <f t="shared" ref="R19:S19" si="18">C19+I19</f>
        <v>0</v>
      </c>
      <c r="S19" s="80">
        <f t="shared" si="18"/>
        <v>0</v>
      </c>
      <c r="T19" s="80">
        <f t="shared" ref="T19:V19" si="19">E19+K19+N19</f>
        <v>0</v>
      </c>
      <c r="U19" s="80">
        <f t="shared" si="19"/>
        <v>0</v>
      </c>
      <c r="V19" s="80">
        <f t="shared" si="19"/>
        <v>0</v>
      </c>
      <c r="W19" s="59">
        <f t="shared" si="7"/>
        <v>0</v>
      </c>
      <c r="X19" s="64"/>
    </row>
    <row r="20" ht="14.25" customHeight="1">
      <c r="A20" s="58" t="s">
        <v>28</v>
      </c>
      <c r="B20" s="79">
        <v>1.0</v>
      </c>
      <c r="C20" s="62"/>
      <c r="D20" s="80"/>
      <c r="E20" s="80"/>
      <c r="F20" s="80"/>
      <c r="G20" s="85">
        <v>0.7</v>
      </c>
      <c r="H20" s="59"/>
      <c r="I20" s="60"/>
      <c r="J20" s="80"/>
      <c r="K20" s="80"/>
      <c r="L20" s="80"/>
      <c r="M20" s="83"/>
      <c r="N20" s="62"/>
      <c r="O20" s="80"/>
      <c r="P20" s="59"/>
      <c r="Q20" s="61">
        <f t="shared" si="4"/>
        <v>0</v>
      </c>
      <c r="R20" s="62">
        <f t="shared" ref="R20:S20" si="20">C20+I20</f>
        <v>0</v>
      </c>
      <c r="S20" s="80">
        <f t="shared" si="20"/>
        <v>0</v>
      </c>
      <c r="T20" s="80">
        <f t="shared" ref="T20:V20" si="21">E20+K20+N20</f>
        <v>0</v>
      </c>
      <c r="U20" s="80">
        <f t="shared" si="21"/>
        <v>0</v>
      </c>
      <c r="V20" s="80">
        <f t="shared" si="21"/>
        <v>0.7</v>
      </c>
      <c r="W20" s="59">
        <f t="shared" si="7"/>
        <v>0.7</v>
      </c>
      <c r="X20" s="64"/>
    </row>
    <row r="21" ht="14.25" customHeight="1">
      <c r="A21" s="58" t="s">
        <v>29</v>
      </c>
      <c r="B21" s="79">
        <v>3.0</v>
      </c>
      <c r="C21" s="62"/>
      <c r="D21" s="80"/>
      <c r="E21" s="85">
        <v>4.4</v>
      </c>
      <c r="F21" s="80"/>
      <c r="G21" s="80"/>
      <c r="H21" s="59"/>
      <c r="I21" s="60"/>
      <c r="J21" s="80"/>
      <c r="K21" s="85">
        <v>1.7</v>
      </c>
      <c r="L21" s="80"/>
      <c r="M21" s="83"/>
      <c r="N21" s="62"/>
      <c r="O21" s="80"/>
      <c r="P21" s="59"/>
      <c r="Q21" s="61">
        <f t="shared" si="4"/>
        <v>1.7</v>
      </c>
      <c r="R21" s="62">
        <f t="shared" ref="R21:S21" si="22">C21+I21</f>
        <v>0</v>
      </c>
      <c r="S21" s="80">
        <f t="shared" si="22"/>
        <v>0</v>
      </c>
      <c r="T21" s="80">
        <f t="shared" ref="T21:V21" si="23">E21+K21+N21</f>
        <v>6.1</v>
      </c>
      <c r="U21" s="80">
        <f t="shared" si="23"/>
        <v>0</v>
      </c>
      <c r="V21" s="80">
        <f t="shared" si="23"/>
        <v>0</v>
      </c>
      <c r="W21" s="59">
        <f t="shared" si="7"/>
        <v>6.1</v>
      </c>
      <c r="X21" s="64"/>
    </row>
    <row r="22" ht="14.25" customHeight="1">
      <c r="A22" s="58" t="s">
        <v>30</v>
      </c>
      <c r="B22" s="79">
        <v>7.0</v>
      </c>
      <c r="C22" s="62"/>
      <c r="D22" s="80"/>
      <c r="E22" s="85">
        <v>0.8</v>
      </c>
      <c r="F22" s="80"/>
      <c r="G22" s="80"/>
      <c r="H22" s="59"/>
      <c r="I22" s="60"/>
      <c r="J22" s="80"/>
      <c r="K22" s="85">
        <v>6.0</v>
      </c>
      <c r="L22" s="80"/>
      <c r="M22" s="83"/>
      <c r="N22" s="62"/>
      <c r="O22" s="80"/>
      <c r="P22" s="59"/>
      <c r="Q22" s="61">
        <f t="shared" si="4"/>
        <v>6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6.8</v>
      </c>
      <c r="U22" s="80">
        <f t="shared" si="25"/>
        <v>0</v>
      </c>
      <c r="V22" s="80">
        <f t="shared" si="25"/>
        <v>0</v>
      </c>
      <c r="W22" s="59">
        <f t="shared" si="7"/>
        <v>6.8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2" width="14.88"/>
    <col customWidth="1" min="3" max="3" width="17.25"/>
    <col customWidth="1" min="4" max="4" width="16.38"/>
    <col customWidth="1" min="5" max="5" width="7.25"/>
    <col customWidth="1" min="6" max="6" width="10.0"/>
    <col customWidth="1" min="7" max="7" width="13.25"/>
    <col customWidth="1" min="8" max="8" width="14.0"/>
    <col customWidth="1" min="9" max="13" width="10.0"/>
    <col customWidth="1" min="14" max="14" width="9.88"/>
    <col customWidth="1" min="15" max="15" width="10.13"/>
    <col customWidth="1" min="16" max="16" width="6.25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91"/>
      <c r="J5" s="91"/>
      <c r="K5" s="91"/>
      <c r="L5" s="91"/>
      <c r="M5" s="91"/>
      <c r="N5" s="91"/>
      <c r="O5" s="91"/>
    </row>
    <row r="6" ht="14.25" customHeight="1">
      <c r="A6" s="95" t="s">
        <v>406</v>
      </c>
      <c r="B6" s="96"/>
      <c r="C6" s="95"/>
      <c r="D6" s="95"/>
      <c r="E6" s="95"/>
      <c r="F6" s="95"/>
      <c r="G6" s="95"/>
      <c r="H6" s="95"/>
      <c r="I6" s="138" t="s">
        <v>188</v>
      </c>
      <c r="J6" s="97"/>
      <c r="K6" s="138" t="s">
        <v>189</v>
      </c>
      <c r="L6" s="97"/>
      <c r="M6" s="138" t="s">
        <v>190</v>
      </c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407</v>
      </c>
      <c r="C9" s="118" t="s">
        <v>408</v>
      </c>
      <c r="D9" s="118" t="s">
        <v>212</v>
      </c>
      <c r="E9" s="117"/>
      <c r="F9" s="118">
        <v>2.0</v>
      </c>
      <c r="G9" s="117"/>
      <c r="H9" s="118" t="s">
        <v>21</v>
      </c>
      <c r="I9" s="137"/>
      <c r="J9" s="120"/>
      <c r="K9" s="137" t="s">
        <v>53</v>
      </c>
      <c r="L9" s="120"/>
      <c r="M9" s="120"/>
      <c r="N9" s="120"/>
      <c r="O9" s="121" t="s">
        <v>74</v>
      </c>
      <c r="P9" s="125" t="s">
        <v>189</v>
      </c>
    </row>
    <row r="10" ht="14.25" customHeight="1">
      <c r="A10" s="117"/>
      <c r="B10" s="118" t="s">
        <v>409</v>
      </c>
      <c r="C10" s="118" t="s">
        <v>410</v>
      </c>
      <c r="D10" s="118" t="s">
        <v>212</v>
      </c>
      <c r="E10" s="117"/>
      <c r="F10" s="118">
        <v>1.0</v>
      </c>
      <c r="G10" s="117"/>
      <c r="H10" s="118" t="s">
        <v>21</v>
      </c>
      <c r="I10" s="137"/>
      <c r="J10" s="120"/>
      <c r="K10" s="137" t="s">
        <v>53</v>
      </c>
      <c r="L10" s="120"/>
      <c r="M10" s="120"/>
      <c r="N10" s="120"/>
      <c r="O10" s="121" t="s">
        <v>74</v>
      </c>
      <c r="P10" s="125" t="s">
        <v>189</v>
      </c>
    </row>
    <row r="11" ht="14.25" customHeight="1">
      <c r="A11" s="117" t="s">
        <v>19</v>
      </c>
      <c r="B11" s="118" t="s">
        <v>411</v>
      </c>
      <c r="C11" s="118" t="s">
        <v>412</v>
      </c>
      <c r="D11" s="118" t="s">
        <v>413</v>
      </c>
      <c r="E11" s="117"/>
      <c r="F11" s="118">
        <v>0.5</v>
      </c>
      <c r="G11" s="117"/>
      <c r="H11" s="118" t="s">
        <v>21</v>
      </c>
      <c r="I11" s="137"/>
      <c r="J11" s="120"/>
      <c r="K11" s="137" t="s">
        <v>53</v>
      </c>
      <c r="L11" s="120"/>
      <c r="M11" s="120"/>
      <c r="N11" s="120"/>
      <c r="O11" s="121" t="s">
        <v>54</v>
      </c>
      <c r="P11" s="125" t="s">
        <v>189</v>
      </c>
    </row>
    <row r="12" ht="14.25" customHeight="1">
      <c r="A12" s="117" t="s">
        <v>20</v>
      </c>
      <c r="B12" s="118" t="s">
        <v>414</v>
      </c>
      <c r="C12" s="118" t="s">
        <v>415</v>
      </c>
      <c r="D12" s="118" t="s">
        <v>416</v>
      </c>
      <c r="E12" s="117"/>
      <c r="F12" s="118">
        <v>1.0</v>
      </c>
      <c r="G12" s="117"/>
      <c r="H12" s="118" t="s">
        <v>21</v>
      </c>
      <c r="I12" s="137"/>
      <c r="J12" s="120"/>
      <c r="K12" s="137" t="s">
        <v>53</v>
      </c>
      <c r="L12" s="120"/>
      <c r="M12" s="120"/>
      <c r="N12" s="120"/>
      <c r="O12" s="121" t="s">
        <v>54</v>
      </c>
      <c r="P12" s="125" t="s">
        <v>189</v>
      </c>
    </row>
    <row r="13" ht="14.25" customHeight="1">
      <c r="A13" s="117" t="s">
        <v>21</v>
      </c>
      <c r="B13" s="118" t="s">
        <v>417</v>
      </c>
      <c r="C13" s="118" t="s">
        <v>418</v>
      </c>
      <c r="D13" s="118" t="s">
        <v>419</v>
      </c>
      <c r="E13" s="117"/>
      <c r="F13" s="118">
        <v>1.0</v>
      </c>
      <c r="G13" s="117"/>
      <c r="H13" s="118" t="s">
        <v>21</v>
      </c>
      <c r="I13" s="137" t="s">
        <v>196</v>
      </c>
      <c r="J13" s="120"/>
      <c r="K13" s="120"/>
      <c r="L13" s="120"/>
      <c r="M13" s="120"/>
      <c r="N13" s="120"/>
      <c r="O13" s="121" t="s">
        <v>54</v>
      </c>
      <c r="P13" s="125" t="s">
        <v>188</v>
      </c>
    </row>
    <row r="14" ht="14.25" customHeight="1">
      <c r="A14" s="117" t="s">
        <v>22</v>
      </c>
      <c r="B14" s="118" t="s">
        <v>64</v>
      </c>
      <c r="C14" s="118" t="s">
        <v>418</v>
      </c>
      <c r="D14" s="118" t="s">
        <v>419</v>
      </c>
      <c r="E14" s="117"/>
      <c r="F14" s="118">
        <v>1.0</v>
      </c>
      <c r="G14" s="117"/>
      <c r="H14" s="118" t="s">
        <v>21</v>
      </c>
      <c r="I14" s="137" t="s">
        <v>196</v>
      </c>
      <c r="J14" s="120"/>
      <c r="K14" s="120"/>
      <c r="L14" s="120"/>
      <c r="M14" s="120"/>
      <c r="N14" s="120"/>
      <c r="O14" s="121" t="s">
        <v>54</v>
      </c>
      <c r="P14" s="125" t="s">
        <v>188</v>
      </c>
    </row>
    <row r="15" ht="14.25" customHeight="1">
      <c r="A15" s="117" t="s">
        <v>23</v>
      </c>
      <c r="B15" s="118" t="s">
        <v>420</v>
      </c>
      <c r="C15" s="118" t="s">
        <v>421</v>
      </c>
      <c r="D15" s="118" t="s">
        <v>419</v>
      </c>
      <c r="E15" s="117"/>
      <c r="F15" s="118">
        <v>2.0</v>
      </c>
      <c r="G15" s="117"/>
      <c r="H15" s="118" t="s">
        <v>21</v>
      </c>
      <c r="I15" s="137" t="s">
        <v>196</v>
      </c>
      <c r="J15" s="120"/>
      <c r="K15" s="120"/>
      <c r="L15" s="120"/>
      <c r="M15" s="120"/>
      <c r="N15" s="120"/>
      <c r="O15" s="121" t="s">
        <v>54</v>
      </c>
      <c r="P15" s="125" t="s">
        <v>188</v>
      </c>
    </row>
    <row r="16" ht="14.25" customHeight="1">
      <c r="A16" s="117" t="s">
        <v>24</v>
      </c>
      <c r="B16" s="118" t="s">
        <v>422</v>
      </c>
      <c r="C16" s="118" t="s">
        <v>423</v>
      </c>
      <c r="D16" s="118" t="s">
        <v>424</v>
      </c>
      <c r="E16" s="117"/>
      <c r="F16" s="118">
        <v>1.0</v>
      </c>
      <c r="G16" s="117"/>
      <c r="H16" s="118" t="s">
        <v>21</v>
      </c>
      <c r="I16" s="137"/>
      <c r="J16" s="120"/>
      <c r="K16" s="137" t="s">
        <v>53</v>
      </c>
      <c r="L16" s="120"/>
      <c r="M16" s="120"/>
      <c r="N16" s="120"/>
      <c r="O16" s="121" t="s">
        <v>54</v>
      </c>
      <c r="P16" s="125" t="s">
        <v>189</v>
      </c>
    </row>
    <row r="17" ht="14.25" customHeight="1">
      <c r="A17" s="117" t="s">
        <v>25</v>
      </c>
      <c r="B17" s="118" t="s">
        <v>425</v>
      </c>
      <c r="C17" s="118" t="s">
        <v>419</v>
      </c>
      <c r="D17" s="118" t="s">
        <v>426</v>
      </c>
      <c r="E17" s="117"/>
      <c r="F17" s="118">
        <v>1.0</v>
      </c>
      <c r="G17" s="117"/>
      <c r="H17" s="118" t="s">
        <v>21</v>
      </c>
      <c r="I17" s="137" t="s">
        <v>196</v>
      </c>
      <c r="J17" s="120"/>
      <c r="K17" s="120"/>
      <c r="L17" s="120"/>
      <c r="M17" s="120"/>
      <c r="N17" s="120"/>
      <c r="O17" s="121" t="s">
        <v>54</v>
      </c>
      <c r="P17" s="125" t="s">
        <v>188</v>
      </c>
    </row>
    <row r="18" ht="14.25" customHeight="1">
      <c r="A18" s="117" t="s">
        <v>26</v>
      </c>
      <c r="B18" s="118" t="s">
        <v>427</v>
      </c>
      <c r="C18" s="118" t="s">
        <v>428</v>
      </c>
      <c r="D18" s="118" t="s">
        <v>429</v>
      </c>
      <c r="E18" s="117"/>
      <c r="F18" s="118">
        <v>0.8</v>
      </c>
      <c r="G18" s="117"/>
      <c r="H18" s="118" t="s">
        <v>24</v>
      </c>
      <c r="I18" s="137"/>
      <c r="J18" s="120"/>
      <c r="K18" s="137" t="s">
        <v>172</v>
      </c>
      <c r="L18" s="120"/>
      <c r="M18" s="120"/>
      <c r="N18" s="120"/>
      <c r="O18" s="121" t="s">
        <v>74</v>
      </c>
      <c r="P18" s="125" t="s">
        <v>189</v>
      </c>
    </row>
    <row r="19" ht="14.25" customHeight="1">
      <c r="A19" s="117" t="s">
        <v>27</v>
      </c>
      <c r="B19" s="118" t="s">
        <v>130</v>
      </c>
      <c r="C19" s="118" t="s">
        <v>430</v>
      </c>
      <c r="D19" s="118" t="s">
        <v>431</v>
      </c>
      <c r="E19" s="117"/>
      <c r="F19" s="118">
        <v>1.7</v>
      </c>
      <c r="G19" s="117"/>
      <c r="H19" s="118" t="s">
        <v>24</v>
      </c>
      <c r="I19" s="137"/>
      <c r="J19" s="120"/>
      <c r="K19" s="120"/>
      <c r="L19" s="120"/>
      <c r="M19" s="137" t="s">
        <v>432</v>
      </c>
      <c r="N19" s="120"/>
      <c r="O19" s="121" t="s">
        <v>74</v>
      </c>
      <c r="P19" s="125" t="s">
        <v>190</v>
      </c>
    </row>
    <row r="20" ht="14.25" customHeight="1">
      <c r="A20" s="117" t="s">
        <v>28</v>
      </c>
      <c r="B20" s="118" t="s">
        <v>433</v>
      </c>
      <c r="C20" s="118" t="s">
        <v>430</v>
      </c>
      <c r="D20" s="118" t="s">
        <v>431</v>
      </c>
      <c r="E20" s="117"/>
      <c r="F20" s="118">
        <v>1.8</v>
      </c>
      <c r="G20" s="117"/>
      <c r="H20" s="118" t="s">
        <v>24</v>
      </c>
      <c r="I20" s="137"/>
      <c r="J20" s="120"/>
      <c r="K20" s="137" t="s">
        <v>172</v>
      </c>
      <c r="L20" s="120"/>
      <c r="M20" s="120"/>
      <c r="N20" s="120"/>
      <c r="O20" s="121" t="s">
        <v>74</v>
      </c>
      <c r="P20" s="125" t="s">
        <v>189</v>
      </c>
    </row>
    <row r="21" ht="14.25" customHeight="1">
      <c r="A21" s="122" t="s">
        <v>29</v>
      </c>
      <c r="B21" s="123" t="s">
        <v>390</v>
      </c>
      <c r="C21" s="123" t="s">
        <v>434</v>
      </c>
      <c r="D21" s="123" t="s">
        <v>435</v>
      </c>
      <c r="E21" s="124"/>
      <c r="F21" s="123">
        <v>3.4</v>
      </c>
      <c r="G21" s="124"/>
      <c r="H21" s="123" t="s">
        <v>24</v>
      </c>
      <c r="I21" s="121"/>
      <c r="J21" s="120"/>
      <c r="K21" s="121" t="s">
        <v>172</v>
      </c>
      <c r="L21" s="120"/>
      <c r="M21" s="120"/>
      <c r="N21" s="120"/>
      <c r="O21" s="121" t="s">
        <v>54</v>
      </c>
      <c r="P21" s="125" t="s">
        <v>189</v>
      </c>
    </row>
    <row r="22" ht="14.25" customHeight="1">
      <c r="A22" s="122" t="s">
        <v>30</v>
      </c>
      <c r="B22" s="123" t="s">
        <v>436</v>
      </c>
      <c r="C22" s="123" t="s">
        <v>437</v>
      </c>
      <c r="D22" s="123" t="s">
        <v>438</v>
      </c>
      <c r="E22" s="124"/>
      <c r="F22" s="123">
        <v>1.0</v>
      </c>
      <c r="G22" s="124"/>
      <c r="H22" s="123" t="s">
        <v>24</v>
      </c>
      <c r="I22" s="121"/>
      <c r="J22" s="120"/>
      <c r="K22" s="121" t="s">
        <v>172</v>
      </c>
      <c r="L22" s="120"/>
      <c r="M22" s="120"/>
      <c r="N22" s="120"/>
      <c r="O22" s="121" t="s">
        <v>54</v>
      </c>
      <c r="P22" s="125" t="s">
        <v>189</v>
      </c>
    </row>
    <row r="23" ht="14.25" customHeight="1">
      <c r="B23" s="125" t="s">
        <v>439</v>
      </c>
      <c r="D23" s="125" t="s">
        <v>440</v>
      </c>
      <c r="F23" s="125">
        <v>1.7</v>
      </c>
      <c r="H23" s="125" t="s">
        <v>24</v>
      </c>
      <c r="K23" s="125" t="s">
        <v>172</v>
      </c>
      <c r="O23" s="125" t="s">
        <v>74</v>
      </c>
      <c r="P23" s="125" t="s">
        <v>189</v>
      </c>
    </row>
    <row r="24" ht="14.25" customHeight="1">
      <c r="B24" s="125" t="s">
        <v>441</v>
      </c>
      <c r="C24" s="125" t="s">
        <v>442</v>
      </c>
      <c r="D24" s="125" t="s">
        <v>443</v>
      </c>
      <c r="F24" s="125">
        <v>1.8</v>
      </c>
      <c r="H24" s="125" t="s">
        <v>25</v>
      </c>
      <c r="K24" s="125" t="s">
        <v>172</v>
      </c>
      <c r="O24" s="125" t="s">
        <v>54</v>
      </c>
      <c r="P24" s="125" t="s">
        <v>189</v>
      </c>
    </row>
    <row r="25" ht="14.25" customHeight="1">
      <c r="B25" s="125" t="s">
        <v>444</v>
      </c>
      <c r="C25" s="125" t="s">
        <v>445</v>
      </c>
      <c r="D25" s="125" t="s">
        <v>81</v>
      </c>
      <c r="F25" s="125">
        <v>0.7</v>
      </c>
      <c r="H25" s="125" t="s">
        <v>25</v>
      </c>
      <c r="M25" s="125" t="s">
        <v>133</v>
      </c>
      <c r="O25" s="125" t="s">
        <v>74</v>
      </c>
      <c r="P25" s="125" t="s">
        <v>190</v>
      </c>
    </row>
    <row r="26" ht="14.25" customHeight="1">
      <c r="A26" s="126">
        <f>-A29</f>
        <v>0</v>
      </c>
      <c r="B26" s="125" t="s">
        <v>446</v>
      </c>
      <c r="C26" s="125" t="s">
        <v>447</v>
      </c>
      <c r="D26" s="125" t="s">
        <v>448</v>
      </c>
      <c r="F26" s="125">
        <v>1.1</v>
      </c>
      <c r="H26" s="125" t="s">
        <v>25</v>
      </c>
      <c r="M26" s="125" t="s">
        <v>129</v>
      </c>
      <c r="O26" s="125" t="s">
        <v>74</v>
      </c>
      <c r="P26" s="125" t="s">
        <v>190</v>
      </c>
    </row>
    <row r="27" ht="14.25" customHeight="1">
      <c r="B27" s="125" t="s">
        <v>449</v>
      </c>
      <c r="C27" s="125" t="s">
        <v>450</v>
      </c>
      <c r="D27" s="125" t="s">
        <v>451</v>
      </c>
      <c r="F27" s="125">
        <v>1.2</v>
      </c>
      <c r="H27" s="125" t="s">
        <v>25</v>
      </c>
      <c r="K27" s="125" t="s">
        <v>172</v>
      </c>
      <c r="O27" s="125" t="s">
        <v>54</v>
      </c>
      <c r="P27" s="125" t="s">
        <v>189</v>
      </c>
    </row>
    <row r="28" ht="14.25" customHeight="1">
      <c r="B28" s="125" t="s">
        <v>452</v>
      </c>
      <c r="C28" s="125" t="s">
        <v>453</v>
      </c>
      <c r="D28" s="125" t="s">
        <v>454</v>
      </c>
      <c r="F28" s="125">
        <v>2.7</v>
      </c>
      <c r="H28" s="125" t="s">
        <v>25</v>
      </c>
      <c r="K28" s="125" t="s">
        <v>53</v>
      </c>
      <c r="O28" s="125" t="s">
        <v>74</v>
      </c>
      <c r="P28" s="125" t="s">
        <v>189</v>
      </c>
    </row>
    <row r="29" ht="14.25" customHeight="1">
      <c r="B29" s="125" t="s">
        <v>455</v>
      </c>
      <c r="C29" s="125" t="s">
        <v>312</v>
      </c>
      <c r="D29" s="125" t="s">
        <v>456</v>
      </c>
      <c r="F29" s="125">
        <v>0.9</v>
      </c>
      <c r="H29" s="125" t="s">
        <v>25</v>
      </c>
      <c r="K29" s="125" t="s">
        <v>53</v>
      </c>
      <c r="O29" s="125" t="s">
        <v>54</v>
      </c>
      <c r="P29" s="125" t="s">
        <v>189</v>
      </c>
    </row>
    <row r="30" ht="14.25" customHeight="1">
      <c r="B30" s="125" t="s">
        <v>457</v>
      </c>
      <c r="C30" s="125" t="s">
        <v>458</v>
      </c>
      <c r="D30" s="125" t="s">
        <v>459</v>
      </c>
      <c r="F30" s="125">
        <v>1.4</v>
      </c>
      <c r="H30" s="125" t="s">
        <v>25</v>
      </c>
      <c r="K30" s="125" t="s">
        <v>148</v>
      </c>
      <c r="O30" s="125" t="s">
        <v>74</v>
      </c>
      <c r="P30" s="125" t="s">
        <v>189</v>
      </c>
    </row>
    <row r="31" ht="14.25" customHeight="1">
      <c r="B31" s="125" t="s">
        <v>460</v>
      </c>
      <c r="C31" s="125" t="s">
        <v>461</v>
      </c>
      <c r="D31" s="125" t="s">
        <v>462</v>
      </c>
      <c r="F31" s="125">
        <v>1.5</v>
      </c>
      <c r="H31" s="125" t="s">
        <v>25</v>
      </c>
      <c r="K31" s="125" t="s">
        <v>168</v>
      </c>
      <c r="O31" s="125" t="s">
        <v>54</v>
      </c>
      <c r="P31" s="125" t="s">
        <v>189</v>
      </c>
    </row>
    <row r="32" ht="14.25" customHeight="1">
      <c r="B32" s="125" t="s">
        <v>463</v>
      </c>
      <c r="C32" s="125" t="s">
        <v>464</v>
      </c>
      <c r="D32" s="125" t="s">
        <v>465</v>
      </c>
      <c r="F32" s="125">
        <v>0.7</v>
      </c>
      <c r="H32" s="125" t="s">
        <v>28</v>
      </c>
      <c r="M32" s="125" t="s">
        <v>133</v>
      </c>
      <c r="O32" s="125" t="s">
        <v>54</v>
      </c>
      <c r="P32" s="125" t="s">
        <v>190</v>
      </c>
    </row>
    <row r="33" ht="14.25" customHeight="1">
      <c r="B33" s="125" t="s">
        <v>466</v>
      </c>
      <c r="C33" s="125" t="s">
        <v>467</v>
      </c>
      <c r="D33" s="125" t="s">
        <v>468</v>
      </c>
      <c r="F33" s="125">
        <v>1.7</v>
      </c>
      <c r="H33" s="125" t="s">
        <v>29</v>
      </c>
      <c r="K33" s="125" t="s">
        <v>172</v>
      </c>
      <c r="O33" s="125" t="s">
        <v>74</v>
      </c>
      <c r="P33" s="125" t="s">
        <v>189</v>
      </c>
    </row>
    <row r="34" ht="14.25" customHeight="1">
      <c r="B34" s="125" t="s">
        <v>469</v>
      </c>
      <c r="C34" s="125" t="s">
        <v>470</v>
      </c>
      <c r="D34" s="125" t="s">
        <v>468</v>
      </c>
      <c r="F34" s="125">
        <v>2.4</v>
      </c>
      <c r="H34" s="125" t="s">
        <v>29</v>
      </c>
      <c r="K34" s="125" t="s">
        <v>172</v>
      </c>
      <c r="O34" s="125" t="s">
        <v>54</v>
      </c>
      <c r="P34" s="125" t="s">
        <v>189</v>
      </c>
    </row>
    <row r="35" ht="14.25" customHeight="1">
      <c r="B35" s="125" t="s">
        <v>471</v>
      </c>
      <c r="C35" s="125" t="s">
        <v>472</v>
      </c>
      <c r="D35" s="125" t="s">
        <v>473</v>
      </c>
      <c r="F35" s="125">
        <v>2.0</v>
      </c>
      <c r="H35" s="125" t="s">
        <v>29</v>
      </c>
      <c r="K35" s="125" t="s">
        <v>172</v>
      </c>
      <c r="O35" s="125" t="s">
        <v>54</v>
      </c>
      <c r="P35" s="125" t="s">
        <v>189</v>
      </c>
    </row>
    <row r="36" ht="14.25" customHeight="1">
      <c r="B36" s="125" t="s">
        <v>393</v>
      </c>
      <c r="C36" s="125" t="s">
        <v>394</v>
      </c>
      <c r="D36" s="125" t="s">
        <v>395</v>
      </c>
      <c r="F36" s="125">
        <v>2.0</v>
      </c>
      <c r="H36" s="125" t="s">
        <v>30</v>
      </c>
      <c r="K36" s="125" t="s">
        <v>266</v>
      </c>
      <c r="O36" s="125" t="s">
        <v>74</v>
      </c>
      <c r="P36" s="125" t="s">
        <v>189</v>
      </c>
    </row>
    <row r="37" ht="14.25" customHeight="1">
      <c r="B37" s="125" t="s">
        <v>396</v>
      </c>
      <c r="C37" s="125" t="s">
        <v>397</v>
      </c>
      <c r="D37" s="125" t="s">
        <v>398</v>
      </c>
      <c r="F37" s="125">
        <v>1.0</v>
      </c>
      <c r="H37" s="125" t="s">
        <v>30</v>
      </c>
      <c r="K37" s="125" t="s">
        <v>266</v>
      </c>
      <c r="O37" s="125" t="s">
        <v>74</v>
      </c>
      <c r="P37" s="125" t="s">
        <v>189</v>
      </c>
    </row>
    <row r="38" ht="14.25" customHeight="1">
      <c r="B38" s="125" t="s">
        <v>474</v>
      </c>
      <c r="C38" s="125" t="s">
        <v>475</v>
      </c>
      <c r="D38" s="125" t="s">
        <v>476</v>
      </c>
      <c r="F38" s="125">
        <v>0.5</v>
      </c>
      <c r="H38" s="125" t="s">
        <v>30</v>
      </c>
      <c r="K38" s="125" t="s">
        <v>172</v>
      </c>
      <c r="O38" s="125" t="s">
        <v>54</v>
      </c>
      <c r="P38" s="125" t="s">
        <v>189</v>
      </c>
    </row>
    <row r="39" ht="14.25" customHeight="1">
      <c r="B39" s="125" t="s">
        <v>477</v>
      </c>
      <c r="C39" s="125" t="s">
        <v>478</v>
      </c>
      <c r="D39" s="125" t="s">
        <v>479</v>
      </c>
      <c r="F39" s="125">
        <v>0.3</v>
      </c>
      <c r="H39" s="125" t="s">
        <v>30</v>
      </c>
      <c r="K39" s="125" t="s">
        <v>480</v>
      </c>
      <c r="O39" s="125" t="s">
        <v>54</v>
      </c>
      <c r="P39" s="125" t="s">
        <v>189</v>
      </c>
    </row>
    <row r="40" ht="14.25" customHeight="1">
      <c r="B40" s="125" t="s">
        <v>399</v>
      </c>
      <c r="C40" s="125" t="s">
        <v>400</v>
      </c>
      <c r="D40" s="125" t="s">
        <v>401</v>
      </c>
      <c r="F40" s="125">
        <v>1.0</v>
      </c>
      <c r="H40" s="125" t="s">
        <v>30</v>
      </c>
      <c r="K40" s="125" t="s">
        <v>266</v>
      </c>
      <c r="O40" s="125" t="s">
        <v>74</v>
      </c>
      <c r="P40" s="125" t="s">
        <v>189</v>
      </c>
    </row>
    <row r="41" ht="14.25" customHeight="1">
      <c r="B41" s="125" t="s">
        <v>368</v>
      </c>
      <c r="C41" s="125" t="s">
        <v>481</v>
      </c>
      <c r="D41" s="125" t="s">
        <v>482</v>
      </c>
      <c r="F41" s="125">
        <v>1.0</v>
      </c>
      <c r="H41" s="125" t="s">
        <v>30</v>
      </c>
      <c r="K41" s="125" t="s">
        <v>53</v>
      </c>
      <c r="O41" s="125" t="s">
        <v>74</v>
      </c>
      <c r="P41" s="125" t="s">
        <v>189</v>
      </c>
    </row>
    <row r="42" ht="14.25" customHeight="1">
      <c r="B42" s="125" t="s">
        <v>402</v>
      </c>
      <c r="C42" s="125" t="s">
        <v>403</v>
      </c>
      <c r="D42" s="125" t="s">
        <v>404</v>
      </c>
      <c r="F42" s="125">
        <v>1.0</v>
      </c>
      <c r="H42" s="125" t="s">
        <v>30</v>
      </c>
      <c r="K42" s="125" t="s">
        <v>266</v>
      </c>
      <c r="O42" s="125" t="s">
        <v>74</v>
      </c>
      <c r="P42" s="125" t="s">
        <v>189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C$42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483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109</v>
      </c>
      <c r="C11" s="50">
        <f t="shared" si="1"/>
        <v>16</v>
      </c>
      <c r="D11" s="51">
        <f t="shared" si="1"/>
        <v>0</v>
      </c>
      <c r="E11" s="51">
        <f t="shared" si="1"/>
        <v>70.3</v>
      </c>
      <c r="F11" s="51">
        <f t="shared" si="1"/>
        <v>0</v>
      </c>
      <c r="G11" s="51">
        <f t="shared" si="1"/>
        <v>16.5</v>
      </c>
      <c r="H11" s="52">
        <f t="shared" si="1"/>
        <v>0</v>
      </c>
      <c r="I11" s="53">
        <f t="shared" si="1"/>
        <v>4.3</v>
      </c>
      <c r="J11" s="51">
        <f t="shared" si="1"/>
        <v>0</v>
      </c>
      <c r="K11" s="51">
        <f t="shared" si="1"/>
        <v>29.7</v>
      </c>
      <c r="L11" s="51">
        <f t="shared" si="1"/>
        <v>0</v>
      </c>
      <c r="M11" s="54">
        <f t="shared" si="1"/>
        <v>28.5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62.5</v>
      </c>
      <c r="R11" s="50">
        <f t="shared" si="1"/>
        <v>20.3</v>
      </c>
      <c r="S11" s="51">
        <f t="shared" si="1"/>
        <v>0</v>
      </c>
      <c r="T11" s="51">
        <f t="shared" si="1"/>
        <v>100</v>
      </c>
      <c r="U11" s="51">
        <f t="shared" si="1"/>
        <v>0</v>
      </c>
      <c r="V11" s="51">
        <f t="shared" si="1"/>
        <v>45</v>
      </c>
      <c r="W11" s="52">
        <f t="shared" si="1"/>
        <v>165.3</v>
      </c>
      <c r="X11" s="56"/>
      <c r="Y11" s="57"/>
      <c r="Z11" s="57"/>
    </row>
    <row r="12" ht="14.25" customHeight="1">
      <c r="A12" s="58" t="s">
        <v>20</v>
      </c>
      <c r="B12" s="79">
        <v>21.0</v>
      </c>
      <c r="C12" s="88">
        <v>1.2</v>
      </c>
      <c r="D12" s="80"/>
      <c r="E12" s="80"/>
      <c r="F12" s="80"/>
      <c r="G12" s="85">
        <v>0.6</v>
      </c>
      <c r="H12" s="59"/>
      <c r="I12" s="60"/>
      <c r="J12" s="80"/>
      <c r="K12" s="85">
        <v>7.4</v>
      </c>
      <c r="L12" s="80"/>
      <c r="M12" s="86">
        <v>14.3</v>
      </c>
      <c r="N12" s="62"/>
      <c r="O12" s="80"/>
      <c r="P12" s="59"/>
      <c r="Q12" s="61">
        <f t="shared" ref="Q12:Q22" si="4">SUM(I12:P12)</f>
        <v>21.7</v>
      </c>
      <c r="R12" s="62">
        <f t="shared" ref="R12:S12" si="2">C12+I12</f>
        <v>1.2</v>
      </c>
      <c r="S12" s="80">
        <f t="shared" si="2"/>
        <v>0</v>
      </c>
      <c r="T12" s="80">
        <f t="shared" ref="T12:V12" si="3">E12+K12+N12</f>
        <v>7.4</v>
      </c>
      <c r="U12" s="80">
        <f t="shared" si="3"/>
        <v>0</v>
      </c>
      <c r="V12" s="80">
        <f t="shared" si="3"/>
        <v>14.9</v>
      </c>
      <c r="W12" s="59">
        <f t="shared" ref="W12:W22" si="7">SUM(R12:V12)</f>
        <v>23.5</v>
      </c>
      <c r="X12" s="64"/>
    </row>
    <row r="13" ht="14.25" customHeight="1">
      <c r="A13" s="58" t="s">
        <v>21</v>
      </c>
      <c r="B13" s="79">
        <v>5.0</v>
      </c>
      <c r="C13" s="62"/>
      <c r="D13" s="80"/>
      <c r="E13" s="85">
        <v>9.0</v>
      </c>
      <c r="F13" s="80"/>
      <c r="G13" s="85">
        <v>1.0</v>
      </c>
      <c r="H13" s="59"/>
      <c r="I13" s="60"/>
      <c r="J13" s="80"/>
      <c r="K13" s="80"/>
      <c r="L13" s="80"/>
      <c r="M13" s="83"/>
      <c r="N13" s="62"/>
      <c r="O13" s="80"/>
      <c r="P13" s="59"/>
      <c r="Q13" s="61">
        <f t="shared" si="4"/>
        <v>0</v>
      </c>
      <c r="R13" s="62">
        <f t="shared" ref="R13:S13" si="5">C13+I13</f>
        <v>0</v>
      </c>
      <c r="S13" s="80">
        <f t="shared" si="5"/>
        <v>0</v>
      </c>
      <c r="T13" s="80">
        <f t="shared" ref="T13:V13" si="6">E13+K13+N13</f>
        <v>9</v>
      </c>
      <c r="U13" s="80">
        <f t="shared" si="6"/>
        <v>0</v>
      </c>
      <c r="V13" s="80">
        <f t="shared" si="6"/>
        <v>1</v>
      </c>
      <c r="W13" s="59">
        <f t="shared" si="7"/>
        <v>10</v>
      </c>
      <c r="X13" s="64"/>
    </row>
    <row r="14" ht="14.25" customHeight="1">
      <c r="A14" s="58" t="s">
        <v>22</v>
      </c>
      <c r="B14" s="79">
        <v>13.0</v>
      </c>
      <c r="C14" s="88">
        <v>13.6</v>
      </c>
      <c r="D14" s="80"/>
      <c r="E14" s="85">
        <v>7.5</v>
      </c>
      <c r="F14" s="80"/>
      <c r="G14" s="80"/>
      <c r="H14" s="59"/>
      <c r="I14" s="87">
        <v>2.3</v>
      </c>
      <c r="J14" s="80"/>
      <c r="K14" s="85">
        <v>1.8</v>
      </c>
      <c r="L14" s="80"/>
      <c r="M14" s="86">
        <v>3.0</v>
      </c>
      <c r="N14" s="62"/>
      <c r="O14" s="80"/>
      <c r="P14" s="59"/>
      <c r="Q14" s="61">
        <f t="shared" si="4"/>
        <v>7.1</v>
      </c>
      <c r="R14" s="62">
        <f t="shared" ref="R14:S14" si="8">C14+I14</f>
        <v>15.9</v>
      </c>
      <c r="S14" s="80">
        <f t="shared" si="8"/>
        <v>0</v>
      </c>
      <c r="T14" s="80">
        <f t="shared" ref="T14:V14" si="9">E14+K14+N14</f>
        <v>9.3</v>
      </c>
      <c r="U14" s="80">
        <f t="shared" si="9"/>
        <v>0</v>
      </c>
      <c r="V14" s="80">
        <f t="shared" si="9"/>
        <v>3</v>
      </c>
      <c r="W14" s="59">
        <f t="shared" si="7"/>
        <v>28.2</v>
      </c>
      <c r="X14" s="64"/>
    </row>
    <row r="15" ht="14.25" customHeight="1">
      <c r="A15" s="58" t="s">
        <v>23</v>
      </c>
      <c r="B15" s="58"/>
      <c r="C15" s="62"/>
      <c r="D15" s="80"/>
      <c r="E15" s="80"/>
      <c r="F15" s="80"/>
      <c r="G15" s="80"/>
      <c r="H15" s="59"/>
      <c r="I15" s="60"/>
      <c r="J15" s="80"/>
      <c r="K15" s="80"/>
      <c r="L15" s="80"/>
      <c r="M15" s="83"/>
      <c r="N15" s="62"/>
      <c r="O15" s="80"/>
      <c r="P15" s="59"/>
      <c r="Q15" s="61">
        <f t="shared" si="4"/>
        <v>0</v>
      </c>
      <c r="R15" s="62">
        <f t="shared" ref="R15:S15" si="10">C15+I15</f>
        <v>0</v>
      </c>
      <c r="S15" s="80">
        <f t="shared" si="10"/>
        <v>0</v>
      </c>
      <c r="T15" s="80">
        <f t="shared" ref="T15:V15" si="11">E15+K15+N15</f>
        <v>0</v>
      </c>
      <c r="U15" s="80">
        <f t="shared" si="11"/>
        <v>0</v>
      </c>
      <c r="V15" s="80">
        <f t="shared" si="11"/>
        <v>0</v>
      </c>
      <c r="W15" s="59">
        <f t="shared" si="7"/>
        <v>0</v>
      </c>
      <c r="X15" s="64"/>
    </row>
    <row r="16" ht="14.25" customHeight="1">
      <c r="A16" s="58" t="s">
        <v>24</v>
      </c>
      <c r="B16" s="79">
        <v>6.0</v>
      </c>
      <c r="C16" s="62"/>
      <c r="D16" s="80"/>
      <c r="E16" s="85">
        <v>4.0</v>
      </c>
      <c r="F16" s="80"/>
      <c r="G16" s="80"/>
      <c r="H16" s="59"/>
      <c r="I16" s="60"/>
      <c r="J16" s="80"/>
      <c r="K16" s="85">
        <v>5.1</v>
      </c>
      <c r="L16" s="80"/>
      <c r="M16" s="86">
        <v>1.2</v>
      </c>
      <c r="N16" s="62"/>
      <c r="O16" s="80"/>
      <c r="P16" s="59"/>
      <c r="Q16" s="61">
        <f t="shared" si="4"/>
        <v>6.3</v>
      </c>
      <c r="R16" s="62">
        <f t="shared" ref="R16:S16" si="12">C16+I16</f>
        <v>0</v>
      </c>
      <c r="S16" s="80">
        <f t="shared" si="12"/>
        <v>0</v>
      </c>
      <c r="T16" s="80">
        <f t="shared" ref="T16:V16" si="13">E16+K16+N16</f>
        <v>9.1</v>
      </c>
      <c r="U16" s="80">
        <f t="shared" si="13"/>
        <v>0</v>
      </c>
      <c r="V16" s="80">
        <f t="shared" si="13"/>
        <v>1.2</v>
      </c>
      <c r="W16" s="59">
        <f t="shared" si="7"/>
        <v>10.3</v>
      </c>
      <c r="X16" s="64"/>
    </row>
    <row r="17" ht="14.25" customHeight="1">
      <c r="A17" s="58" t="s">
        <v>25</v>
      </c>
      <c r="B17" s="79">
        <v>34.0</v>
      </c>
      <c r="C17" s="62"/>
      <c r="D17" s="80"/>
      <c r="E17" s="85">
        <v>29.2</v>
      </c>
      <c r="F17" s="80"/>
      <c r="G17" s="85">
        <v>4.6</v>
      </c>
      <c r="H17" s="59"/>
      <c r="I17" s="60"/>
      <c r="J17" s="80"/>
      <c r="K17" s="85">
        <v>6.0</v>
      </c>
      <c r="L17" s="80"/>
      <c r="M17" s="86">
        <v>4.0</v>
      </c>
      <c r="N17" s="62"/>
      <c r="O17" s="80"/>
      <c r="P17" s="59"/>
      <c r="Q17" s="61">
        <f t="shared" si="4"/>
        <v>10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35.2</v>
      </c>
      <c r="U17" s="80">
        <f t="shared" si="15"/>
        <v>0</v>
      </c>
      <c r="V17" s="80">
        <f t="shared" si="15"/>
        <v>8.6</v>
      </c>
      <c r="W17" s="59">
        <f t="shared" si="7"/>
        <v>43.8</v>
      </c>
      <c r="X17" s="64"/>
    </row>
    <row r="18" ht="14.25" customHeight="1">
      <c r="A18" s="58" t="s">
        <v>26</v>
      </c>
      <c r="B18" s="58"/>
      <c r="C18" s="62"/>
      <c r="D18" s="80"/>
      <c r="E18" s="80"/>
      <c r="F18" s="80"/>
      <c r="G18" s="80"/>
      <c r="H18" s="59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25.0</v>
      </c>
      <c r="C19" s="88">
        <v>1.2</v>
      </c>
      <c r="D19" s="80"/>
      <c r="E19" s="85">
        <v>20.0</v>
      </c>
      <c r="F19" s="80"/>
      <c r="G19" s="85">
        <v>5.0</v>
      </c>
      <c r="H19" s="59"/>
      <c r="I19" s="87">
        <v>2.0</v>
      </c>
      <c r="J19" s="80"/>
      <c r="K19" s="85">
        <v>8.8</v>
      </c>
      <c r="L19" s="80"/>
      <c r="M19" s="86">
        <v>6.0</v>
      </c>
      <c r="N19" s="62"/>
      <c r="O19" s="80"/>
      <c r="P19" s="59"/>
      <c r="Q19" s="61">
        <f t="shared" si="4"/>
        <v>16.8</v>
      </c>
      <c r="R19" s="62">
        <f t="shared" ref="R19:S19" si="18">C19+I19</f>
        <v>3.2</v>
      </c>
      <c r="S19" s="80">
        <f t="shared" si="18"/>
        <v>0</v>
      </c>
      <c r="T19" s="80">
        <f t="shared" ref="T19:V19" si="19">E19+K19+N19</f>
        <v>28.8</v>
      </c>
      <c r="U19" s="80">
        <f t="shared" si="19"/>
        <v>0</v>
      </c>
      <c r="V19" s="80">
        <f t="shared" si="19"/>
        <v>11</v>
      </c>
      <c r="W19" s="59">
        <f t="shared" si="7"/>
        <v>43</v>
      </c>
      <c r="X19" s="64"/>
    </row>
    <row r="20" ht="14.25" customHeight="1">
      <c r="A20" s="58" t="s">
        <v>28</v>
      </c>
      <c r="B20" s="79">
        <v>3.0</v>
      </c>
      <c r="C20" s="62"/>
      <c r="D20" s="80"/>
      <c r="E20" s="85">
        <v>0.6</v>
      </c>
      <c r="F20" s="80"/>
      <c r="G20" s="85">
        <v>4.4</v>
      </c>
      <c r="H20" s="59"/>
      <c r="I20" s="60"/>
      <c r="J20" s="80"/>
      <c r="K20" s="80"/>
      <c r="L20" s="80"/>
      <c r="M20" s="83"/>
      <c r="N20" s="62"/>
      <c r="O20" s="80"/>
      <c r="P20" s="59"/>
      <c r="Q20" s="61">
        <f t="shared" si="4"/>
        <v>0</v>
      </c>
      <c r="R20" s="62">
        <f t="shared" ref="R20:S20" si="20">C20+I20</f>
        <v>0</v>
      </c>
      <c r="S20" s="80">
        <f t="shared" si="20"/>
        <v>0</v>
      </c>
      <c r="T20" s="80">
        <f t="shared" ref="T20:V20" si="21">E20+K20+N20</f>
        <v>0.6</v>
      </c>
      <c r="U20" s="80">
        <f t="shared" si="21"/>
        <v>0</v>
      </c>
      <c r="V20" s="80">
        <f t="shared" si="21"/>
        <v>4.4</v>
      </c>
      <c r="W20" s="59">
        <f t="shared" si="7"/>
        <v>5</v>
      </c>
      <c r="X20" s="64"/>
    </row>
    <row r="21" ht="14.25" customHeight="1">
      <c r="A21" s="58" t="s">
        <v>29</v>
      </c>
      <c r="B21" s="79">
        <v>2.0</v>
      </c>
      <c r="C21" s="62"/>
      <c r="D21" s="80"/>
      <c r="E21" s="80"/>
      <c r="F21" s="80"/>
      <c r="G21" s="85">
        <v>0.9</v>
      </c>
      <c r="H21" s="59"/>
      <c r="I21" s="60"/>
      <c r="J21" s="80"/>
      <c r="K21" s="85">
        <v>0.6</v>
      </c>
      <c r="L21" s="80"/>
      <c r="M21" s="83"/>
      <c r="N21" s="62"/>
      <c r="O21" s="80"/>
      <c r="P21" s="59"/>
      <c r="Q21" s="61">
        <f t="shared" si="4"/>
        <v>0.6</v>
      </c>
      <c r="R21" s="62">
        <f t="shared" ref="R21:S21" si="22">C21+I21</f>
        <v>0</v>
      </c>
      <c r="S21" s="80">
        <f t="shared" si="22"/>
        <v>0</v>
      </c>
      <c r="T21" s="80">
        <f t="shared" ref="T21:V21" si="23">E21+K21+N21</f>
        <v>0.6</v>
      </c>
      <c r="U21" s="80">
        <f t="shared" si="23"/>
        <v>0</v>
      </c>
      <c r="V21" s="80">
        <f t="shared" si="23"/>
        <v>0.9</v>
      </c>
      <c r="W21" s="59">
        <f t="shared" si="7"/>
        <v>1.5</v>
      </c>
      <c r="X21" s="64"/>
    </row>
    <row r="22" ht="14.25" customHeight="1">
      <c r="A22" s="58" t="s">
        <v>30</v>
      </c>
      <c r="B22" s="58"/>
      <c r="C22" s="62"/>
      <c r="D22" s="80"/>
      <c r="E22" s="80"/>
      <c r="F22" s="80"/>
      <c r="G22" s="80"/>
      <c r="H22" s="59"/>
      <c r="I22" s="60"/>
      <c r="J22" s="80"/>
      <c r="K22" s="80"/>
      <c r="L22" s="80"/>
      <c r="M22" s="83"/>
      <c r="N22" s="62"/>
      <c r="O22" s="80"/>
      <c r="P22" s="59"/>
      <c r="Q22" s="61">
        <f t="shared" si="4"/>
        <v>0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0</v>
      </c>
      <c r="U22" s="80">
        <f t="shared" si="25"/>
        <v>0</v>
      </c>
      <c r="V22" s="80">
        <f t="shared" si="25"/>
        <v>0</v>
      </c>
      <c r="W22" s="59">
        <f t="shared" si="7"/>
        <v>0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13"/>
    <col customWidth="1" min="2" max="4" width="15.25"/>
    <col customWidth="1" min="5" max="5" width="8.25"/>
    <col customWidth="1" min="6" max="6" width="10.0"/>
    <col customWidth="1" min="7" max="7" width="13.25"/>
    <col customWidth="1" min="8" max="8" width="11.5"/>
    <col customWidth="1" min="9" max="14" width="10.0"/>
    <col customWidth="1" min="15" max="15" width="10.38"/>
    <col customWidth="1" min="16" max="16" width="5.75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91"/>
      <c r="J5" s="91"/>
      <c r="K5" s="91"/>
      <c r="L5" s="91"/>
      <c r="M5" s="91"/>
      <c r="N5" s="91"/>
      <c r="O5" s="91"/>
    </row>
    <row r="6" ht="14.25" customHeight="1">
      <c r="A6" s="135" t="s">
        <v>484</v>
      </c>
      <c r="B6" s="96"/>
      <c r="C6" s="95"/>
      <c r="D6" s="95"/>
      <c r="E6" s="95"/>
      <c r="F6" s="95"/>
      <c r="G6" s="95"/>
      <c r="H6" s="95"/>
      <c r="I6" s="138" t="s">
        <v>485</v>
      </c>
      <c r="J6" s="97"/>
      <c r="K6" s="138" t="s">
        <v>486</v>
      </c>
      <c r="L6" s="97"/>
      <c r="M6" s="138" t="s">
        <v>487</v>
      </c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357</v>
      </c>
      <c r="C9" s="118" t="s">
        <v>488</v>
      </c>
      <c r="D9" s="118" t="s">
        <v>489</v>
      </c>
      <c r="E9" s="117"/>
      <c r="F9" s="118">
        <v>1.8</v>
      </c>
      <c r="G9" s="117"/>
      <c r="H9" s="118" t="s">
        <v>20</v>
      </c>
      <c r="I9" s="137"/>
      <c r="J9" s="120"/>
      <c r="K9" s="137" t="s">
        <v>168</v>
      </c>
      <c r="L9" s="120"/>
      <c r="M9" s="120"/>
      <c r="N9" s="120"/>
      <c r="O9" s="121" t="s">
        <v>74</v>
      </c>
    </row>
    <row r="10" ht="14.25" customHeight="1">
      <c r="A10" s="117"/>
      <c r="B10" s="118" t="s">
        <v>490</v>
      </c>
      <c r="C10" s="118" t="s">
        <v>491</v>
      </c>
      <c r="D10" s="118" t="s">
        <v>492</v>
      </c>
      <c r="E10" s="117"/>
      <c r="F10" s="118">
        <v>0.5</v>
      </c>
      <c r="G10" s="117"/>
      <c r="H10" s="118" t="s">
        <v>20</v>
      </c>
      <c r="I10" s="137"/>
      <c r="J10" s="120"/>
      <c r="K10" s="120"/>
      <c r="L10" s="120"/>
      <c r="M10" s="121" t="s">
        <v>304</v>
      </c>
      <c r="N10" s="120"/>
      <c r="O10" s="121" t="s">
        <v>74</v>
      </c>
    </row>
    <row r="11" ht="14.25" customHeight="1">
      <c r="A11" s="117" t="s">
        <v>19</v>
      </c>
      <c r="B11" s="118" t="s">
        <v>493</v>
      </c>
      <c r="C11" s="118" t="s">
        <v>494</v>
      </c>
      <c r="D11" s="118" t="s">
        <v>465</v>
      </c>
      <c r="E11" s="117"/>
      <c r="F11" s="118">
        <v>1.2</v>
      </c>
      <c r="G11" s="117"/>
      <c r="H11" s="118" t="s">
        <v>20</v>
      </c>
      <c r="I11" s="137" t="s">
        <v>196</v>
      </c>
      <c r="J11" s="120"/>
      <c r="K11" s="120"/>
      <c r="L11" s="120"/>
      <c r="M11" s="120"/>
      <c r="N11" s="120"/>
      <c r="O11" s="121" t="s">
        <v>54</v>
      </c>
    </row>
    <row r="12" ht="14.25" customHeight="1">
      <c r="A12" s="117" t="s">
        <v>20</v>
      </c>
      <c r="B12" s="118" t="s">
        <v>495</v>
      </c>
      <c r="C12" s="118" t="s">
        <v>496</v>
      </c>
      <c r="D12" s="118" t="s">
        <v>497</v>
      </c>
      <c r="E12" s="117"/>
      <c r="F12" s="118">
        <v>1.0</v>
      </c>
      <c r="G12" s="117"/>
      <c r="H12" s="118" t="s">
        <v>20</v>
      </c>
      <c r="I12" s="137"/>
      <c r="J12" s="120"/>
      <c r="K12" s="120"/>
      <c r="L12" s="120"/>
      <c r="M12" s="121" t="s">
        <v>133</v>
      </c>
      <c r="N12" s="120"/>
      <c r="O12" s="121" t="s">
        <v>74</v>
      </c>
    </row>
    <row r="13" ht="14.25" customHeight="1">
      <c r="A13" s="117" t="s">
        <v>21</v>
      </c>
      <c r="B13" s="118" t="s">
        <v>498</v>
      </c>
      <c r="C13" s="118" t="s">
        <v>499</v>
      </c>
      <c r="D13" s="118" t="s">
        <v>500</v>
      </c>
      <c r="E13" s="117"/>
      <c r="F13" s="118">
        <v>1.0</v>
      </c>
      <c r="G13" s="117"/>
      <c r="H13" s="118" t="s">
        <v>20</v>
      </c>
      <c r="I13" s="137"/>
      <c r="J13" s="120"/>
      <c r="K13" s="120"/>
      <c r="L13" s="120"/>
      <c r="M13" s="121" t="s">
        <v>82</v>
      </c>
      <c r="N13" s="120"/>
      <c r="O13" s="121" t="s">
        <v>74</v>
      </c>
    </row>
    <row r="14" ht="14.25" customHeight="1">
      <c r="A14" s="117" t="s">
        <v>22</v>
      </c>
      <c r="B14" s="118" t="s">
        <v>501</v>
      </c>
      <c r="C14" s="118" t="s">
        <v>502</v>
      </c>
      <c r="D14" s="118" t="s">
        <v>500</v>
      </c>
      <c r="E14" s="117"/>
      <c r="F14" s="118">
        <v>2.0</v>
      </c>
      <c r="G14" s="117"/>
      <c r="H14" s="118" t="s">
        <v>20</v>
      </c>
      <c r="I14" s="137"/>
      <c r="J14" s="120"/>
      <c r="K14" s="120"/>
      <c r="L14" s="120"/>
      <c r="M14" s="121" t="s">
        <v>82</v>
      </c>
      <c r="N14" s="120"/>
      <c r="O14" s="121" t="s">
        <v>74</v>
      </c>
    </row>
    <row r="15" ht="14.25" customHeight="1">
      <c r="A15" s="117" t="s">
        <v>23</v>
      </c>
      <c r="B15" s="118" t="s">
        <v>181</v>
      </c>
      <c r="C15" s="118" t="s">
        <v>503</v>
      </c>
      <c r="D15" s="118" t="s">
        <v>504</v>
      </c>
      <c r="E15" s="117"/>
      <c r="F15" s="118">
        <v>1.0</v>
      </c>
      <c r="G15" s="117"/>
      <c r="H15" s="118" t="s">
        <v>20</v>
      </c>
      <c r="I15" s="137"/>
      <c r="J15" s="120"/>
      <c r="K15" s="120"/>
      <c r="L15" s="120"/>
      <c r="M15" s="121" t="s">
        <v>505</v>
      </c>
      <c r="N15" s="120"/>
      <c r="O15" s="121" t="s">
        <v>74</v>
      </c>
    </row>
    <row r="16" ht="14.25" customHeight="1">
      <c r="A16" s="117" t="s">
        <v>24</v>
      </c>
      <c r="B16" s="118" t="s">
        <v>506</v>
      </c>
      <c r="C16" s="118" t="s">
        <v>507</v>
      </c>
      <c r="D16" s="118" t="s">
        <v>504</v>
      </c>
      <c r="E16" s="117"/>
      <c r="F16" s="118">
        <v>1.0</v>
      </c>
      <c r="G16" s="117"/>
      <c r="H16" s="118" t="s">
        <v>20</v>
      </c>
      <c r="I16" s="137"/>
      <c r="J16" s="120"/>
      <c r="K16" s="120"/>
      <c r="L16" s="120"/>
      <c r="M16" s="121" t="s">
        <v>505</v>
      </c>
      <c r="N16" s="120"/>
      <c r="O16" s="121" t="s">
        <v>74</v>
      </c>
    </row>
    <row r="17" ht="14.25" customHeight="1">
      <c r="A17" s="117" t="s">
        <v>25</v>
      </c>
      <c r="B17" s="118" t="s">
        <v>357</v>
      </c>
      <c r="C17" s="118" t="s">
        <v>205</v>
      </c>
      <c r="D17" s="118" t="s">
        <v>508</v>
      </c>
      <c r="E17" s="117"/>
      <c r="F17" s="118">
        <v>1.3</v>
      </c>
      <c r="G17" s="117"/>
      <c r="H17" s="118" t="s">
        <v>20</v>
      </c>
      <c r="I17" s="137"/>
      <c r="J17" s="120"/>
      <c r="K17" s="120"/>
      <c r="L17" s="120"/>
      <c r="M17" s="121" t="s">
        <v>509</v>
      </c>
      <c r="N17" s="120"/>
      <c r="O17" s="121" t="s">
        <v>74</v>
      </c>
    </row>
    <row r="18" ht="14.25" customHeight="1">
      <c r="A18" s="117" t="s">
        <v>26</v>
      </c>
      <c r="B18" s="118" t="s">
        <v>510</v>
      </c>
      <c r="C18" s="118" t="s">
        <v>511</v>
      </c>
      <c r="D18" s="118" t="s">
        <v>512</v>
      </c>
      <c r="E18" s="117"/>
      <c r="F18" s="118">
        <v>0.6</v>
      </c>
      <c r="G18" s="117"/>
      <c r="H18" s="118" t="s">
        <v>20</v>
      </c>
      <c r="I18" s="137"/>
      <c r="J18" s="120"/>
      <c r="K18" s="120"/>
      <c r="L18" s="120"/>
      <c r="M18" s="121" t="s">
        <v>505</v>
      </c>
      <c r="N18" s="120"/>
      <c r="O18" s="121" t="s">
        <v>54</v>
      </c>
    </row>
    <row r="19" ht="14.25" customHeight="1">
      <c r="A19" s="117" t="s">
        <v>27</v>
      </c>
      <c r="B19" s="118" t="s">
        <v>513</v>
      </c>
      <c r="C19" s="118" t="s">
        <v>514</v>
      </c>
      <c r="D19" s="118" t="s">
        <v>515</v>
      </c>
      <c r="E19" s="117"/>
      <c r="F19" s="118">
        <v>1.0</v>
      </c>
      <c r="G19" s="117"/>
      <c r="H19" s="118" t="s">
        <v>20</v>
      </c>
      <c r="I19" s="137"/>
      <c r="J19" s="120"/>
      <c r="K19" s="120"/>
      <c r="L19" s="120"/>
      <c r="M19" s="121" t="s">
        <v>133</v>
      </c>
      <c r="N19" s="120"/>
      <c r="O19" s="121" t="s">
        <v>74</v>
      </c>
    </row>
    <row r="20" ht="14.25" customHeight="1">
      <c r="A20" s="117" t="s">
        <v>28</v>
      </c>
      <c r="B20" s="118" t="s">
        <v>516</v>
      </c>
      <c r="C20" s="118" t="s">
        <v>517</v>
      </c>
      <c r="D20" s="118" t="s">
        <v>515</v>
      </c>
      <c r="E20" s="117"/>
      <c r="F20" s="118">
        <v>0.3</v>
      </c>
      <c r="G20" s="117"/>
      <c r="H20" s="118" t="s">
        <v>20</v>
      </c>
      <c r="I20" s="137"/>
      <c r="J20" s="120"/>
      <c r="K20" s="137" t="s">
        <v>53</v>
      </c>
      <c r="L20" s="120"/>
      <c r="M20" s="120"/>
      <c r="N20" s="120"/>
      <c r="O20" s="121" t="s">
        <v>74</v>
      </c>
    </row>
    <row r="21" ht="14.25" customHeight="1">
      <c r="A21" s="122" t="s">
        <v>29</v>
      </c>
      <c r="B21" s="123" t="s">
        <v>518</v>
      </c>
      <c r="C21" s="123" t="s">
        <v>517</v>
      </c>
      <c r="D21" s="123" t="s">
        <v>515</v>
      </c>
      <c r="E21" s="124"/>
      <c r="F21" s="123">
        <v>0.5</v>
      </c>
      <c r="G21" s="124"/>
      <c r="H21" s="123" t="s">
        <v>20</v>
      </c>
      <c r="I21" s="121"/>
      <c r="J21" s="120"/>
      <c r="K21" s="121" t="s">
        <v>53</v>
      </c>
      <c r="L21" s="120"/>
      <c r="M21" s="120"/>
      <c r="N21" s="120"/>
      <c r="O21" s="121" t="s">
        <v>74</v>
      </c>
    </row>
    <row r="22" ht="14.25" customHeight="1">
      <c r="A22" s="122" t="s">
        <v>30</v>
      </c>
      <c r="B22" s="123" t="s">
        <v>519</v>
      </c>
      <c r="C22" s="123" t="s">
        <v>520</v>
      </c>
      <c r="D22" s="123" t="s">
        <v>521</v>
      </c>
      <c r="E22" s="124"/>
      <c r="F22" s="123">
        <v>1.0</v>
      </c>
      <c r="G22" s="124"/>
      <c r="H22" s="123" t="s">
        <v>20</v>
      </c>
      <c r="I22" s="121"/>
      <c r="J22" s="120"/>
      <c r="K22" s="120"/>
      <c r="L22" s="120"/>
      <c r="M22" s="121" t="s">
        <v>505</v>
      </c>
      <c r="N22" s="120"/>
      <c r="O22" s="121" t="s">
        <v>74</v>
      </c>
    </row>
    <row r="23" ht="14.25" customHeight="1">
      <c r="B23" s="125" t="s">
        <v>522</v>
      </c>
      <c r="C23" s="125" t="s">
        <v>523</v>
      </c>
      <c r="D23" s="125" t="s">
        <v>524</v>
      </c>
      <c r="F23" s="125">
        <v>1.5</v>
      </c>
      <c r="H23" s="125" t="s">
        <v>20</v>
      </c>
      <c r="M23" s="125" t="s">
        <v>82</v>
      </c>
      <c r="O23" s="125" t="s">
        <v>74</v>
      </c>
    </row>
    <row r="24" ht="14.25" customHeight="1">
      <c r="B24" s="125" t="s">
        <v>525</v>
      </c>
      <c r="C24" s="125" t="s">
        <v>508</v>
      </c>
      <c r="D24" s="125" t="s">
        <v>524</v>
      </c>
      <c r="F24" s="125">
        <v>2.0</v>
      </c>
      <c r="H24" s="125" t="s">
        <v>20</v>
      </c>
      <c r="M24" s="125" t="s">
        <v>526</v>
      </c>
      <c r="O24" s="125" t="s">
        <v>74</v>
      </c>
    </row>
    <row r="25" ht="14.25" customHeight="1">
      <c r="B25" s="125" t="s">
        <v>527</v>
      </c>
      <c r="C25" s="125" t="s">
        <v>528</v>
      </c>
      <c r="D25" s="125" t="s">
        <v>529</v>
      </c>
      <c r="F25" s="125">
        <v>1.0</v>
      </c>
      <c r="H25" s="125" t="s">
        <v>20</v>
      </c>
      <c r="K25" s="125" t="s">
        <v>53</v>
      </c>
      <c r="O25" s="125" t="s">
        <v>74</v>
      </c>
    </row>
    <row r="26" ht="14.25" customHeight="1">
      <c r="A26" s="126">
        <f>-A29</f>
        <v>0</v>
      </c>
      <c r="B26" s="125" t="s">
        <v>530</v>
      </c>
      <c r="C26" s="125" t="s">
        <v>515</v>
      </c>
      <c r="D26" s="125" t="s">
        <v>531</v>
      </c>
      <c r="F26" s="125">
        <v>2.0</v>
      </c>
      <c r="H26" s="125" t="s">
        <v>20</v>
      </c>
      <c r="K26" s="125" t="s">
        <v>53</v>
      </c>
      <c r="O26" s="125" t="s">
        <v>74</v>
      </c>
    </row>
    <row r="27" ht="14.25" customHeight="1">
      <c r="B27" s="125" t="s">
        <v>532</v>
      </c>
      <c r="C27" s="125" t="s">
        <v>533</v>
      </c>
      <c r="D27" s="125" t="s">
        <v>534</v>
      </c>
      <c r="F27" s="125">
        <v>1.0</v>
      </c>
      <c r="H27" s="125" t="s">
        <v>20</v>
      </c>
      <c r="M27" s="125" t="s">
        <v>535</v>
      </c>
      <c r="O27" s="125" t="s">
        <v>74</v>
      </c>
    </row>
    <row r="28" ht="14.25" customHeight="1">
      <c r="B28" s="125" t="s">
        <v>536</v>
      </c>
      <c r="C28" s="125" t="s">
        <v>537</v>
      </c>
      <c r="D28" s="125" t="s">
        <v>538</v>
      </c>
      <c r="F28" s="125">
        <v>1.0</v>
      </c>
      <c r="H28" s="125" t="s">
        <v>20</v>
      </c>
      <c r="K28" s="125" t="s">
        <v>53</v>
      </c>
      <c r="O28" s="125" t="s">
        <v>74</v>
      </c>
    </row>
    <row r="29" ht="14.25" customHeight="1">
      <c r="B29" s="125" t="s">
        <v>539</v>
      </c>
      <c r="C29" s="125" t="s">
        <v>540</v>
      </c>
      <c r="D29" s="125" t="s">
        <v>541</v>
      </c>
      <c r="F29" s="125">
        <v>0.8</v>
      </c>
      <c r="H29" s="125" t="s">
        <v>542</v>
      </c>
      <c r="K29" s="125" t="s">
        <v>172</v>
      </c>
      <c r="O29" s="125" t="s">
        <v>74</v>
      </c>
    </row>
    <row r="30" ht="14.25" customHeight="1">
      <c r="B30" s="125" t="s">
        <v>543</v>
      </c>
      <c r="C30" s="125" t="s">
        <v>70</v>
      </c>
      <c r="D30" s="125" t="s">
        <v>544</v>
      </c>
      <c r="F30" s="125">
        <v>3.0</v>
      </c>
      <c r="H30" s="125" t="s">
        <v>21</v>
      </c>
      <c r="K30" s="125" t="s">
        <v>58</v>
      </c>
      <c r="O30" s="125" t="s">
        <v>54</v>
      </c>
    </row>
    <row r="31" ht="14.25" customHeight="1">
      <c r="B31" s="125" t="s">
        <v>267</v>
      </c>
      <c r="C31" s="125" t="s">
        <v>84</v>
      </c>
      <c r="D31" s="125" t="s">
        <v>69</v>
      </c>
      <c r="F31" s="125">
        <v>1.0</v>
      </c>
      <c r="H31" s="125" t="s">
        <v>21</v>
      </c>
      <c r="M31" s="125" t="s">
        <v>545</v>
      </c>
      <c r="O31" s="125" t="s">
        <v>54</v>
      </c>
    </row>
    <row r="32" ht="14.25" customHeight="1">
      <c r="B32" s="125" t="s">
        <v>546</v>
      </c>
      <c r="C32" s="125" t="s">
        <v>547</v>
      </c>
      <c r="D32" s="125" t="s">
        <v>548</v>
      </c>
      <c r="F32" s="125">
        <v>2.0</v>
      </c>
      <c r="H32" s="125" t="s">
        <v>21</v>
      </c>
      <c r="K32" s="125" t="s">
        <v>549</v>
      </c>
      <c r="O32" s="125" t="s">
        <v>54</v>
      </c>
    </row>
    <row r="33" ht="14.25" customHeight="1">
      <c r="B33" s="125" t="s">
        <v>550</v>
      </c>
      <c r="C33" s="125" t="s">
        <v>551</v>
      </c>
      <c r="D33" s="125" t="s">
        <v>548</v>
      </c>
      <c r="F33" s="125">
        <v>1.0</v>
      </c>
      <c r="H33" s="125" t="s">
        <v>21</v>
      </c>
      <c r="K33" s="125" t="s">
        <v>549</v>
      </c>
      <c r="O33" s="125" t="s">
        <v>54</v>
      </c>
    </row>
    <row r="34" ht="14.25" customHeight="1">
      <c r="B34" s="125" t="s">
        <v>165</v>
      </c>
      <c r="C34" s="125" t="s">
        <v>552</v>
      </c>
      <c r="D34" s="125" t="s">
        <v>553</v>
      </c>
      <c r="F34" s="125">
        <v>3.0</v>
      </c>
      <c r="H34" s="125" t="s">
        <v>21</v>
      </c>
      <c r="K34" s="125" t="s">
        <v>58</v>
      </c>
      <c r="O34" s="125" t="s">
        <v>54</v>
      </c>
    </row>
    <row r="35" ht="14.25" customHeight="1">
      <c r="B35" s="125" t="s">
        <v>105</v>
      </c>
      <c r="C35" s="125" t="s">
        <v>554</v>
      </c>
      <c r="D35" s="125" t="s">
        <v>555</v>
      </c>
      <c r="E35" s="125" t="s">
        <v>137</v>
      </c>
      <c r="F35" s="125">
        <v>3.0</v>
      </c>
      <c r="H35" s="125" t="s">
        <v>22</v>
      </c>
      <c r="I35" s="125" t="s">
        <v>556</v>
      </c>
      <c r="O35" s="125" t="s">
        <v>54</v>
      </c>
    </row>
    <row r="36" ht="14.25" customHeight="1">
      <c r="B36" s="125" t="s">
        <v>557</v>
      </c>
      <c r="C36" s="125" t="s">
        <v>558</v>
      </c>
      <c r="D36" s="125" t="s">
        <v>559</v>
      </c>
      <c r="F36" s="125">
        <v>1.6</v>
      </c>
      <c r="H36" s="125" t="s">
        <v>22</v>
      </c>
      <c r="I36" s="125" t="s">
        <v>196</v>
      </c>
      <c r="O36" s="125" t="s">
        <v>54</v>
      </c>
    </row>
    <row r="37" ht="14.25" customHeight="1">
      <c r="B37" s="125" t="s">
        <v>560</v>
      </c>
      <c r="C37" s="125" t="s">
        <v>561</v>
      </c>
      <c r="D37" s="125" t="s">
        <v>562</v>
      </c>
      <c r="F37" s="125">
        <v>2.0</v>
      </c>
      <c r="H37" s="125" t="s">
        <v>22</v>
      </c>
      <c r="K37" s="125" t="s">
        <v>172</v>
      </c>
      <c r="O37" s="125" t="s">
        <v>54</v>
      </c>
    </row>
    <row r="38" ht="14.25" customHeight="1">
      <c r="B38" s="125" t="s">
        <v>563</v>
      </c>
      <c r="C38" s="125" t="s">
        <v>154</v>
      </c>
      <c r="D38" s="125" t="s">
        <v>564</v>
      </c>
      <c r="F38" s="125">
        <v>1.7</v>
      </c>
      <c r="H38" s="125" t="s">
        <v>22</v>
      </c>
      <c r="K38" s="125" t="s">
        <v>53</v>
      </c>
      <c r="O38" s="125" t="s">
        <v>54</v>
      </c>
    </row>
    <row r="39" ht="14.25" customHeight="1">
      <c r="B39" s="125" t="s">
        <v>141</v>
      </c>
      <c r="C39" s="125" t="s">
        <v>561</v>
      </c>
      <c r="D39" s="125" t="s">
        <v>565</v>
      </c>
      <c r="F39" s="125">
        <v>2.8</v>
      </c>
      <c r="H39" s="125" t="s">
        <v>22</v>
      </c>
      <c r="K39" s="125" t="s">
        <v>53</v>
      </c>
      <c r="O39" s="125" t="s">
        <v>54</v>
      </c>
    </row>
    <row r="40" ht="14.25" customHeight="1">
      <c r="B40" s="125" t="s">
        <v>566</v>
      </c>
      <c r="C40" s="125" t="s">
        <v>567</v>
      </c>
      <c r="D40" s="125" t="s">
        <v>568</v>
      </c>
      <c r="E40" s="125" t="s">
        <v>86</v>
      </c>
      <c r="F40" s="125">
        <v>3.0</v>
      </c>
      <c r="H40" s="125" t="s">
        <v>22</v>
      </c>
      <c r="I40" s="125" t="s">
        <v>179</v>
      </c>
      <c r="O40" s="125" t="s">
        <v>54</v>
      </c>
    </row>
    <row r="41" ht="14.25" customHeight="1">
      <c r="B41" s="125" t="s">
        <v>569</v>
      </c>
      <c r="C41" s="125" t="s">
        <v>570</v>
      </c>
      <c r="D41" s="125" t="s">
        <v>571</v>
      </c>
      <c r="F41" s="125">
        <v>3.0</v>
      </c>
      <c r="H41" s="125" t="s">
        <v>22</v>
      </c>
      <c r="I41" s="125" t="s">
        <v>179</v>
      </c>
      <c r="O41" s="125" t="s">
        <v>54</v>
      </c>
    </row>
    <row r="42" ht="14.25" customHeight="1">
      <c r="B42" s="125" t="s">
        <v>510</v>
      </c>
      <c r="C42" s="125" t="s">
        <v>572</v>
      </c>
      <c r="D42" s="125" t="s">
        <v>573</v>
      </c>
      <c r="F42" s="125">
        <v>1.8</v>
      </c>
      <c r="H42" s="125" t="s">
        <v>22</v>
      </c>
      <c r="K42" s="125" t="s">
        <v>172</v>
      </c>
      <c r="O42" s="125" t="s">
        <v>74</v>
      </c>
    </row>
    <row r="43" ht="14.25" customHeight="1">
      <c r="B43" s="125" t="s">
        <v>574</v>
      </c>
      <c r="C43" s="125" t="s">
        <v>575</v>
      </c>
      <c r="D43" s="125" t="s">
        <v>576</v>
      </c>
      <c r="E43" s="125" t="s">
        <v>86</v>
      </c>
      <c r="F43" s="125">
        <v>1.0</v>
      </c>
      <c r="H43" s="125" t="s">
        <v>22</v>
      </c>
      <c r="K43" s="125" t="s">
        <v>172</v>
      </c>
      <c r="O43" s="125" t="s">
        <v>54</v>
      </c>
    </row>
    <row r="44" ht="14.25" customHeight="1">
      <c r="B44" s="125" t="s">
        <v>577</v>
      </c>
      <c r="C44" s="125" t="s">
        <v>578</v>
      </c>
      <c r="D44" s="125" t="s">
        <v>579</v>
      </c>
      <c r="F44" s="125">
        <v>3.0</v>
      </c>
      <c r="H44" s="125" t="s">
        <v>22</v>
      </c>
      <c r="M44" s="125" t="s">
        <v>580</v>
      </c>
      <c r="O44" s="125" t="s">
        <v>74</v>
      </c>
    </row>
    <row r="45" ht="14.25" customHeight="1">
      <c r="B45" s="125" t="s">
        <v>581</v>
      </c>
      <c r="C45" s="125" t="s">
        <v>582</v>
      </c>
      <c r="D45" s="125" t="s">
        <v>583</v>
      </c>
      <c r="F45" s="125">
        <v>3.0</v>
      </c>
      <c r="H45" s="125" t="s">
        <v>22</v>
      </c>
      <c r="I45" s="125" t="s">
        <v>584</v>
      </c>
      <c r="O45" s="125" t="s">
        <v>54</v>
      </c>
    </row>
    <row r="46" ht="14.25" customHeight="1">
      <c r="B46" s="125" t="s">
        <v>169</v>
      </c>
      <c r="C46" s="125" t="s">
        <v>365</v>
      </c>
      <c r="D46" s="125" t="s">
        <v>585</v>
      </c>
      <c r="E46" s="125" t="s">
        <v>86</v>
      </c>
      <c r="F46" s="125">
        <v>1.3</v>
      </c>
      <c r="H46" s="125" t="s">
        <v>22</v>
      </c>
      <c r="I46" s="125" t="s">
        <v>196</v>
      </c>
      <c r="O46" s="125" t="s">
        <v>74</v>
      </c>
    </row>
    <row r="47" ht="14.25" customHeight="1">
      <c r="B47" s="125" t="s">
        <v>586</v>
      </c>
      <c r="C47" s="125" t="s">
        <v>587</v>
      </c>
      <c r="D47" s="125" t="s">
        <v>588</v>
      </c>
      <c r="F47" s="125">
        <v>1.0</v>
      </c>
      <c r="H47" s="125" t="s">
        <v>22</v>
      </c>
      <c r="I47" s="125" t="s">
        <v>584</v>
      </c>
      <c r="O47" s="125" t="s">
        <v>74</v>
      </c>
    </row>
    <row r="48" ht="14.25" customHeight="1">
      <c r="B48" s="125" t="s">
        <v>589</v>
      </c>
      <c r="C48" s="125" t="s">
        <v>590</v>
      </c>
      <c r="D48" s="125" t="s">
        <v>591</v>
      </c>
      <c r="F48" s="125">
        <v>1.7</v>
      </c>
      <c r="H48" s="125" t="s">
        <v>24</v>
      </c>
      <c r="K48" s="125" t="s">
        <v>172</v>
      </c>
      <c r="O48" s="125" t="s">
        <v>74</v>
      </c>
    </row>
    <row r="49" ht="14.25" customHeight="1">
      <c r="B49" s="125" t="s">
        <v>592</v>
      </c>
      <c r="C49" s="125" t="s">
        <v>593</v>
      </c>
      <c r="D49" s="125" t="s">
        <v>594</v>
      </c>
      <c r="F49" s="125">
        <v>1.4</v>
      </c>
      <c r="H49" s="125" t="s">
        <v>24</v>
      </c>
      <c r="K49" s="125" t="s">
        <v>172</v>
      </c>
      <c r="O49" s="125" t="s">
        <v>74</v>
      </c>
    </row>
    <row r="50" ht="14.25" customHeight="1">
      <c r="B50" s="125" t="s">
        <v>595</v>
      </c>
      <c r="C50" s="125" t="s">
        <v>596</v>
      </c>
      <c r="D50" s="125" t="s">
        <v>597</v>
      </c>
      <c r="F50" s="125">
        <v>2.0</v>
      </c>
      <c r="H50" s="125" t="s">
        <v>24</v>
      </c>
      <c r="K50" s="125" t="s">
        <v>172</v>
      </c>
      <c r="O50" s="125" t="s">
        <v>74</v>
      </c>
    </row>
    <row r="51" ht="14.25" customHeight="1">
      <c r="B51" s="125" t="s">
        <v>598</v>
      </c>
      <c r="C51" s="125" t="s">
        <v>599</v>
      </c>
      <c r="D51" s="125" t="s">
        <v>600</v>
      </c>
      <c r="F51" s="125">
        <v>1.0</v>
      </c>
      <c r="H51" s="125" t="s">
        <v>24</v>
      </c>
      <c r="K51" s="125" t="s">
        <v>172</v>
      </c>
      <c r="O51" s="125" t="s">
        <v>54</v>
      </c>
    </row>
    <row r="52" ht="14.25" customHeight="1">
      <c r="B52" s="125" t="s">
        <v>601</v>
      </c>
      <c r="C52" s="125" t="s">
        <v>602</v>
      </c>
      <c r="D52" s="125" t="s">
        <v>603</v>
      </c>
      <c r="E52" s="125" t="s">
        <v>86</v>
      </c>
      <c r="F52" s="125">
        <v>3.0</v>
      </c>
      <c r="H52" s="125" t="s">
        <v>24</v>
      </c>
      <c r="K52" s="125" t="s">
        <v>172</v>
      </c>
      <c r="O52" s="125" t="s">
        <v>54</v>
      </c>
    </row>
    <row r="53" ht="14.25" customHeight="1">
      <c r="B53" s="125" t="s">
        <v>604</v>
      </c>
      <c r="C53" s="125" t="s">
        <v>605</v>
      </c>
      <c r="D53" s="125" t="s">
        <v>606</v>
      </c>
      <c r="F53" s="125">
        <v>1.2</v>
      </c>
      <c r="H53" s="125" t="s">
        <v>24</v>
      </c>
      <c r="M53" s="125" t="s">
        <v>607</v>
      </c>
      <c r="O53" s="125" t="s">
        <v>74</v>
      </c>
    </row>
    <row r="54" ht="14.25" customHeight="1">
      <c r="B54" s="125" t="s">
        <v>608</v>
      </c>
      <c r="C54" s="125" t="s">
        <v>609</v>
      </c>
      <c r="D54" s="125" t="s">
        <v>442</v>
      </c>
      <c r="F54" s="125">
        <v>0.7</v>
      </c>
      <c r="H54" s="125" t="s">
        <v>25</v>
      </c>
      <c r="K54" s="125" t="s">
        <v>168</v>
      </c>
      <c r="O54" s="125" t="s">
        <v>74</v>
      </c>
    </row>
    <row r="55" ht="14.25" customHeight="1">
      <c r="B55" s="125" t="s">
        <v>214</v>
      </c>
      <c r="C55" s="125" t="s">
        <v>610</v>
      </c>
      <c r="D55" s="125" t="s">
        <v>611</v>
      </c>
      <c r="F55" s="125">
        <v>1.4</v>
      </c>
      <c r="H55" s="125" t="s">
        <v>25</v>
      </c>
      <c r="M55" s="125" t="s">
        <v>129</v>
      </c>
      <c r="O55" s="125" t="s">
        <v>54</v>
      </c>
    </row>
    <row r="56" ht="14.25" customHeight="1">
      <c r="B56" s="125" t="s">
        <v>612</v>
      </c>
      <c r="C56" s="125" t="s">
        <v>613</v>
      </c>
      <c r="D56" s="125" t="s">
        <v>614</v>
      </c>
      <c r="E56" s="125" t="s">
        <v>137</v>
      </c>
      <c r="F56" s="125">
        <v>1.0</v>
      </c>
      <c r="H56" s="125" t="s">
        <v>25</v>
      </c>
      <c r="K56" s="125" t="s">
        <v>53</v>
      </c>
      <c r="O56" s="125" t="s">
        <v>74</v>
      </c>
    </row>
    <row r="57" ht="14.25" customHeight="1">
      <c r="B57" s="125" t="s">
        <v>615</v>
      </c>
      <c r="C57" s="125" t="s">
        <v>616</v>
      </c>
      <c r="D57" s="125" t="s">
        <v>617</v>
      </c>
      <c r="F57" s="125">
        <v>1.3</v>
      </c>
      <c r="H57" s="125" t="s">
        <v>25</v>
      </c>
      <c r="K57" s="125" t="s">
        <v>172</v>
      </c>
      <c r="O57" s="125" t="s">
        <v>74</v>
      </c>
    </row>
    <row r="58" ht="14.25" customHeight="1">
      <c r="B58" s="125" t="s">
        <v>618</v>
      </c>
      <c r="C58" s="125" t="s">
        <v>269</v>
      </c>
      <c r="D58" s="125" t="s">
        <v>619</v>
      </c>
      <c r="F58" s="125">
        <v>0.5</v>
      </c>
      <c r="H58" s="125" t="s">
        <v>25</v>
      </c>
      <c r="K58" s="125" t="s">
        <v>53</v>
      </c>
      <c r="O58" s="125" t="s">
        <v>54</v>
      </c>
    </row>
    <row r="59" ht="14.25" customHeight="1">
      <c r="B59" s="125" t="s">
        <v>620</v>
      </c>
      <c r="C59" s="125" t="s">
        <v>621</v>
      </c>
      <c r="D59" s="125" t="s">
        <v>622</v>
      </c>
      <c r="F59" s="125">
        <v>2.0</v>
      </c>
      <c r="H59" s="125" t="s">
        <v>25</v>
      </c>
      <c r="K59" s="125" t="s">
        <v>172</v>
      </c>
      <c r="O59" s="125" t="s">
        <v>54</v>
      </c>
    </row>
    <row r="60" ht="14.25" customHeight="1">
      <c r="B60" s="125" t="s">
        <v>623</v>
      </c>
      <c r="C60" s="125" t="s">
        <v>624</v>
      </c>
      <c r="D60" s="125" t="s">
        <v>625</v>
      </c>
      <c r="F60" s="125">
        <v>0.9</v>
      </c>
      <c r="H60" s="125" t="s">
        <v>25</v>
      </c>
      <c r="K60" s="125" t="s">
        <v>53</v>
      </c>
      <c r="O60" s="125" t="s">
        <v>54</v>
      </c>
    </row>
    <row r="61" ht="14.25" customHeight="1">
      <c r="B61" s="125" t="s">
        <v>626</v>
      </c>
      <c r="C61" s="125" t="s">
        <v>143</v>
      </c>
      <c r="D61" s="125" t="s">
        <v>277</v>
      </c>
      <c r="F61" s="125">
        <v>1.2</v>
      </c>
      <c r="H61" s="125" t="s">
        <v>25</v>
      </c>
      <c r="K61" s="125" t="s">
        <v>53</v>
      </c>
      <c r="O61" s="125" t="s">
        <v>54</v>
      </c>
    </row>
    <row r="62" ht="14.25" customHeight="1">
      <c r="B62" s="125" t="s">
        <v>627</v>
      </c>
      <c r="C62" s="125" t="s">
        <v>628</v>
      </c>
      <c r="D62" s="125" t="s">
        <v>629</v>
      </c>
      <c r="F62" s="125">
        <v>1.5</v>
      </c>
      <c r="H62" s="125" t="s">
        <v>25</v>
      </c>
      <c r="K62" s="125" t="s">
        <v>168</v>
      </c>
      <c r="O62" s="125" t="s">
        <v>54</v>
      </c>
    </row>
    <row r="63" ht="14.25" customHeight="1">
      <c r="B63" s="125" t="s">
        <v>630</v>
      </c>
      <c r="C63" s="125" t="s">
        <v>624</v>
      </c>
      <c r="D63" s="125" t="s">
        <v>631</v>
      </c>
      <c r="F63" s="125">
        <v>0.5</v>
      </c>
      <c r="H63" s="125" t="s">
        <v>25</v>
      </c>
      <c r="K63" s="125" t="s">
        <v>53</v>
      </c>
      <c r="O63" s="125" t="s">
        <v>54</v>
      </c>
    </row>
    <row r="64" ht="14.25" customHeight="1">
      <c r="B64" s="125" t="s">
        <v>632</v>
      </c>
      <c r="C64" s="125" t="s">
        <v>633</v>
      </c>
      <c r="D64" s="125" t="s">
        <v>634</v>
      </c>
      <c r="F64" s="125">
        <v>1.0</v>
      </c>
      <c r="H64" s="125" t="s">
        <v>25</v>
      </c>
      <c r="M64" s="125" t="s">
        <v>144</v>
      </c>
      <c r="O64" s="125" t="s">
        <v>54</v>
      </c>
    </row>
    <row r="65" ht="14.25" customHeight="1">
      <c r="B65" s="125" t="s">
        <v>635</v>
      </c>
      <c r="C65" s="125" t="s">
        <v>461</v>
      </c>
      <c r="D65" s="125" t="s">
        <v>634</v>
      </c>
      <c r="F65" s="125">
        <v>0.6</v>
      </c>
      <c r="H65" s="125" t="s">
        <v>25</v>
      </c>
      <c r="K65" s="125" t="s">
        <v>53</v>
      </c>
      <c r="O65" s="125" t="s">
        <v>54</v>
      </c>
    </row>
    <row r="66" ht="14.25" customHeight="1">
      <c r="B66" s="125" t="s">
        <v>636</v>
      </c>
      <c r="C66" s="125" t="s">
        <v>637</v>
      </c>
      <c r="D66" s="125" t="s">
        <v>638</v>
      </c>
      <c r="F66" s="125">
        <v>1.0</v>
      </c>
      <c r="H66" s="125" t="s">
        <v>25</v>
      </c>
      <c r="K66" s="125" t="s">
        <v>148</v>
      </c>
      <c r="O66" s="125" t="s">
        <v>74</v>
      </c>
    </row>
    <row r="67" ht="14.25" customHeight="1">
      <c r="B67" s="125" t="s">
        <v>639</v>
      </c>
      <c r="C67" s="125" t="s">
        <v>114</v>
      </c>
      <c r="D67" s="125" t="s">
        <v>624</v>
      </c>
      <c r="F67" s="125">
        <v>1.7</v>
      </c>
      <c r="H67" s="125" t="s">
        <v>25</v>
      </c>
      <c r="K67" s="125" t="s">
        <v>172</v>
      </c>
      <c r="O67" s="125" t="s">
        <v>54</v>
      </c>
    </row>
    <row r="68" ht="14.25" customHeight="1">
      <c r="B68" s="125" t="s">
        <v>527</v>
      </c>
      <c r="C68" s="125" t="s">
        <v>640</v>
      </c>
      <c r="D68" s="125" t="s">
        <v>624</v>
      </c>
      <c r="F68" s="125">
        <v>0.5</v>
      </c>
      <c r="H68" s="125" t="s">
        <v>25</v>
      </c>
      <c r="K68" s="125" t="s">
        <v>53</v>
      </c>
      <c r="O68" s="125" t="s">
        <v>54</v>
      </c>
    </row>
    <row r="69" ht="14.25" customHeight="1">
      <c r="B69" s="125" t="s">
        <v>641</v>
      </c>
      <c r="C69" s="125" t="s">
        <v>640</v>
      </c>
      <c r="D69" s="125" t="s">
        <v>624</v>
      </c>
      <c r="E69" s="125" t="s">
        <v>86</v>
      </c>
      <c r="F69" s="125">
        <v>3.2</v>
      </c>
      <c r="H69" s="125" t="s">
        <v>25</v>
      </c>
      <c r="K69" s="125" t="s">
        <v>172</v>
      </c>
      <c r="O69" s="125" t="s">
        <v>54</v>
      </c>
    </row>
    <row r="70" ht="14.25" customHeight="1">
      <c r="B70" s="125" t="s">
        <v>642</v>
      </c>
      <c r="C70" s="125" t="s">
        <v>640</v>
      </c>
      <c r="D70" s="125" t="s">
        <v>624</v>
      </c>
      <c r="F70" s="125">
        <v>0.5</v>
      </c>
      <c r="H70" s="125" t="s">
        <v>25</v>
      </c>
      <c r="K70" s="125" t="s">
        <v>53</v>
      </c>
      <c r="O70" s="125" t="s">
        <v>54</v>
      </c>
    </row>
    <row r="71" ht="14.25" customHeight="1">
      <c r="B71" s="125" t="s">
        <v>641</v>
      </c>
      <c r="C71" s="125" t="s">
        <v>628</v>
      </c>
      <c r="D71" s="125" t="s">
        <v>624</v>
      </c>
      <c r="E71" s="125" t="s">
        <v>137</v>
      </c>
      <c r="F71" s="125">
        <v>1.1</v>
      </c>
      <c r="H71" s="125" t="s">
        <v>25</v>
      </c>
      <c r="K71" s="125" t="s">
        <v>53</v>
      </c>
      <c r="O71" s="125" t="s">
        <v>54</v>
      </c>
    </row>
    <row r="72" ht="14.25" customHeight="1">
      <c r="B72" s="125" t="s">
        <v>643</v>
      </c>
      <c r="C72" s="125" t="s">
        <v>285</v>
      </c>
      <c r="D72" s="125" t="s">
        <v>644</v>
      </c>
      <c r="F72" s="125">
        <v>1.5</v>
      </c>
      <c r="H72" s="125" t="s">
        <v>25</v>
      </c>
      <c r="K72" s="125" t="s">
        <v>172</v>
      </c>
      <c r="O72" s="125" t="s">
        <v>54</v>
      </c>
    </row>
    <row r="73" ht="14.25" customHeight="1">
      <c r="B73" s="125" t="s">
        <v>645</v>
      </c>
      <c r="C73" s="125" t="s">
        <v>646</v>
      </c>
      <c r="D73" s="125" t="s">
        <v>95</v>
      </c>
      <c r="E73" s="125" t="s">
        <v>137</v>
      </c>
      <c r="F73" s="125">
        <v>2.0</v>
      </c>
      <c r="H73" s="125" t="s">
        <v>25</v>
      </c>
      <c r="K73" s="125" t="s">
        <v>53</v>
      </c>
      <c r="O73" s="125" t="s">
        <v>54</v>
      </c>
    </row>
    <row r="74" ht="14.25" customHeight="1">
      <c r="B74" s="125" t="s">
        <v>647</v>
      </c>
      <c r="C74" s="125" t="s">
        <v>287</v>
      </c>
      <c r="D74" s="125" t="s">
        <v>95</v>
      </c>
      <c r="F74" s="125">
        <v>2.4</v>
      </c>
      <c r="H74" s="125" t="s">
        <v>25</v>
      </c>
      <c r="K74" s="125" t="s">
        <v>53</v>
      </c>
      <c r="O74" s="125" t="s">
        <v>54</v>
      </c>
    </row>
    <row r="75" ht="14.25" customHeight="1">
      <c r="B75" s="125" t="s">
        <v>648</v>
      </c>
      <c r="C75" s="125" t="s">
        <v>649</v>
      </c>
      <c r="D75" s="125" t="s">
        <v>650</v>
      </c>
      <c r="F75" s="125">
        <v>1.4</v>
      </c>
      <c r="H75" s="125" t="s">
        <v>25</v>
      </c>
      <c r="K75" s="125" t="s">
        <v>172</v>
      </c>
      <c r="O75" s="125" t="s">
        <v>54</v>
      </c>
    </row>
    <row r="76" ht="14.25" customHeight="1">
      <c r="B76" s="125" t="s">
        <v>308</v>
      </c>
      <c r="C76" s="125" t="s">
        <v>651</v>
      </c>
      <c r="D76" s="125" t="s">
        <v>652</v>
      </c>
      <c r="F76" s="125">
        <v>3.5</v>
      </c>
      <c r="H76" s="125" t="s">
        <v>25</v>
      </c>
      <c r="K76" s="125" t="s">
        <v>172</v>
      </c>
      <c r="O76" s="125" t="s">
        <v>54</v>
      </c>
    </row>
    <row r="77" ht="14.25" customHeight="1">
      <c r="B77" s="125" t="s">
        <v>653</v>
      </c>
      <c r="C77" s="125" t="s">
        <v>654</v>
      </c>
      <c r="D77" s="125" t="s">
        <v>652</v>
      </c>
      <c r="F77" s="125">
        <v>0.7</v>
      </c>
      <c r="H77" s="125" t="s">
        <v>25</v>
      </c>
      <c r="K77" s="125" t="s">
        <v>53</v>
      </c>
      <c r="O77" s="125" t="s">
        <v>54</v>
      </c>
    </row>
    <row r="78" ht="14.25" customHeight="1">
      <c r="B78" s="125" t="s">
        <v>655</v>
      </c>
      <c r="C78" s="125" t="s">
        <v>656</v>
      </c>
      <c r="D78" s="125" t="s">
        <v>140</v>
      </c>
      <c r="F78" s="125">
        <v>1.0</v>
      </c>
      <c r="H78" s="125" t="s">
        <v>25</v>
      </c>
      <c r="K78" s="125" t="s">
        <v>53</v>
      </c>
      <c r="O78" s="125" t="s">
        <v>74</v>
      </c>
    </row>
    <row r="79" ht="14.25" customHeight="1">
      <c r="B79" s="125" t="s">
        <v>657</v>
      </c>
      <c r="C79" s="125" t="s">
        <v>658</v>
      </c>
      <c r="D79" s="125" t="s">
        <v>659</v>
      </c>
      <c r="E79" s="125" t="s">
        <v>137</v>
      </c>
      <c r="F79" s="125">
        <v>1.0</v>
      </c>
      <c r="H79" s="125" t="s">
        <v>25</v>
      </c>
      <c r="K79" s="125" t="s">
        <v>53</v>
      </c>
      <c r="O79" s="125" t="s">
        <v>74</v>
      </c>
    </row>
    <row r="80" ht="14.25" customHeight="1">
      <c r="B80" s="125" t="s">
        <v>660</v>
      </c>
      <c r="C80" s="125" t="s">
        <v>661</v>
      </c>
      <c r="D80" s="125" t="s">
        <v>662</v>
      </c>
      <c r="F80" s="125">
        <v>3.0</v>
      </c>
      <c r="H80" s="125" t="s">
        <v>25</v>
      </c>
      <c r="K80" s="125" t="s">
        <v>53</v>
      </c>
      <c r="O80" s="125" t="s">
        <v>54</v>
      </c>
    </row>
    <row r="81" ht="14.25" customHeight="1">
      <c r="B81" s="125" t="s">
        <v>663</v>
      </c>
      <c r="C81" s="125" t="s">
        <v>458</v>
      </c>
      <c r="D81" s="125" t="s">
        <v>459</v>
      </c>
      <c r="F81" s="125">
        <v>1.0</v>
      </c>
      <c r="H81" s="125" t="s">
        <v>25</v>
      </c>
      <c r="M81" s="125" t="s">
        <v>133</v>
      </c>
      <c r="O81" s="125" t="s">
        <v>74</v>
      </c>
    </row>
    <row r="82" ht="14.25" customHeight="1">
      <c r="B82" s="125" t="s">
        <v>664</v>
      </c>
      <c r="C82" s="125" t="s">
        <v>665</v>
      </c>
      <c r="D82" s="125" t="s">
        <v>462</v>
      </c>
      <c r="F82" s="125">
        <v>0.7</v>
      </c>
      <c r="H82" s="125" t="s">
        <v>25</v>
      </c>
      <c r="M82" s="125" t="s">
        <v>133</v>
      </c>
      <c r="O82" s="125" t="s">
        <v>74</v>
      </c>
    </row>
    <row r="83" ht="14.25" customHeight="1">
      <c r="B83" s="125" t="s">
        <v>666</v>
      </c>
      <c r="C83" s="125" t="s">
        <v>462</v>
      </c>
      <c r="D83" s="125" t="s">
        <v>667</v>
      </c>
      <c r="F83" s="125">
        <v>0.7</v>
      </c>
      <c r="H83" s="125" t="s">
        <v>25</v>
      </c>
      <c r="M83" s="125" t="s">
        <v>129</v>
      </c>
      <c r="O83" s="125" t="s">
        <v>54</v>
      </c>
    </row>
    <row r="84" ht="14.25" customHeight="1">
      <c r="B84" s="125" t="s">
        <v>668</v>
      </c>
      <c r="C84" s="125" t="s">
        <v>462</v>
      </c>
      <c r="D84" s="125" t="s">
        <v>667</v>
      </c>
      <c r="F84" s="125">
        <v>1.0</v>
      </c>
      <c r="H84" s="125" t="s">
        <v>25</v>
      </c>
      <c r="M84" s="125" t="s">
        <v>129</v>
      </c>
      <c r="O84" s="125" t="s">
        <v>74</v>
      </c>
    </row>
    <row r="85" ht="14.25" customHeight="1">
      <c r="B85" s="125" t="s">
        <v>669</v>
      </c>
      <c r="C85" s="125" t="s">
        <v>114</v>
      </c>
      <c r="D85" s="125" t="s">
        <v>317</v>
      </c>
      <c r="F85" s="125">
        <v>0.5</v>
      </c>
      <c r="H85" s="125" t="s">
        <v>25</v>
      </c>
      <c r="K85" s="125" t="s">
        <v>53</v>
      </c>
      <c r="O85" s="125" t="s">
        <v>54</v>
      </c>
    </row>
    <row r="86" ht="14.25" customHeight="1">
      <c r="B86" s="125" t="s">
        <v>670</v>
      </c>
      <c r="C86" s="125" t="s">
        <v>671</v>
      </c>
      <c r="D86" s="125" t="s">
        <v>317</v>
      </c>
      <c r="E86" s="125" t="s">
        <v>137</v>
      </c>
      <c r="F86" s="125">
        <v>1.3</v>
      </c>
      <c r="H86" s="125" t="s">
        <v>25</v>
      </c>
      <c r="M86" s="125" t="s">
        <v>129</v>
      </c>
      <c r="O86" s="125" t="s">
        <v>74</v>
      </c>
    </row>
    <row r="87" ht="14.25" customHeight="1">
      <c r="B87" s="125" t="s">
        <v>672</v>
      </c>
      <c r="C87" s="125" t="s">
        <v>673</v>
      </c>
      <c r="D87" s="125" t="s">
        <v>139</v>
      </c>
      <c r="F87" s="125">
        <v>1.5</v>
      </c>
      <c r="H87" s="125" t="s">
        <v>25</v>
      </c>
      <c r="M87" s="125" t="s">
        <v>133</v>
      </c>
      <c r="O87" s="125" t="s">
        <v>54</v>
      </c>
    </row>
    <row r="88" ht="14.25" customHeight="1">
      <c r="B88" s="125" t="s">
        <v>674</v>
      </c>
      <c r="C88" s="125" t="s">
        <v>675</v>
      </c>
      <c r="D88" s="125" t="s">
        <v>676</v>
      </c>
      <c r="F88" s="125">
        <v>1.0</v>
      </c>
      <c r="H88" s="125" t="s">
        <v>27</v>
      </c>
      <c r="K88" s="125" t="s">
        <v>480</v>
      </c>
      <c r="O88" s="125" t="s">
        <v>74</v>
      </c>
    </row>
    <row r="89" ht="14.25" customHeight="1">
      <c r="B89" s="125" t="s">
        <v>677</v>
      </c>
      <c r="C89" s="125" t="s">
        <v>678</v>
      </c>
      <c r="D89" s="125" t="s">
        <v>679</v>
      </c>
      <c r="F89" s="125">
        <v>1.5</v>
      </c>
      <c r="H89" s="125" t="s">
        <v>27</v>
      </c>
      <c r="K89" s="125" t="s">
        <v>172</v>
      </c>
      <c r="O89" s="125" t="s">
        <v>54</v>
      </c>
    </row>
    <row r="90" ht="14.25" customHeight="1">
      <c r="B90" s="125" t="s">
        <v>680</v>
      </c>
      <c r="C90" s="125" t="s">
        <v>681</v>
      </c>
      <c r="D90" s="125" t="s">
        <v>323</v>
      </c>
      <c r="E90" s="125" t="s">
        <v>86</v>
      </c>
      <c r="F90" s="125">
        <v>2.0</v>
      </c>
      <c r="H90" s="125" t="s">
        <v>27</v>
      </c>
      <c r="M90" s="125" t="s">
        <v>682</v>
      </c>
      <c r="O90" s="125" t="s">
        <v>54</v>
      </c>
    </row>
    <row r="91" ht="14.25" customHeight="1">
      <c r="B91" s="125" t="s">
        <v>64</v>
      </c>
      <c r="C91" s="125" t="s">
        <v>683</v>
      </c>
      <c r="D91" s="125" t="s">
        <v>684</v>
      </c>
      <c r="F91" s="125">
        <v>2.0</v>
      </c>
      <c r="H91" s="125" t="s">
        <v>27</v>
      </c>
      <c r="M91" s="125" t="s">
        <v>580</v>
      </c>
      <c r="O91" s="125" t="s">
        <v>74</v>
      </c>
    </row>
    <row r="92" ht="14.25" customHeight="1">
      <c r="B92" s="125" t="s">
        <v>685</v>
      </c>
      <c r="C92" s="125" t="s">
        <v>686</v>
      </c>
      <c r="D92" s="125" t="s">
        <v>687</v>
      </c>
      <c r="F92" s="125">
        <v>1.2</v>
      </c>
      <c r="H92" s="125" t="s">
        <v>27</v>
      </c>
      <c r="I92" s="125" t="s">
        <v>179</v>
      </c>
      <c r="O92" s="125" t="s">
        <v>54</v>
      </c>
    </row>
    <row r="93" ht="14.25" customHeight="1">
      <c r="B93" s="125" t="s">
        <v>688</v>
      </c>
      <c r="C93" s="125" t="s">
        <v>689</v>
      </c>
      <c r="D93" s="125" t="s">
        <v>687</v>
      </c>
      <c r="F93" s="125">
        <v>1.8</v>
      </c>
      <c r="H93" s="125" t="s">
        <v>27</v>
      </c>
      <c r="K93" s="125" t="s">
        <v>172</v>
      </c>
      <c r="O93" s="125" t="s">
        <v>54</v>
      </c>
    </row>
    <row r="94" ht="14.25" customHeight="1">
      <c r="B94" s="125" t="s">
        <v>688</v>
      </c>
      <c r="C94" s="125" t="s">
        <v>690</v>
      </c>
      <c r="D94" s="125" t="s">
        <v>691</v>
      </c>
      <c r="F94" s="125">
        <v>1.2</v>
      </c>
      <c r="H94" s="125" t="s">
        <v>27</v>
      </c>
      <c r="K94" s="125" t="s">
        <v>53</v>
      </c>
      <c r="O94" s="125" t="s">
        <v>54</v>
      </c>
    </row>
    <row r="95" ht="14.25" customHeight="1">
      <c r="B95" s="125" t="s">
        <v>692</v>
      </c>
      <c r="C95" s="125" t="s">
        <v>693</v>
      </c>
      <c r="D95" s="125" t="s">
        <v>694</v>
      </c>
      <c r="F95" s="125">
        <v>2.0</v>
      </c>
      <c r="H95" s="125" t="s">
        <v>27</v>
      </c>
      <c r="M95" s="125" t="s">
        <v>682</v>
      </c>
      <c r="O95" s="125" t="s">
        <v>54</v>
      </c>
    </row>
    <row r="96" ht="14.25" customHeight="1">
      <c r="B96" s="125" t="s">
        <v>695</v>
      </c>
      <c r="C96" s="125" t="s">
        <v>693</v>
      </c>
      <c r="D96" s="125" t="s">
        <v>694</v>
      </c>
      <c r="F96" s="125">
        <v>2.0</v>
      </c>
      <c r="H96" s="125" t="s">
        <v>27</v>
      </c>
      <c r="K96" s="125" t="s">
        <v>53</v>
      </c>
      <c r="O96" s="125" t="s">
        <v>54</v>
      </c>
    </row>
    <row r="97" ht="14.25" customHeight="1">
      <c r="B97" s="125" t="s">
        <v>696</v>
      </c>
      <c r="C97" s="125" t="s">
        <v>697</v>
      </c>
      <c r="D97" s="125" t="s">
        <v>694</v>
      </c>
      <c r="F97" s="125">
        <v>2.0</v>
      </c>
      <c r="H97" s="125" t="s">
        <v>27</v>
      </c>
      <c r="K97" s="125" t="s">
        <v>53</v>
      </c>
      <c r="O97" s="125" t="s">
        <v>54</v>
      </c>
    </row>
    <row r="98" ht="14.25" customHeight="1">
      <c r="B98" s="125" t="s">
        <v>698</v>
      </c>
      <c r="C98" s="125" t="s">
        <v>697</v>
      </c>
      <c r="D98" s="125" t="s">
        <v>694</v>
      </c>
      <c r="F98" s="125">
        <v>0.8</v>
      </c>
      <c r="H98" s="125" t="s">
        <v>27</v>
      </c>
      <c r="K98" s="125" t="s">
        <v>172</v>
      </c>
      <c r="O98" s="125" t="s">
        <v>74</v>
      </c>
    </row>
    <row r="99" ht="14.25" customHeight="1">
      <c r="B99" s="125" t="s">
        <v>699</v>
      </c>
      <c r="C99" s="125" t="s">
        <v>700</v>
      </c>
      <c r="D99" s="125" t="s">
        <v>701</v>
      </c>
      <c r="E99" s="125" t="s">
        <v>137</v>
      </c>
      <c r="F99" s="125">
        <v>2.0</v>
      </c>
      <c r="H99" s="125" t="s">
        <v>27</v>
      </c>
      <c r="I99" s="125" t="s">
        <v>196</v>
      </c>
      <c r="O99" s="125" t="s">
        <v>74</v>
      </c>
    </row>
    <row r="100" ht="14.25" customHeight="1">
      <c r="B100" s="125" t="s">
        <v>702</v>
      </c>
      <c r="C100" s="125" t="s">
        <v>703</v>
      </c>
      <c r="D100" s="125" t="s">
        <v>704</v>
      </c>
      <c r="F100" s="125">
        <v>2.8</v>
      </c>
      <c r="H100" s="125" t="s">
        <v>27</v>
      </c>
      <c r="K100" s="125" t="s">
        <v>172</v>
      </c>
      <c r="O100" s="125" t="s">
        <v>54</v>
      </c>
    </row>
    <row r="101" ht="14.25" customHeight="1">
      <c r="B101" s="125" t="s">
        <v>705</v>
      </c>
      <c r="C101" s="125" t="s">
        <v>701</v>
      </c>
      <c r="D101" s="125" t="s">
        <v>706</v>
      </c>
      <c r="F101" s="125">
        <v>2.0</v>
      </c>
      <c r="H101" s="125" t="s">
        <v>27</v>
      </c>
      <c r="K101" s="125" t="s">
        <v>172</v>
      </c>
      <c r="O101" s="125" t="s">
        <v>54</v>
      </c>
    </row>
    <row r="102" ht="14.25" customHeight="1">
      <c r="B102" s="125" t="s">
        <v>707</v>
      </c>
      <c r="C102" s="125" t="s">
        <v>708</v>
      </c>
      <c r="D102" s="125" t="s">
        <v>709</v>
      </c>
      <c r="F102" s="125">
        <v>1.0</v>
      </c>
      <c r="H102" s="125" t="s">
        <v>27</v>
      </c>
      <c r="M102" s="125" t="s">
        <v>710</v>
      </c>
      <c r="O102" s="125" t="s">
        <v>54</v>
      </c>
    </row>
    <row r="103" ht="14.25" customHeight="1">
      <c r="B103" s="125" t="s">
        <v>711</v>
      </c>
      <c r="C103" s="125" t="s">
        <v>712</v>
      </c>
      <c r="D103" s="125" t="s">
        <v>713</v>
      </c>
      <c r="E103" s="125" t="s">
        <v>86</v>
      </c>
      <c r="F103" s="125">
        <v>1.5</v>
      </c>
      <c r="H103" s="125" t="s">
        <v>27</v>
      </c>
      <c r="K103" s="125" t="s">
        <v>172</v>
      </c>
      <c r="O103" s="125" t="s">
        <v>54</v>
      </c>
    </row>
    <row r="104" ht="14.25" customHeight="1">
      <c r="B104" s="125" t="s">
        <v>714</v>
      </c>
      <c r="C104" s="125" t="s">
        <v>712</v>
      </c>
      <c r="D104" s="125" t="s">
        <v>713</v>
      </c>
      <c r="F104" s="125">
        <v>1.0</v>
      </c>
      <c r="H104" s="125" t="s">
        <v>27</v>
      </c>
      <c r="K104" s="125" t="s">
        <v>53</v>
      </c>
      <c r="O104" s="125" t="s">
        <v>74</v>
      </c>
    </row>
    <row r="105" ht="14.25" customHeight="1">
      <c r="B105" s="125" t="s">
        <v>711</v>
      </c>
      <c r="C105" s="125" t="s">
        <v>715</v>
      </c>
      <c r="D105" s="125" t="s">
        <v>713</v>
      </c>
      <c r="E105" s="125" t="s">
        <v>137</v>
      </c>
      <c r="F105" s="125">
        <v>1.5</v>
      </c>
      <c r="H105" s="125" t="s">
        <v>27</v>
      </c>
      <c r="K105" s="125" t="s">
        <v>172</v>
      </c>
      <c r="O105" s="125" t="s">
        <v>54</v>
      </c>
    </row>
    <row r="106" ht="14.25" customHeight="1">
      <c r="B106" s="125" t="s">
        <v>716</v>
      </c>
      <c r="C106" s="125" t="s">
        <v>717</v>
      </c>
      <c r="D106" s="125" t="s">
        <v>718</v>
      </c>
      <c r="F106" s="125">
        <v>1.7</v>
      </c>
      <c r="H106" s="125" t="s">
        <v>27</v>
      </c>
      <c r="K106" s="125" t="s">
        <v>53</v>
      </c>
      <c r="O106" s="125" t="s">
        <v>54</v>
      </c>
    </row>
    <row r="107" ht="14.25" customHeight="1">
      <c r="B107" s="125" t="s">
        <v>719</v>
      </c>
      <c r="C107" s="125" t="s">
        <v>687</v>
      </c>
      <c r="D107" s="125" t="s">
        <v>686</v>
      </c>
      <c r="F107" s="125">
        <v>2.0</v>
      </c>
      <c r="H107" s="125" t="s">
        <v>27</v>
      </c>
      <c r="M107" s="125" t="s">
        <v>133</v>
      </c>
      <c r="O107" s="125" t="s">
        <v>74</v>
      </c>
    </row>
    <row r="108" ht="14.25" customHeight="1">
      <c r="B108" s="125" t="s">
        <v>720</v>
      </c>
      <c r="C108" s="125" t="s">
        <v>693</v>
      </c>
      <c r="D108" s="125" t="s">
        <v>694</v>
      </c>
      <c r="F108" s="125">
        <v>2.0</v>
      </c>
      <c r="H108" s="125" t="s">
        <v>27</v>
      </c>
      <c r="K108" s="125" t="s">
        <v>53</v>
      </c>
      <c r="O108" s="125" t="s">
        <v>54</v>
      </c>
    </row>
    <row r="109" ht="14.25" customHeight="1">
      <c r="B109" s="125" t="s">
        <v>721</v>
      </c>
      <c r="D109" s="125" t="s">
        <v>701</v>
      </c>
      <c r="F109" s="125">
        <v>2.0</v>
      </c>
      <c r="H109" s="125" t="s">
        <v>27</v>
      </c>
      <c r="M109" s="125" t="s">
        <v>682</v>
      </c>
      <c r="O109" s="125" t="s">
        <v>74</v>
      </c>
    </row>
    <row r="110" ht="14.25" customHeight="1">
      <c r="B110" s="125" t="s">
        <v>699</v>
      </c>
      <c r="C110" s="125" t="s">
        <v>722</v>
      </c>
      <c r="D110" s="125" t="s">
        <v>701</v>
      </c>
      <c r="E110" s="125" t="s">
        <v>86</v>
      </c>
      <c r="F110" s="125">
        <v>2.0</v>
      </c>
      <c r="H110" s="125" t="s">
        <v>27</v>
      </c>
      <c r="K110" s="125" t="s">
        <v>53</v>
      </c>
      <c r="O110" s="125" t="s">
        <v>74</v>
      </c>
    </row>
    <row r="111" ht="14.25" customHeight="1">
      <c r="B111" s="125" t="s">
        <v>723</v>
      </c>
      <c r="C111" s="125" t="s">
        <v>724</v>
      </c>
      <c r="D111" s="125" t="s">
        <v>725</v>
      </c>
      <c r="F111" s="125">
        <v>2.0</v>
      </c>
      <c r="H111" s="125" t="s">
        <v>27</v>
      </c>
      <c r="K111" s="125" t="s">
        <v>172</v>
      </c>
      <c r="O111" s="125" t="s">
        <v>74</v>
      </c>
    </row>
    <row r="112" ht="14.25" customHeight="1">
      <c r="B112" s="125" t="s">
        <v>726</v>
      </c>
      <c r="C112" s="125" t="s">
        <v>724</v>
      </c>
      <c r="D112" s="125" t="s">
        <v>725</v>
      </c>
      <c r="F112" s="125">
        <v>2.0</v>
      </c>
      <c r="H112" s="125" t="s">
        <v>27</v>
      </c>
      <c r="K112" s="125" t="s">
        <v>172</v>
      </c>
      <c r="O112" s="125" t="s">
        <v>74</v>
      </c>
    </row>
    <row r="113" ht="14.25" customHeight="1">
      <c r="B113" s="125" t="s">
        <v>727</v>
      </c>
      <c r="C113" s="125" t="s">
        <v>728</v>
      </c>
      <c r="D113" s="125" t="s">
        <v>729</v>
      </c>
      <c r="E113" s="125" t="s">
        <v>86</v>
      </c>
      <c r="F113" s="125">
        <v>2.0</v>
      </c>
      <c r="H113" s="125" t="s">
        <v>28</v>
      </c>
      <c r="M113" s="125" t="s">
        <v>526</v>
      </c>
      <c r="O113" s="125" t="s">
        <v>54</v>
      </c>
    </row>
    <row r="114" ht="14.25" customHeight="1">
      <c r="B114" s="125" t="s">
        <v>730</v>
      </c>
      <c r="C114" s="125" t="s">
        <v>731</v>
      </c>
      <c r="D114" s="125" t="s">
        <v>732</v>
      </c>
      <c r="F114" s="125">
        <v>2.4</v>
      </c>
      <c r="H114" s="125" t="s">
        <v>28</v>
      </c>
      <c r="M114" s="125" t="s">
        <v>509</v>
      </c>
      <c r="O114" s="125" t="s">
        <v>54</v>
      </c>
    </row>
    <row r="115" ht="14.25" customHeight="1">
      <c r="B115" s="125" t="s">
        <v>733</v>
      </c>
      <c r="C115" s="125" t="s">
        <v>171</v>
      </c>
      <c r="D115" s="125" t="s">
        <v>734</v>
      </c>
      <c r="F115" s="125">
        <v>0.6</v>
      </c>
      <c r="H115" s="125" t="s">
        <v>28</v>
      </c>
      <c r="K115" s="125" t="s">
        <v>168</v>
      </c>
      <c r="O115" s="125" t="s">
        <v>54</v>
      </c>
    </row>
    <row r="116" ht="14.25" customHeight="1">
      <c r="B116" s="125" t="s">
        <v>735</v>
      </c>
      <c r="C116" s="125" t="s">
        <v>736</v>
      </c>
      <c r="D116" s="125" t="s">
        <v>69</v>
      </c>
      <c r="F116" s="125">
        <v>0.6</v>
      </c>
      <c r="H116" s="125" t="s">
        <v>29</v>
      </c>
      <c r="K116" s="125" t="s">
        <v>53</v>
      </c>
      <c r="O116" s="125" t="s">
        <v>74</v>
      </c>
    </row>
    <row r="117" ht="14.25" customHeight="1">
      <c r="B117" s="125" t="s">
        <v>737</v>
      </c>
      <c r="C117" s="125" t="s">
        <v>738</v>
      </c>
      <c r="D117" s="125" t="s">
        <v>739</v>
      </c>
      <c r="F117" s="125">
        <v>0.9</v>
      </c>
      <c r="H117" s="125" t="s">
        <v>29</v>
      </c>
      <c r="M117" s="125" t="s">
        <v>740</v>
      </c>
      <c r="O117" s="125" t="s">
        <v>54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C$117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741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J11" si="1">SUM(B12:B23)</f>
        <v>109</v>
      </c>
      <c r="C11" s="50">
        <f t="shared" si="1"/>
        <v>61.8</v>
      </c>
      <c r="D11" s="51">
        <f t="shared" si="1"/>
        <v>0</v>
      </c>
      <c r="E11" s="51">
        <f t="shared" si="1"/>
        <v>54.9</v>
      </c>
      <c r="F11" s="51">
        <f t="shared" si="1"/>
        <v>0</v>
      </c>
      <c r="G11" s="51">
        <f t="shared" si="1"/>
        <v>7.7</v>
      </c>
      <c r="H11" s="52">
        <f t="shared" si="1"/>
        <v>0</v>
      </c>
      <c r="I11" s="53">
        <f t="shared" si="1"/>
        <v>10</v>
      </c>
      <c r="J11" s="51">
        <f t="shared" si="1"/>
        <v>0</v>
      </c>
      <c r="K11" s="51"/>
      <c r="L11" s="51">
        <f t="shared" ref="L11:W11" si="2">SUM(L12:L23)</f>
        <v>0</v>
      </c>
      <c r="M11" s="54">
        <f t="shared" si="2"/>
        <v>9.8</v>
      </c>
      <c r="N11" s="50">
        <f t="shared" si="2"/>
        <v>0</v>
      </c>
      <c r="O11" s="51">
        <f t="shared" si="2"/>
        <v>0</v>
      </c>
      <c r="P11" s="52">
        <f t="shared" si="2"/>
        <v>0</v>
      </c>
      <c r="Q11" s="55">
        <f t="shared" si="2"/>
        <v>52.1</v>
      </c>
      <c r="R11" s="50">
        <f t="shared" si="2"/>
        <v>71.8</v>
      </c>
      <c r="S11" s="51">
        <f t="shared" si="2"/>
        <v>0</v>
      </c>
      <c r="T11" s="51">
        <f t="shared" si="2"/>
        <v>87.2</v>
      </c>
      <c r="U11" s="51">
        <f t="shared" si="2"/>
        <v>0</v>
      </c>
      <c r="V11" s="51">
        <f t="shared" si="2"/>
        <v>17.5</v>
      </c>
      <c r="W11" s="52">
        <f t="shared" si="2"/>
        <v>176.5</v>
      </c>
      <c r="X11" s="56"/>
      <c r="Y11" s="57"/>
      <c r="Z11" s="57"/>
    </row>
    <row r="12" ht="14.25" customHeight="1">
      <c r="A12" s="58" t="s">
        <v>20</v>
      </c>
      <c r="B12" s="79">
        <v>0.0</v>
      </c>
      <c r="C12" s="62"/>
      <c r="D12" s="80"/>
      <c r="E12" s="80"/>
      <c r="F12" s="80"/>
      <c r="G12" s="80"/>
      <c r="H12" s="59"/>
      <c r="I12" s="60"/>
      <c r="J12" s="80"/>
      <c r="K12" s="139"/>
      <c r="L12" s="80"/>
      <c r="M12" s="83"/>
      <c r="N12" s="62"/>
      <c r="O12" s="80"/>
      <c r="P12" s="59"/>
      <c r="Q12" s="61">
        <f t="shared" ref="Q12:Q22" si="5">SUM(I12:P12)</f>
        <v>0</v>
      </c>
      <c r="R12" s="62">
        <f t="shared" ref="R12:S12" si="3">C12+I12</f>
        <v>0</v>
      </c>
      <c r="S12" s="80">
        <f t="shared" si="3"/>
        <v>0</v>
      </c>
      <c r="T12" s="80">
        <f t="shared" ref="T12:V12" si="4">E12+K12+N12</f>
        <v>0</v>
      </c>
      <c r="U12" s="80">
        <f t="shared" si="4"/>
        <v>0</v>
      </c>
      <c r="V12" s="80">
        <f t="shared" si="4"/>
        <v>0</v>
      </c>
      <c r="W12" s="59">
        <f t="shared" ref="W12:W22" si="8">SUM(R12:V12)</f>
        <v>0</v>
      </c>
      <c r="X12" s="64"/>
    </row>
    <row r="13" ht="14.25" customHeight="1">
      <c r="A13" s="58" t="s">
        <v>21</v>
      </c>
      <c r="B13" s="79">
        <v>0.0</v>
      </c>
      <c r="C13" s="62"/>
      <c r="D13" s="80"/>
      <c r="E13" s="80"/>
      <c r="F13" s="80"/>
      <c r="G13" s="80"/>
      <c r="H13" s="59"/>
      <c r="I13" s="60"/>
      <c r="J13" s="80"/>
      <c r="K13" s="80"/>
      <c r="L13" s="80"/>
      <c r="M13" s="83"/>
      <c r="N13" s="62"/>
      <c r="O13" s="80"/>
      <c r="P13" s="59"/>
      <c r="Q13" s="61">
        <f t="shared" si="5"/>
        <v>0</v>
      </c>
      <c r="R13" s="62">
        <f t="shared" ref="R13:S13" si="6">C13+I13</f>
        <v>0</v>
      </c>
      <c r="S13" s="80">
        <f t="shared" si="6"/>
        <v>0</v>
      </c>
      <c r="T13" s="80">
        <f t="shared" ref="T13:V13" si="7">E13+K13+N13</f>
        <v>0</v>
      </c>
      <c r="U13" s="80">
        <f t="shared" si="7"/>
        <v>0</v>
      </c>
      <c r="V13" s="80">
        <f t="shared" si="7"/>
        <v>0</v>
      </c>
      <c r="W13" s="59">
        <f t="shared" si="8"/>
        <v>0</v>
      </c>
      <c r="X13" s="64"/>
    </row>
    <row r="14" ht="14.25" customHeight="1">
      <c r="A14" s="58" t="s">
        <v>22</v>
      </c>
      <c r="B14" s="79">
        <v>0.0</v>
      </c>
      <c r="C14" s="62"/>
      <c r="D14" s="80"/>
      <c r="E14" s="80"/>
      <c r="F14" s="80"/>
      <c r="G14" s="80"/>
      <c r="H14" s="59"/>
      <c r="I14" s="60"/>
      <c r="J14" s="80"/>
      <c r="K14" s="80"/>
      <c r="L14" s="80"/>
      <c r="M14" s="83"/>
      <c r="N14" s="62"/>
      <c r="O14" s="80"/>
      <c r="P14" s="59"/>
      <c r="Q14" s="61">
        <f t="shared" si="5"/>
        <v>0</v>
      </c>
      <c r="R14" s="62">
        <f t="shared" ref="R14:S14" si="9">C14+I14</f>
        <v>0</v>
      </c>
      <c r="S14" s="80">
        <f t="shared" si="9"/>
        <v>0</v>
      </c>
      <c r="T14" s="80">
        <f t="shared" ref="T14:V14" si="10">E14+K14+N14</f>
        <v>0</v>
      </c>
      <c r="U14" s="80">
        <f t="shared" si="10"/>
        <v>0</v>
      </c>
      <c r="V14" s="80">
        <f t="shared" si="10"/>
        <v>0</v>
      </c>
      <c r="W14" s="59">
        <f t="shared" si="8"/>
        <v>0</v>
      </c>
      <c r="X14" s="64"/>
    </row>
    <row r="15" ht="14.25" customHeight="1">
      <c r="A15" s="58" t="s">
        <v>23</v>
      </c>
      <c r="B15" s="79">
        <v>0.0</v>
      </c>
      <c r="C15" s="62"/>
      <c r="D15" s="80"/>
      <c r="E15" s="80"/>
      <c r="F15" s="80"/>
      <c r="G15" s="80"/>
      <c r="H15" s="59"/>
      <c r="I15" s="60"/>
      <c r="J15" s="80"/>
      <c r="K15" s="80"/>
      <c r="L15" s="80"/>
      <c r="M15" s="83"/>
      <c r="N15" s="62"/>
      <c r="O15" s="80"/>
      <c r="P15" s="59"/>
      <c r="Q15" s="61">
        <f t="shared" si="5"/>
        <v>0</v>
      </c>
      <c r="R15" s="62">
        <f t="shared" ref="R15:S15" si="11">C15+I15</f>
        <v>0</v>
      </c>
      <c r="S15" s="80">
        <f t="shared" si="11"/>
        <v>0</v>
      </c>
      <c r="T15" s="80">
        <f t="shared" ref="T15:V15" si="12">E15+K15+N15</f>
        <v>0</v>
      </c>
      <c r="U15" s="80">
        <f t="shared" si="12"/>
        <v>0</v>
      </c>
      <c r="V15" s="80">
        <f t="shared" si="12"/>
        <v>0</v>
      </c>
      <c r="W15" s="59">
        <f t="shared" si="8"/>
        <v>0</v>
      </c>
      <c r="X15" s="64"/>
    </row>
    <row r="16" ht="14.25" customHeight="1">
      <c r="A16" s="58" t="s">
        <v>24</v>
      </c>
      <c r="B16" s="79">
        <v>0.0</v>
      </c>
      <c r="C16" s="62"/>
      <c r="D16" s="80"/>
      <c r="E16" s="80"/>
      <c r="F16" s="80"/>
      <c r="G16" s="80"/>
      <c r="H16" s="59"/>
      <c r="I16" s="60"/>
      <c r="J16" s="80"/>
      <c r="K16" s="80"/>
      <c r="L16" s="80"/>
      <c r="M16" s="83"/>
      <c r="N16" s="62"/>
      <c r="O16" s="80"/>
      <c r="P16" s="59"/>
      <c r="Q16" s="61">
        <f t="shared" si="5"/>
        <v>0</v>
      </c>
      <c r="R16" s="62">
        <f t="shared" ref="R16:S16" si="13">C16+I16</f>
        <v>0</v>
      </c>
      <c r="S16" s="80">
        <f t="shared" si="13"/>
        <v>0</v>
      </c>
      <c r="T16" s="80">
        <f t="shared" ref="T16:V16" si="14">E16+K16+N16</f>
        <v>0</v>
      </c>
      <c r="U16" s="80">
        <f t="shared" si="14"/>
        <v>0</v>
      </c>
      <c r="V16" s="80">
        <f t="shared" si="14"/>
        <v>0</v>
      </c>
      <c r="W16" s="59">
        <f t="shared" si="8"/>
        <v>0</v>
      </c>
      <c r="X16" s="64"/>
    </row>
    <row r="17" ht="14.25" customHeight="1">
      <c r="A17" s="58" t="s">
        <v>25</v>
      </c>
      <c r="B17" s="79">
        <v>15.0</v>
      </c>
      <c r="C17" s="62"/>
      <c r="D17" s="80"/>
      <c r="E17" s="85">
        <v>5.8</v>
      </c>
      <c r="F17" s="80"/>
      <c r="G17" s="80"/>
      <c r="H17" s="59"/>
      <c r="I17" s="60"/>
      <c r="J17" s="80"/>
      <c r="K17" s="85">
        <v>5.9</v>
      </c>
      <c r="L17" s="80"/>
      <c r="M17" s="86">
        <v>7.3</v>
      </c>
      <c r="N17" s="62"/>
      <c r="O17" s="80"/>
      <c r="P17" s="59"/>
      <c r="Q17" s="61">
        <f t="shared" si="5"/>
        <v>13.2</v>
      </c>
      <c r="R17" s="62">
        <f t="shared" ref="R17:S17" si="15">C17+I17</f>
        <v>0</v>
      </c>
      <c r="S17" s="80">
        <f t="shared" si="15"/>
        <v>0</v>
      </c>
      <c r="T17" s="80">
        <f t="shared" ref="T17:V17" si="16">E17+K17+N17</f>
        <v>11.7</v>
      </c>
      <c r="U17" s="80">
        <f t="shared" si="16"/>
        <v>0</v>
      </c>
      <c r="V17" s="80">
        <f t="shared" si="16"/>
        <v>7.3</v>
      </c>
      <c r="W17" s="59">
        <f t="shared" si="8"/>
        <v>19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0"/>
      <c r="H18" s="59"/>
      <c r="I18" s="60"/>
      <c r="J18" s="80"/>
      <c r="K18" s="80"/>
      <c r="L18" s="80"/>
      <c r="M18" s="83"/>
      <c r="N18" s="62"/>
      <c r="O18" s="80"/>
      <c r="P18" s="59"/>
      <c r="Q18" s="61">
        <f t="shared" si="5"/>
        <v>0</v>
      </c>
      <c r="R18" s="62">
        <f t="shared" ref="R18:S18" si="17">C18+I18</f>
        <v>0</v>
      </c>
      <c r="S18" s="80">
        <f t="shared" si="17"/>
        <v>0</v>
      </c>
      <c r="T18" s="80">
        <f t="shared" ref="T18:V18" si="18">E18+K18+N18</f>
        <v>0</v>
      </c>
      <c r="U18" s="80">
        <f t="shared" si="18"/>
        <v>0</v>
      </c>
      <c r="V18" s="80">
        <f t="shared" si="18"/>
        <v>0</v>
      </c>
      <c r="W18" s="59">
        <f t="shared" si="8"/>
        <v>0</v>
      </c>
      <c r="X18" s="64"/>
    </row>
    <row r="19" ht="14.25" customHeight="1">
      <c r="A19" s="58" t="s">
        <v>27</v>
      </c>
      <c r="B19" s="79">
        <v>70.0</v>
      </c>
      <c r="C19" s="88">
        <v>8.3</v>
      </c>
      <c r="D19" s="80"/>
      <c r="E19" s="85">
        <v>49.1</v>
      </c>
      <c r="F19" s="80"/>
      <c r="G19" s="85">
        <v>7.7</v>
      </c>
      <c r="H19" s="59"/>
      <c r="I19" s="87">
        <v>10.0</v>
      </c>
      <c r="J19" s="80"/>
      <c r="K19" s="85">
        <v>26.4</v>
      </c>
      <c r="L19" s="80"/>
      <c r="M19" s="86">
        <v>2.5</v>
      </c>
      <c r="N19" s="62"/>
      <c r="O19" s="80"/>
      <c r="P19" s="59"/>
      <c r="Q19" s="61">
        <f t="shared" si="5"/>
        <v>38.9</v>
      </c>
      <c r="R19" s="62">
        <f t="shared" ref="R19:S19" si="19">C19+I19</f>
        <v>18.3</v>
      </c>
      <c r="S19" s="80">
        <f t="shared" si="19"/>
        <v>0</v>
      </c>
      <c r="T19" s="80">
        <f t="shared" ref="T19:V19" si="20">E19+K19+N19</f>
        <v>75.5</v>
      </c>
      <c r="U19" s="80">
        <f t="shared" si="20"/>
        <v>0</v>
      </c>
      <c r="V19" s="80">
        <f t="shared" si="20"/>
        <v>10.2</v>
      </c>
      <c r="W19" s="59">
        <f t="shared" si="8"/>
        <v>104</v>
      </c>
      <c r="X19" s="64"/>
    </row>
    <row r="20" ht="14.25" customHeight="1">
      <c r="A20" s="58" t="s">
        <v>28</v>
      </c>
      <c r="B20" s="79">
        <v>24.0</v>
      </c>
      <c r="C20" s="88">
        <v>53.5</v>
      </c>
      <c r="D20" s="80"/>
      <c r="E20" s="80"/>
      <c r="F20" s="80"/>
      <c r="G20" s="80"/>
      <c r="H20" s="59"/>
      <c r="I20" s="60"/>
      <c r="J20" s="80"/>
      <c r="K20" s="80"/>
      <c r="L20" s="80"/>
      <c r="M20" s="83"/>
      <c r="N20" s="62"/>
      <c r="O20" s="80"/>
      <c r="P20" s="59"/>
      <c r="Q20" s="61">
        <f t="shared" si="5"/>
        <v>0</v>
      </c>
      <c r="R20" s="62">
        <f t="shared" ref="R20:S20" si="21">C20+I20</f>
        <v>53.5</v>
      </c>
      <c r="S20" s="80">
        <f t="shared" si="21"/>
        <v>0</v>
      </c>
      <c r="T20" s="80">
        <f t="shared" ref="T20:V20" si="22">E20+K20+N20</f>
        <v>0</v>
      </c>
      <c r="U20" s="80">
        <f t="shared" si="22"/>
        <v>0</v>
      </c>
      <c r="V20" s="80">
        <f t="shared" si="22"/>
        <v>0</v>
      </c>
      <c r="W20" s="59">
        <f t="shared" si="8"/>
        <v>53.5</v>
      </c>
      <c r="X20" s="64"/>
    </row>
    <row r="21" ht="14.25" customHeight="1">
      <c r="A21" s="58" t="s">
        <v>29</v>
      </c>
      <c r="B21" s="79">
        <v>0.0</v>
      </c>
      <c r="C21" s="62"/>
      <c r="D21" s="80"/>
      <c r="E21" s="80"/>
      <c r="F21" s="80"/>
      <c r="G21" s="80"/>
      <c r="H21" s="59"/>
      <c r="I21" s="60"/>
      <c r="J21" s="80"/>
      <c r="K21" s="80"/>
      <c r="L21" s="80"/>
      <c r="M21" s="83"/>
      <c r="N21" s="62"/>
      <c r="O21" s="80"/>
      <c r="P21" s="59"/>
      <c r="Q21" s="61">
        <f t="shared" si="5"/>
        <v>0</v>
      </c>
      <c r="R21" s="62">
        <f t="shared" ref="R21:S21" si="23">C21+I21</f>
        <v>0</v>
      </c>
      <c r="S21" s="80">
        <f t="shared" si="23"/>
        <v>0</v>
      </c>
      <c r="T21" s="80">
        <f t="shared" ref="T21:V21" si="24">E21+K21+N21</f>
        <v>0</v>
      </c>
      <c r="U21" s="80">
        <f t="shared" si="24"/>
        <v>0</v>
      </c>
      <c r="V21" s="80">
        <f t="shared" si="24"/>
        <v>0</v>
      </c>
      <c r="W21" s="59">
        <f t="shared" si="8"/>
        <v>0</v>
      </c>
      <c r="X21" s="64"/>
    </row>
    <row r="22" ht="14.25" customHeight="1">
      <c r="A22" s="58" t="s">
        <v>30</v>
      </c>
      <c r="B22" s="79">
        <v>0.0</v>
      </c>
      <c r="C22" s="62"/>
      <c r="D22" s="80"/>
      <c r="E22" s="80"/>
      <c r="F22" s="80"/>
      <c r="G22" s="80"/>
      <c r="H22" s="59"/>
      <c r="I22" s="60"/>
      <c r="J22" s="80"/>
      <c r="K22" s="80"/>
      <c r="L22" s="80"/>
      <c r="M22" s="83"/>
      <c r="N22" s="62"/>
      <c r="O22" s="80"/>
      <c r="P22" s="59"/>
      <c r="Q22" s="61">
        <f t="shared" si="5"/>
        <v>0</v>
      </c>
      <c r="R22" s="62">
        <f t="shared" ref="R22:S22" si="25">C22+I22</f>
        <v>0</v>
      </c>
      <c r="S22" s="80">
        <f t="shared" si="25"/>
        <v>0</v>
      </c>
      <c r="T22" s="80">
        <f t="shared" ref="T22:V22" si="26">E22+K22+N22</f>
        <v>0</v>
      </c>
      <c r="U22" s="80">
        <f t="shared" si="26"/>
        <v>0</v>
      </c>
      <c r="V22" s="80">
        <f t="shared" si="26"/>
        <v>0</v>
      </c>
      <c r="W22" s="59">
        <f t="shared" si="8"/>
        <v>0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2" width="13.5"/>
    <col customWidth="1" min="3" max="4" width="11.13"/>
    <col customWidth="1" min="5" max="5" width="8.38"/>
    <col customWidth="1" min="6" max="6" width="10.0"/>
    <col customWidth="1" min="7" max="7" width="6.88"/>
    <col customWidth="1" min="8" max="14" width="10.0"/>
    <col customWidth="1" min="15" max="15" width="10.63"/>
    <col customWidth="1" min="16" max="16" width="6.63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134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485</v>
      </c>
      <c r="J5" s="91"/>
      <c r="K5" s="134" t="s">
        <v>486</v>
      </c>
      <c r="L5" s="91"/>
      <c r="M5" s="134" t="s">
        <v>487</v>
      </c>
      <c r="N5" s="91"/>
      <c r="O5" s="91"/>
    </row>
    <row r="6" ht="14.25" customHeight="1">
      <c r="A6" s="95" t="s">
        <v>742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40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62</v>
      </c>
      <c r="C9" s="118" t="s">
        <v>743</v>
      </c>
      <c r="D9" s="118" t="s">
        <v>744</v>
      </c>
      <c r="E9" s="117"/>
      <c r="F9" s="118">
        <v>1.5</v>
      </c>
      <c r="G9" s="117"/>
      <c r="H9" s="118" t="s">
        <v>25</v>
      </c>
      <c r="I9" s="137"/>
      <c r="J9" s="120"/>
      <c r="K9" s="120"/>
      <c r="L9" s="120"/>
      <c r="M9" s="137" t="s">
        <v>129</v>
      </c>
      <c r="N9" s="120"/>
      <c r="O9" s="121" t="s">
        <v>74</v>
      </c>
      <c r="P9" s="125" t="s">
        <v>190</v>
      </c>
    </row>
    <row r="10" ht="14.25" customHeight="1">
      <c r="A10" s="117"/>
      <c r="B10" s="118" t="s">
        <v>745</v>
      </c>
      <c r="C10" s="118" t="s">
        <v>746</v>
      </c>
      <c r="D10" s="118" t="s">
        <v>747</v>
      </c>
      <c r="E10" s="117"/>
      <c r="F10" s="118">
        <v>2.0</v>
      </c>
      <c r="G10" s="117"/>
      <c r="H10" s="118" t="s">
        <v>25</v>
      </c>
      <c r="I10" s="137"/>
      <c r="J10" s="120"/>
      <c r="K10" s="137" t="s">
        <v>172</v>
      </c>
      <c r="L10" s="120"/>
      <c r="M10" s="120"/>
      <c r="N10" s="120"/>
      <c r="O10" s="121" t="s">
        <v>74</v>
      </c>
      <c r="P10" s="125" t="s">
        <v>189</v>
      </c>
    </row>
    <row r="11" ht="14.25" customHeight="1">
      <c r="A11" s="117" t="s">
        <v>19</v>
      </c>
      <c r="B11" s="118" t="s">
        <v>748</v>
      </c>
      <c r="C11" s="118" t="s">
        <v>749</v>
      </c>
      <c r="D11" s="118" t="s">
        <v>750</v>
      </c>
      <c r="E11" s="117"/>
      <c r="F11" s="118">
        <v>1.0</v>
      </c>
      <c r="G11" s="117"/>
      <c r="H11" s="118" t="s">
        <v>25</v>
      </c>
      <c r="I11" s="137"/>
      <c r="J11" s="120"/>
      <c r="K11" s="120"/>
      <c r="L11" s="120"/>
      <c r="M11" s="137" t="s">
        <v>129</v>
      </c>
      <c r="N11" s="120"/>
      <c r="O11" s="121" t="s">
        <v>74</v>
      </c>
      <c r="P11" s="125" t="s">
        <v>190</v>
      </c>
    </row>
    <row r="12" ht="14.25" customHeight="1">
      <c r="A12" s="117" t="s">
        <v>20</v>
      </c>
      <c r="B12" s="118" t="s">
        <v>751</v>
      </c>
      <c r="C12" s="118" t="s">
        <v>468</v>
      </c>
      <c r="D12" s="118" t="s">
        <v>752</v>
      </c>
      <c r="E12" s="117"/>
      <c r="F12" s="118">
        <v>1.5</v>
      </c>
      <c r="G12" s="117"/>
      <c r="H12" s="118" t="s">
        <v>25</v>
      </c>
      <c r="I12" s="137"/>
      <c r="J12" s="120"/>
      <c r="K12" s="137" t="s">
        <v>172</v>
      </c>
      <c r="L12" s="120"/>
      <c r="M12" s="120"/>
      <c r="N12" s="120"/>
      <c r="O12" s="121" t="s">
        <v>54</v>
      </c>
      <c r="P12" s="125" t="s">
        <v>189</v>
      </c>
    </row>
    <row r="13" ht="14.25" customHeight="1">
      <c r="A13" s="117" t="s">
        <v>21</v>
      </c>
      <c r="B13" s="118" t="s">
        <v>753</v>
      </c>
      <c r="C13" s="118" t="s">
        <v>754</v>
      </c>
      <c r="D13" s="118" t="s">
        <v>755</v>
      </c>
      <c r="E13" s="117"/>
      <c r="F13" s="118">
        <v>1.4</v>
      </c>
      <c r="G13" s="117"/>
      <c r="H13" s="118" t="s">
        <v>25</v>
      </c>
      <c r="I13" s="137"/>
      <c r="J13" s="120"/>
      <c r="K13" s="137" t="s">
        <v>53</v>
      </c>
      <c r="L13" s="120"/>
      <c r="M13" s="120"/>
      <c r="N13" s="120"/>
      <c r="O13" s="121" t="s">
        <v>74</v>
      </c>
      <c r="P13" s="125" t="s">
        <v>189</v>
      </c>
    </row>
    <row r="14" ht="14.25" customHeight="1">
      <c r="A14" s="117" t="s">
        <v>22</v>
      </c>
      <c r="B14" s="118" t="s">
        <v>723</v>
      </c>
      <c r="C14" s="118" t="s">
        <v>744</v>
      </c>
      <c r="D14" s="118" t="s">
        <v>621</v>
      </c>
      <c r="E14" s="117"/>
      <c r="F14" s="118">
        <v>2.0</v>
      </c>
      <c r="G14" s="117"/>
      <c r="H14" s="118" t="s">
        <v>25</v>
      </c>
      <c r="I14" s="137"/>
      <c r="J14" s="120"/>
      <c r="K14" s="137" t="s">
        <v>53</v>
      </c>
      <c r="L14" s="120"/>
      <c r="M14" s="120"/>
      <c r="N14" s="120"/>
      <c r="O14" s="121" t="s">
        <v>54</v>
      </c>
      <c r="P14" s="125" t="s">
        <v>189</v>
      </c>
    </row>
    <row r="15" ht="14.25" customHeight="1">
      <c r="A15" s="117" t="s">
        <v>23</v>
      </c>
      <c r="B15" s="118" t="s">
        <v>756</v>
      </c>
      <c r="C15" s="118" t="s">
        <v>757</v>
      </c>
      <c r="D15" s="118" t="s">
        <v>758</v>
      </c>
      <c r="E15" s="117"/>
      <c r="F15" s="118">
        <v>1.0</v>
      </c>
      <c r="G15" s="117"/>
      <c r="H15" s="118" t="s">
        <v>25</v>
      </c>
      <c r="I15" s="137"/>
      <c r="J15" s="120"/>
      <c r="K15" s="120"/>
      <c r="L15" s="120"/>
      <c r="M15" s="137" t="s">
        <v>129</v>
      </c>
      <c r="N15" s="120"/>
      <c r="O15" s="121" t="s">
        <v>74</v>
      </c>
      <c r="P15" s="125" t="s">
        <v>190</v>
      </c>
    </row>
    <row r="16" ht="14.25" customHeight="1">
      <c r="A16" s="117" t="s">
        <v>24</v>
      </c>
      <c r="B16" s="118" t="s">
        <v>759</v>
      </c>
      <c r="C16" s="118" t="s">
        <v>760</v>
      </c>
      <c r="D16" s="118" t="s">
        <v>761</v>
      </c>
      <c r="E16" s="117"/>
      <c r="F16" s="118">
        <v>1.0</v>
      </c>
      <c r="G16" s="117"/>
      <c r="H16" s="118" t="s">
        <v>25</v>
      </c>
      <c r="I16" s="137"/>
      <c r="J16" s="120"/>
      <c r="K16" s="137" t="s">
        <v>53</v>
      </c>
      <c r="L16" s="120"/>
      <c r="M16" s="120"/>
      <c r="N16" s="120"/>
      <c r="O16" s="121" t="s">
        <v>54</v>
      </c>
      <c r="P16" s="125" t="s">
        <v>189</v>
      </c>
    </row>
    <row r="17" ht="14.25" customHeight="1">
      <c r="A17" s="117" t="s">
        <v>25</v>
      </c>
      <c r="B17" s="118" t="s">
        <v>762</v>
      </c>
      <c r="C17" s="118" t="s">
        <v>621</v>
      </c>
      <c r="D17" s="118" t="s">
        <v>528</v>
      </c>
      <c r="E17" s="117"/>
      <c r="F17" s="118">
        <v>1.5</v>
      </c>
      <c r="G17" s="117"/>
      <c r="H17" s="118" t="s">
        <v>25</v>
      </c>
      <c r="I17" s="137"/>
      <c r="J17" s="120"/>
      <c r="K17" s="137" t="s">
        <v>155</v>
      </c>
      <c r="L17" s="120"/>
      <c r="M17" s="120"/>
      <c r="N17" s="120"/>
      <c r="O17" s="121" t="s">
        <v>74</v>
      </c>
      <c r="P17" s="125" t="s">
        <v>189</v>
      </c>
    </row>
    <row r="18" ht="14.25" customHeight="1">
      <c r="A18" s="117" t="s">
        <v>26</v>
      </c>
      <c r="B18" s="118" t="s">
        <v>763</v>
      </c>
      <c r="C18" s="118" t="s">
        <v>764</v>
      </c>
      <c r="D18" s="118" t="s">
        <v>765</v>
      </c>
      <c r="E18" s="117"/>
      <c r="F18" s="118">
        <v>1.1</v>
      </c>
      <c r="G18" s="117"/>
      <c r="H18" s="118" t="s">
        <v>25</v>
      </c>
      <c r="I18" s="137"/>
      <c r="J18" s="120"/>
      <c r="K18" s="120"/>
      <c r="L18" s="120"/>
      <c r="M18" s="137" t="s">
        <v>129</v>
      </c>
      <c r="N18" s="120"/>
      <c r="O18" s="121" t="s">
        <v>74</v>
      </c>
      <c r="P18" s="125" t="s">
        <v>190</v>
      </c>
    </row>
    <row r="19" ht="14.25" customHeight="1">
      <c r="A19" s="117" t="s">
        <v>27</v>
      </c>
      <c r="B19" s="118" t="s">
        <v>636</v>
      </c>
      <c r="C19" s="118" t="s">
        <v>628</v>
      </c>
      <c r="D19" s="118" t="s">
        <v>760</v>
      </c>
      <c r="E19" s="117"/>
      <c r="F19" s="118">
        <v>1.0</v>
      </c>
      <c r="G19" s="117"/>
      <c r="H19" s="118" t="s">
        <v>25</v>
      </c>
      <c r="I19" s="137"/>
      <c r="J19" s="120"/>
      <c r="K19" s="137" t="s">
        <v>168</v>
      </c>
      <c r="L19" s="120"/>
      <c r="M19" s="120"/>
      <c r="N19" s="120"/>
      <c r="O19" s="121" t="s">
        <v>74</v>
      </c>
      <c r="P19" s="125" t="s">
        <v>189</v>
      </c>
    </row>
    <row r="20" ht="14.25" customHeight="1">
      <c r="A20" s="117" t="s">
        <v>28</v>
      </c>
      <c r="B20" s="118" t="s">
        <v>766</v>
      </c>
      <c r="C20" s="118" t="s">
        <v>616</v>
      </c>
      <c r="D20" s="118" t="s">
        <v>767</v>
      </c>
      <c r="E20" s="117"/>
      <c r="F20" s="118">
        <v>1.2</v>
      </c>
      <c r="G20" s="117"/>
      <c r="H20" s="118" t="s">
        <v>25</v>
      </c>
      <c r="I20" s="137"/>
      <c r="J20" s="120"/>
      <c r="K20" s="120"/>
      <c r="L20" s="120"/>
      <c r="M20" s="137" t="s">
        <v>129</v>
      </c>
      <c r="N20" s="120"/>
      <c r="O20" s="121" t="s">
        <v>74</v>
      </c>
      <c r="P20" s="125" t="s">
        <v>190</v>
      </c>
    </row>
    <row r="21" ht="14.25" customHeight="1">
      <c r="A21" s="122" t="s">
        <v>29</v>
      </c>
      <c r="B21" s="123" t="s">
        <v>595</v>
      </c>
      <c r="C21" s="123" t="s">
        <v>768</v>
      </c>
      <c r="D21" s="123" t="s">
        <v>140</v>
      </c>
      <c r="E21" s="124"/>
      <c r="F21" s="123">
        <v>1.0</v>
      </c>
      <c r="G21" s="124"/>
      <c r="H21" s="123" t="s">
        <v>25</v>
      </c>
      <c r="I21" s="121"/>
      <c r="J21" s="120"/>
      <c r="K21" s="120"/>
      <c r="L21" s="120"/>
      <c r="M21" s="121" t="s">
        <v>129</v>
      </c>
      <c r="N21" s="120"/>
      <c r="O21" s="121" t="s">
        <v>74</v>
      </c>
      <c r="P21" s="125" t="s">
        <v>190</v>
      </c>
    </row>
    <row r="22" ht="14.25" customHeight="1">
      <c r="A22" s="122" t="s">
        <v>30</v>
      </c>
      <c r="B22" s="123" t="s">
        <v>368</v>
      </c>
      <c r="C22" s="123" t="s">
        <v>769</v>
      </c>
      <c r="D22" s="123" t="s">
        <v>770</v>
      </c>
      <c r="E22" s="124"/>
      <c r="F22" s="123">
        <v>1.3</v>
      </c>
      <c r="G22" s="124"/>
      <c r="H22" s="123" t="s">
        <v>25</v>
      </c>
      <c r="I22" s="121"/>
      <c r="J22" s="120"/>
      <c r="K22" s="121" t="s">
        <v>53</v>
      </c>
      <c r="L22" s="120"/>
      <c r="M22" s="120"/>
      <c r="N22" s="120"/>
      <c r="O22" s="121" t="s">
        <v>54</v>
      </c>
      <c r="P22" s="125" t="s">
        <v>189</v>
      </c>
    </row>
    <row r="23" ht="14.25" customHeight="1">
      <c r="B23" s="125" t="s">
        <v>771</v>
      </c>
      <c r="C23" s="125" t="s">
        <v>772</v>
      </c>
      <c r="D23" s="125" t="s">
        <v>773</v>
      </c>
      <c r="F23" s="125">
        <v>0.5</v>
      </c>
      <c r="H23" s="125" t="s">
        <v>25</v>
      </c>
      <c r="M23" s="125" t="s">
        <v>129</v>
      </c>
      <c r="O23" s="125" t="s">
        <v>74</v>
      </c>
      <c r="P23" s="125" t="s">
        <v>190</v>
      </c>
    </row>
    <row r="24" ht="14.25" customHeight="1">
      <c r="B24" s="125" t="s">
        <v>96</v>
      </c>
      <c r="C24" s="125" t="s">
        <v>774</v>
      </c>
      <c r="D24" s="125" t="s">
        <v>775</v>
      </c>
      <c r="F24" s="125">
        <v>2.0</v>
      </c>
      <c r="H24" s="125" t="s">
        <v>27</v>
      </c>
      <c r="K24" s="125" t="s">
        <v>53</v>
      </c>
      <c r="O24" s="125" t="s">
        <v>54</v>
      </c>
      <c r="P24" s="125" t="s">
        <v>189</v>
      </c>
    </row>
    <row r="25" ht="14.25" customHeight="1">
      <c r="B25" s="125" t="s">
        <v>776</v>
      </c>
      <c r="C25" s="125" t="s">
        <v>777</v>
      </c>
      <c r="D25" s="125" t="s">
        <v>774</v>
      </c>
      <c r="F25" s="125">
        <v>3.0</v>
      </c>
      <c r="H25" s="125" t="s">
        <v>27</v>
      </c>
      <c r="K25" s="125" t="s">
        <v>172</v>
      </c>
      <c r="O25" s="125" t="s">
        <v>54</v>
      </c>
      <c r="P25" s="125" t="s">
        <v>189</v>
      </c>
    </row>
    <row r="26" ht="14.25" customHeight="1">
      <c r="A26" s="126">
        <f>-A29</f>
        <v>0</v>
      </c>
      <c r="B26" s="125" t="s">
        <v>778</v>
      </c>
      <c r="C26" s="125" t="s">
        <v>777</v>
      </c>
      <c r="D26" s="125" t="s">
        <v>774</v>
      </c>
      <c r="F26" s="125">
        <v>2.0</v>
      </c>
      <c r="H26" s="125" t="s">
        <v>27</v>
      </c>
      <c r="K26" s="125" t="s">
        <v>172</v>
      </c>
      <c r="O26" s="125" t="s">
        <v>54</v>
      </c>
      <c r="P26" s="125" t="s">
        <v>189</v>
      </c>
    </row>
    <row r="27" ht="14.25" customHeight="1">
      <c r="B27" s="125" t="s">
        <v>284</v>
      </c>
      <c r="C27" s="125" t="s">
        <v>779</v>
      </c>
      <c r="D27" s="125" t="s">
        <v>774</v>
      </c>
      <c r="F27" s="125">
        <v>1.7</v>
      </c>
      <c r="H27" s="125" t="s">
        <v>27</v>
      </c>
      <c r="K27" s="125" t="s">
        <v>172</v>
      </c>
      <c r="O27" s="125" t="s">
        <v>74</v>
      </c>
      <c r="P27" s="125" t="s">
        <v>189</v>
      </c>
    </row>
    <row r="28" ht="14.25" customHeight="1">
      <c r="B28" s="125" t="s">
        <v>780</v>
      </c>
      <c r="C28" s="125" t="s">
        <v>781</v>
      </c>
      <c r="D28" s="125" t="s">
        <v>782</v>
      </c>
      <c r="F28" s="125">
        <v>0.7</v>
      </c>
      <c r="H28" s="125" t="s">
        <v>27</v>
      </c>
      <c r="K28" s="125" t="s">
        <v>172</v>
      </c>
      <c r="O28" s="125" t="s">
        <v>74</v>
      </c>
      <c r="P28" s="125" t="s">
        <v>189</v>
      </c>
    </row>
    <row r="29" ht="14.25" customHeight="1">
      <c r="B29" s="125" t="s">
        <v>783</v>
      </c>
      <c r="C29" s="125" t="s">
        <v>784</v>
      </c>
      <c r="D29" s="125" t="s">
        <v>785</v>
      </c>
      <c r="F29" s="125">
        <v>2.0</v>
      </c>
      <c r="H29" s="125" t="s">
        <v>27</v>
      </c>
      <c r="K29" s="125" t="s">
        <v>172</v>
      </c>
      <c r="O29" s="125" t="s">
        <v>54</v>
      </c>
      <c r="P29" s="125" t="s">
        <v>189</v>
      </c>
    </row>
    <row r="30" ht="14.25" customHeight="1">
      <c r="B30" s="125" t="s">
        <v>786</v>
      </c>
      <c r="C30" s="125" t="s">
        <v>787</v>
      </c>
      <c r="D30" s="125" t="s">
        <v>788</v>
      </c>
      <c r="F30" s="125">
        <v>0.9</v>
      </c>
      <c r="H30" s="125" t="s">
        <v>27</v>
      </c>
      <c r="K30" s="125" t="s">
        <v>172</v>
      </c>
      <c r="O30" s="125" t="s">
        <v>54</v>
      </c>
      <c r="P30" s="125" t="s">
        <v>189</v>
      </c>
    </row>
    <row r="31" ht="14.25" customHeight="1">
      <c r="B31" s="125" t="s">
        <v>618</v>
      </c>
      <c r="C31" s="125" t="s">
        <v>789</v>
      </c>
      <c r="D31" s="125" t="s">
        <v>790</v>
      </c>
      <c r="F31" s="125">
        <v>0.7</v>
      </c>
      <c r="H31" s="125" t="s">
        <v>27</v>
      </c>
      <c r="I31" s="125" t="s">
        <v>179</v>
      </c>
      <c r="O31" s="125" t="s">
        <v>54</v>
      </c>
      <c r="P31" s="125" t="s">
        <v>188</v>
      </c>
    </row>
    <row r="32" ht="14.25" customHeight="1">
      <c r="B32" s="125" t="s">
        <v>791</v>
      </c>
      <c r="C32" s="125" t="s">
        <v>792</v>
      </c>
      <c r="D32" s="125" t="s">
        <v>793</v>
      </c>
      <c r="F32" s="125">
        <v>1.7</v>
      </c>
      <c r="H32" s="125" t="s">
        <v>27</v>
      </c>
      <c r="K32" s="125" t="s">
        <v>53</v>
      </c>
      <c r="O32" s="125" t="s">
        <v>74</v>
      </c>
      <c r="P32" s="125" t="s">
        <v>189</v>
      </c>
    </row>
    <row r="33" ht="14.25" customHeight="1">
      <c r="B33" s="125" t="s">
        <v>794</v>
      </c>
      <c r="C33" s="125" t="s">
        <v>795</v>
      </c>
      <c r="D33" s="125" t="s">
        <v>796</v>
      </c>
      <c r="F33" s="125">
        <v>2.0</v>
      </c>
      <c r="H33" s="125" t="s">
        <v>27</v>
      </c>
      <c r="K33" s="125" t="s">
        <v>172</v>
      </c>
      <c r="O33" s="125" t="s">
        <v>74</v>
      </c>
      <c r="P33" s="125" t="s">
        <v>189</v>
      </c>
    </row>
    <row r="34" ht="14.25" customHeight="1">
      <c r="B34" s="125" t="s">
        <v>797</v>
      </c>
      <c r="C34" s="125" t="s">
        <v>798</v>
      </c>
      <c r="D34" s="125" t="s">
        <v>796</v>
      </c>
      <c r="F34" s="125">
        <v>1.3</v>
      </c>
      <c r="H34" s="125" t="s">
        <v>27</v>
      </c>
      <c r="K34" s="125" t="s">
        <v>172</v>
      </c>
      <c r="O34" s="125" t="s">
        <v>54</v>
      </c>
      <c r="P34" s="125" t="s">
        <v>189</v>
      </c>
    </row>
    <row r="35" ht="14.25" customHeight="1">
      <c r="B35" s="125" t="s">
        <v>799</v>
      </c>
      <c r="C35" s="125" t="s">
        <v>795</v>
      </c>
      <c r="D35" s="125" t="s">
        <v>796</v>
      </c>
      <c r="F35" s="125">
        <v>2.0</v>
      </c>
      <c r="H35" s="125" t="s">
        <v>27</v>
      </c>
      <c r="I35" s="125" t="s">
        <v>196</v>
      </c>
      <c r="O35" s="125" t="s">
        <v>54</v>
      </c>
      <c r="P35" s="125" t="s">
        <v>188</v>
      </c>
    </row>
    <row r="36" ht="14.25" customHeight="1">
      <c r="B36" s="125" t="s">
        <v>776</v>
      </c>
      <c r="C36" s="125" t="s">
        <v>800</v>
      </c>
      <c r="D36" s="125" t="s">
        <v>801</v>
      </c>
      <c r="F36" s="125">
        <v>1.4</v>
      </c>
      <c r="H36" s="125" t="s">
        <v>27</v>
      </c>
      <c r="M36" s="125" t="s">
        <v>802</v>
      </c>
      <c r="O36" s="125" t="s">
        <v>54</v>
      </c>
      <c r="P36" s="125" t="s">
        <v>190</v>
      </c>
    </row>
    <row r="37" ht="14.25" customHeight="1">
      <c r="B37" s="125" t="s">
        <v>803</v>
      </c>
      <c r="C37" s="125" t="s">
        <v>804</v>
      </c>
      <c r="D37" s="125" t="s">
        <v>801</v>
      </c>
      <c r="F37" s="125">
        <v>2.0</v>
      </c>
      <c r="H37" s="125" t="s">
        <v>27</v>
      </c>
      <c r="K37" s="125" t="s">
        <v>172</v>
      </c>
      <c r="O37" s="125" t="s">
        <v>54</v>
      </c>
      <c r="P37" s="125" t="s">
        <v>189</v>
      </c>
    </row>
    <row r="38" ht="14.25" customHeight="1">
      <c r="B38" s="125" t="s">
        <v>805</v>
      </c>
      <c r="C38" s="125" t="s">
        <v>806</v>
      </c>
      <c r="D38" s="125" t="s">
        <v>135</v>
      </c>
      <c r="F38" s="125">
        <v>2.1</v>
      </c>
      <c r="H38" s="125" t="s">
        <v>27</v>
      </c>
      <c r="K38" s="125" t="s">
        <v>172</v>
      </c>
      <c r="O38" s="125" t="s">
        <v>54</v>
      </c>
      <c r="P38" s="125" t="s">
        <v>189</v>
      </c>
    </row>
    <row r="39" ht="14.25" customHeight="1">
      <c r="B39" s="125" t="s">
        <v>469</v>
      </c>
      <c r="C39" s="125" t="s">
        <v>807</v>
      </c>
      <c r="D39" s="125" t="s">
        <v>808</v>
      </c>
      <c r="F39" s="125">
        <v>3.0</v>
      </c>
      <c r="H39" s="125" t="s">
        <v>27</v>
      </c>
      <c r="K39" s="125" t="s">
        <v>172</v>
      </c>
      <c r="O39" s="125" t="s">
        <v>54</v>
      </c>
      <c r="P39" s="125" t="s">
        <v>189</v>
      </c>
    </row>
    <row r="40" ht="14.25" customHeight="1">
      <c r="B40" s="125" t="s">
        <v>809</v>
      </c>
      <c r="C40" s="125" t="s">
        <v>810</v>
      </c>
      <c r="D40" s="125" t="s">
        <v>777</v>
      </c>
      <c r="F40" s="125">
        <v>2.0</v>
      </c>
      <c r="H40" s="125" t="s">
        <v>27</v>
      </c>
      <c r="K40" s="125" t="s">
        <v>53</v>
      </c>
      <c r="O40" s="125" t="s">
        <v>74</v>
      </c>
      <c r="P40" s="125" t="s">
        <v>189</v>
      </c>
    </row>
    <row r="41" ht="14.25" customHeight="1">
      <c r="B41" s="125" t="s">
        <v>110</v>
      </c>
      <c r="C41" s="125" t="s">
        <v>811</v>
      </c>
      <c r="D41" s="125" t="s">
        <v>812</v>
      </c>
      <c r="F41" s="125">
        <v>0.5</v>
      </c>
      <c r="H41" s="125" t="s">
        <v>27</v>
      </c>
      <c r="K41" s="125" t="s">
        <v>155</v>
      </c>
      <c r="O41" s="125" t="s">
        <v>74</v>
      </c>
      <c r="P41" s="125" t="s">
        <v>189</v>
      </c>
    </row>
    <row r="42" ht="14.25" customHeight="1">
      <c r="B42" s="125" t="s">
        <v>813</v>
      </c>
      <c r="C42" s="125" t="s">
        <v>814</v>
      </c>
      <c r="D42" s="125" t="s">
        <v>679</v>
      </c>
      <c r="F42" s="125">
        <v>1.5</v>
      </c>
      <c r="H42" s="125" t="s">
        <v>27</v>
      </c>
      <c r="K42" s="125" t="s">
        <v>172</v>
      </c>
      <c r="O42" s="125" t="s">
        <v>74</v>
      </c>
      <c r="P42" s="125" t="s">
        <v>189</v>
      </c>
    </row>
    <row r="43" ht="14.25" customHeight="1">
      <c r="B43" s="125" t="s">
        <v>815</v>
      </c>
      <c r="C43" s="125" t="s">
        <v>691</v>
      </c>
      <c r="D43" s="125" t="s">
        <v>679</v>
      </c>
      <c r="F43" s="125">
        <v>3.0</v>
      </c>
      <c r="H43" s="125" t="s">
        <v>27</v>
      </c>
      <c r="K43" s="125" t="s">
        <v>172</v>
      </c>
      <c r="O43" s="125" t="s">
        <v>54</v>
      </c>
      <c r="P43" s="125" t="s">
        <v>189</v>
      </c>
    </row>
    <row r="44" ht="14.25" customHeight="1">
      <c r="B44" s="125" t="s">
        <v>816</v>
      </c>
      <c r="C44" s="125" t="s">
        <v>687</v>
      </c>
      <c r="D44" s="125" t="s">
        <v>817</v>
      </c>
      <c r="F44" s="125">
        <v>1.4</v>
      </c>
      <c r="H44" s="125" t="s">
        <v>27</v>
      </c>
      <c r="I44" s="125" t="s">
        <v>179</v>
      </c>
      <c r="O44" s="125" t="s">
        <v>54</v>
      </c>
      <c r="P44" s="125" t="s">
        <v>188</v>
      </c>
    </row>
    <row r="45" ht="14.25" customHeight="1">
      <c r="B45" s="125" t="s">
        <v>818</v>
      </c>
      <c r="C45" s="125" t="s">
        <v>819</v>
      </c>
      <c r="D45" s="125" t="s">
        <v>820</v>
      </c>
      <c r="F45" s="125">
        <v>1.2</v>
      </c>
      <c r="H45" s="125" t="s">
        <v>27</v>
      </c>
      <c r="I45" s="125" t="s">
        <v>179</v>
      </c>
      <c r="O45" s="125" t="s">
        <v>54</v>
      </c>
      <c r="P45" s="125" t="s">
        <v>188</v>
      </c>
    </row>
    <row r="46" ht="14.25" customHeight="1">
      <c r="B46" s="125" t="s">
        <v>821</v>
      </c>
      <c r="C46" s="125" t="s">
        <v>822</v>
      </c>
      <c r="D46" s="125" t="s">
        <v>687</v>
      </c>
      <c r="F46" s="125">
        <v>1.6</v>
      </c>
      <c r="H46" s="125" t="s">
        <v>27</v>
      </c>
      <c r="K46" s="125" t="s">
        <v>172</v>
      </c>
      <c r="O46" s="125" t="s">
        <v>54</v>
      </c>
      <c r="P46" s="125" t="s">
        <v>189</v>
      </c>
    </row>
    <row r="47" ht="14.25" customHeight="1">
      <c r="B47" s="125" t="s">
        <v>823</v>
      </c>
      <c r="C47" s="125" t="s">
        <v>824</v>
      </c>
      <c r="D47" s="125" t="s">
        <v>687</v>
      </c>
      <c r="F47" s="125">
        <v>0.5</v>
      </c>
      <c r="H47" s="125" t="s">
        <v>27</v>
      </c>
      <c r="M47" s="125">
        <v>352.0</v>
      </c>
      <c r="O47" s="125" t="s">
        <v>54</v>
      </c>
      <c r="P47" s="125" t="s">
        <v>190</v>
      </c>
    </row>
    <row r="48" ht="14.25" customHeight="1">
      <c r="B48" s="125" t="s">
        <v>436</v>
      </c>
      <c r="C48" s="125" t="s">
        <v>825</v>
      </c>
      <c r="D48" s="125" t="s">
        <v>687</v>
      </c>
      <c r="F48" s="125">
        <v>2.0</v>
      </c>
      <c r="H48" s="125" t="s">
        <v>27</v>
      </c>
      <c r="K48" s="125" t="s">
        <v>172</v>
      </c>
      <c r="O48" s="125" t="s">
        <v>54</v>
      </c>
      <c r="P48" s="125" t="s">
        <v>189</v>
      </c>
    </row>
    <row r="49" ht="14.25" customHeight="1">
      <c r="B49" s="125" t="s">
        <v>826</v>
      </c>
      <c r="C49" s="125" t="s">
        <v>827</v>
      </c>
      <c r="D49" s="125" t="s">
        <v>687</v>
      </c>
      <c r="F49" s="125">
        <v>1.0</v>
      </c>
      <c r="H49" s="125" t="s">
        <v>27</v>
      </c>
      <c r="M49" s="125">
        <v>352.0</v>
      </c>
      <c r="O49" s="125" t="s">
        <v>54</v>
      </c>
      <c r="P49" s="125" t="s">
        <v>190</v>
      </c>
    </row>
    <row r="50" ht="14.25" customHeight="1">
      <c r="B50" s="125" t="s">
        <v>828</v>
      </c>
      <c r="C50" s="125" t="s">
        <v>829</v>
      </c>
      <c r="D50" s="125" t="s">
        <v>830</v>
      </c>
      <c r="F50" s="125">
        <v>2.0</v>
      </c>
      <c r="H50" s="125" t="s">
        <v>27</v>
      </c>
      <c r="K50" s="125" t="s">
        <v>172</v>
      </c>
      <c r="O50" s="125" t="s">
        <v>74</v>
      </c>
      <c r="P50" s="125" t="s">
        <v>189</v>
      </c>
    </row>
    <row r="51" ht="14.25" customHeight="1">
      <c r="B51" s="125" t="s">
        <v>831</v>
      </c>
      <c r="C51" s="125" t="s">
        <v>832</v>
      </c>
      <c r="D51" s="125" t="s">
        <v>833</v>
      </c>
      <c r="F51" s="125">
        <v>0.8</v>
      </c>
      <c r="H51" s="125" t="s">
        <v>27</v>
      </c>
      <c r="I51" s="125" t="s">
        <v>179</v>
      </c>
      <c r="O51" s="125" t="s">
        <v>74</v>
      </c>
      <c r="P51" s="125" t="s">
        <v>188</v>
      </c>
    </row>
    <row r="52" ht="14.25" customHeight="1">
      <c r="B52" s="125" t="s">
        <v>834</v>
      </c>
      <c r="C52" s="125" t="s">
        <v>835</v>
      </c>
      <c r="D52" s="125" t="s">
        <v>836</v>
      </c>
      <c r="F52" s="125">
        <v>1.5</v>
      </c>
      <c r="H52" s="125" t="s">
        <v>27</v>
      </c>
      <c r="M52" s="125" t="s">
        <v>432</v>
      </c>
      <c r="O52" s="125" t="s">
        <v>54</v>
      </c>
      <c r="P52" s="125" t="s">
        <v>190</v>
      </c>
    </row>
    <row r="53" ht="14.25" customHeight="1">
      <c r="B53" s="125" t="s">
        <v>837</v>
      </c>
      <c r="C53" s="125" t="s">
        <v>838</v>
      </c>
      <c r="D53" s="125" t="s">
        <v>836</v>
      </c>
      <c r="F53" s="125">
        <v>2.0</v>
      </c>
      <c r="H53" s="125" t="s">
        <v>27</v>
      </c>
      <c r="K53" s="125" t="s">
        <v>172</v>
      </c>
      <c r="O53" s="125" t="s">
        <v>54</v>
      </c>
      <c r="P53" s="125" t="s">
        <v>189</v>
      </c>
    </row>
    <row r="54" ht="14.25" customHeight="1">
      <c r="B54" s="125" t="s">
        <v>839</v>
      </c>
      <c r="C54" s="125" t="s">
        <v>840</v>
      </c>
      <c r="D54" s="125" t="s">
        <v>508</v>
      </c>
      <c r="F54" s="125">
        <v>1.8</v>
      </c>
      <c r="H54" s="125" t="s">
        <v>27</v>
      </c>
      <c r="K54" s="125" t="s">
        <v>53</v>
      </c>
      <c r="O54" s="125" t="s">
        <v>54</v>
      </c>
      <c r="P54" s="125" t="s">
        <v>189</v>
      </c>
    </row>
    <row r="55" ht="14.25" customHeight="1">
      <c r="B55" s="125" t="s">
        <v>841</v>
      </c>
      <c r="C55" s="125" t="s">
        <v>842</v>
      </c>
      <c r="D55" s="125" t="s">
        <v>508</v>
      </c>
      <c r="E55" s="125" t="s">
        <v>137</v>
      </c>
      <c r="F55" s="125">
        <v>1.8</v>
      </c>
      <c r="H55" s="125" t="s">
        <v>27</v>
      </c>
      <c r="K55" s="125" t="s">
        <v>53</v>
      </c>
      <c r="O55" s="125" t="s">
        <v>54</v>
      </c>
      <c r="P55" s="125" t="s">
        <v>189</v>
      </c>
    </row>
    <row r="56" ht="14.25" customHeight="1">
      <c r="B56" s="125" t="s">
        <v>843</v>
      </c>
      <c r="C56" s="125" t="s">
        <v>819</v>
      </c>
      <c r="D56" s="125" t="s">
        <v>781</v>
      </c>
      <c r="F56" s="125">
        <v>2.0</v>
      </c>
      <c r="H56" s="125" t="s">
        <v>27</v>
      </c>
      <c r="M56" s="125" t="s">
        <v>432</v>
      </c>
      <c r="O56" s="125" t="s">
        <v>74</v>
      </c>
      <c r="P56" s="125" t="s">
        <v>190</v>
      </c>
    </row>
    <row r="57" ht="14.25" customHeight="1">
      <c r="B57" s="125" t="s">
        <v>743</v>
      </c>
      <c r="C57" s="125" t="s">
        <v>819</v>
      </c>
      <c r="D57" s="125" t="s">
        <v>781</v>
      </c>
      <c r="F57" s="125">
        <v>1.2</v>
      </c>
      <c r="H57" s="125" t="s">
        <v>27</v>
      </c>
      <c r="K57" s="125" t="s">
        <v>172</v>
      </c>
      <c r="O57" s="125" t="s">
        <v>74</v>
      </c>
      <c r="P57" s="125" t="s">
        <v>189</v>
      </c>
    </row>
    <row r="58" ht="14.25" customHeight="1">
      <c r="B58" s="125" t="s">
        <v>844</v>
      </c>
      <c r="C58" s="125" t="s">
        <v>845</v>
      </c>
      <c r="D58" s="125" t="s">
        <v>846</v>
      </c>
      <c r="F58" s="125">
        <v>1.7</v>
      </c>
      <c r="H58" s="125" t="s">
        <v>27</v>
      </c>
      <c r="K58" s="125" t="s">
        <v>172</v>
      </c>
      <c r="O58" s="125" t="s">
        <v>74</v>
      </c>
      <c r="P58" s="125" t="s">
        <v>189</v>
      </c>
    </row>
    <row r="59" ht="14.25" customHeight="1">
      <c r="B59" s="125" t="s">
        <v>847</v>
      </c>
      <c r="C59" s="125" t="s">
        <v>848</v>
      </c>
      <c r="D59" s="125" t="s">
        <v>849</v>
      </c>
      <c r="F59" s="125">
        <v>0.5</v>
      </c>
      <c r="H59" s="125" t="s">
        <v>27</v>
      </c>
      <c r="K59" s="125" t="s">
        <v>172</v>
      </c>
      <c r="O59" s="125" t="s">
        <v>74</v>
      </c>
      <c r="P59" s="125" t="s">
        <v>189</v>
      </c>
    </row>
    <row r="60" ht="14.25" customHeight="1">
      <c r="B60" s="125" t="s">
        <v>850</v>
      </c>
      <c r="C60" s="125" t="s">
        <v>851</v>
      </c>
      <c r="D60" s="125" t="s">
        <v>852</v>
      </c>
      <c r="F60" s="125">
        <v>0.5</v>
      </c>
      <c r="H60" s="125" t="s">
        <v>27</v>
      </c>
      <c r="K60" s="125" t="s">
        <v>172</v>
      </c>
      <c r="O60" s="125" t="s">
        <v>74</v>
      </c>
      <c r="P60" s="125" t="s">
        <v>189</v>
      </c>
    </row>
    <row r="61" ht="14.25" customHeight="1">
      <c r="B61" s="125" t="s">
        <v>853</v>
      </c>
      <c r="C61" s="125" t="s">
        <v>854</v>
      </c>
      <c r="D61" s="125" t="s">
        <v>855</v>
      </c>
      <c r="F61" s="125">
        <v>1.0</v>
      </c>
      <c r="H61" s="125" t="s">
        <v>27</v>
      </c>
      <c r="K61" s="125" t="s">
        <v>172</v>
      </c>
      <c r="O61" s="125" t="s">
        <v>74</v>
      </c>
      <c r="P61" s="125" t="s">
        <v>189</v>
      </c>
    </row>
    <row r="62" ht="14.25" customHeight="1">
      <c r="B62" s="125" t="s">
        <v>699</v>
      </c>
      <c r="C62" s="125" t="s">
        <v>856</v>
      </c>
      <c r="D62" s="125" t="s">
        <v>857</v>
      </c>
      <c r="F62" s="125">
        <v>2.0</v>
      </c>
      <c r="H62" s="125" t="s">
        <v>27</v>
      </c>
      <c r="I62" s="125" t="s">
        <v>179</v>
      </c>
      <c r="O62" s="125" t="s">
        <v>54</v>
      </c>
      <c r="P62" s="125" t="s">
        <v>188</v>
      </c>
    </row>
    <row r="63" ht="14.25" customHeight="1">
      <c r="B63" s="125" t="s">
        <v>657</v>
      </c>
      <c r="C63" s="125" t="s">
        <v>858</v>
      </c>
      <c r="D63" s="125" t="s">
        <v>686</v>
      </c>
      <c r="F63" s="125">
        <v>2.0</v>
      </c>
      <c r="H63" s="125" t="s">
        <v>27</v>
      </c>
      <c r="I63" s="125" t="s">
        <v>179</v>
      </c>
      <c r="O63" s="125" t="s">
        <v>74</v>
      </c>
      <c r="P63" s="125" t="s">
        <v>188</v>
      </c>
    </row>
    <row r="64" ht="14.25" customHeight="1">
      <c r="B64" s="125" t="s">
        <v>859</v>
      </c>
      <c r="C64" s="125" t="s">
        <v>687</v>
      </c>
      <c r="D64" s="125" t="s">
        <v>686</v>
      </c>
      <c r="F64" s="125">
        <v>1.8</v>
      </c>
      <c r="H64" s="125" t="s">
        <v>27</v>
      </c>
      <c r="K64" s="125" t="s">
        <v>172</v>
      </c>
      <c r="O64" s="125" t="s">
        <v>54</v>
      </c>
      <c r="P64" s="125" t="s">
        <v>189</v>
      </c>
    </row>
    <row r="65" ht="14.25" customHeight="1">
      <c r="B65" s="125" t="s">
        <v>860</v>
      </c>
      <c r="C65" s="125" t="s">
        <v>793</v>
      </c>
      <c r="D65" s="125" t="s">
        <v>861</v>
      </c>
      <c r="F65" s="125">
        <v>2.2</v>
      </c>
      <c r="H65" s="125" t="s">
        <v>27</v>
      </c>
      <c r="K65" s="125" t="s">
        <v>172</v>
      </c>
      <c r="O65" s="125" t="s">
        <v>54</v>
      </c>
      <c r="P65" s="125" t="s">
        <v>189</v>
      </c>
    </row>
    <row r="66" ht="14.25" customHeight="1">
      <c r="B66" s="125" t="s">
        <v>862</v>
      </c>
      <c r="C66" s="125" t="s">
        <v>863</v>
      </c>
      <c r="D66" s="125" t="s">
        <v>864</v>
      </c>
      <c r="F66" s="125">
        <v>2.8</v>
      </c>
      <c r="H66" s="125" t="s">
        <v>27</v>
      </c>
      <c r="I66" s="125" t="s">
        <v>196</v>
      </c>
      <c r="O66" s="125" t="s">
        <v>74</v>
      </c>
      <c r="P66" s="125" t="s">
        <v>188</v>
      </c>
    </row>
    <row r="67" ht="14.25" customHeight="1">
      <c r="B67" s="125" t="s">
        <v>490</v>
      </c>
      <c r="C67" s="125" t="s">
        <v>863</v>
      </c>
      <c r="D67" s="125" t="s">
        <v>864</v>
      </c>
      <c r="F67" s="125">
        <v>1.4</v>
      </c>
      <c r="H67" s="125" t="s">
        <v>27</v>
      </c>
      <c r="I67" s="125" t="s">
        <v>196</v>
      </c>
      <c r="O67" s="125" t="s">
        <v>74</v>
      </c>
      <c r="P67" s="125" t="s">
        <v>188</v>
      </c>
    </row>
    <row r="68" ht="14.25" customHeight="1">
      <c r="B68" s="125" t="s">
        <v>865</v>
      </c>
      <c r="C68" s="125" t="s">
        <v>866</v>
      </c>
      <c r="D68" s="125" t="s">
        <v>864</v>
      </c>
      <c r="F68" s="125">
        <v>1.5</v>
      </c>
      <c r="H68" s="125" t="s">
        <v>27</v>
      </c>
      <c r="K68" s="125" t="s">
        <v>53</v>
      </c>
      <c r="O68" s="125" t="s">
        <v>74</v>
      </c>
      <c r="P68" s="125" t="s">
        <v>189</v>
      </c>
    </row>
    <row r="69" ht="14.25" customHeight="1">
      <c r="B69" s="125" t="s">
        <v>867</v>
      </c>
      <c r="C69" s="125" t="s">
        <v>868</v>
      </c>
      <c r="D69" s="125" t="s">
        <v>869</v>
      </c>
      <c r="F69" s="125">
        <v>0.7</v>
      </c>
      <c r="H69" s="125" t="s">
        <v>27</v>
      </c>
      <c r="K69" s="125" t="s">
        <v>172</v>
      </c>
      <c r="O69" s="125" t="s">
        <v>54</v>
      </c>
      <c r="P69" s="125" t="s">
        <v>189</v>
      </c>
    </row>
    <row r="70" ht="14.25" customHeight="1">
      <c r="B70" s="125" t="s">
        <v>870</v>
      </c>
      <c r="C70" s="125" t="s">
        <v>871</v>
      </c>
      <c r="D70" s="125" t="s">
        <v>872</v>
      </c>
      <c r="F70" s="125">
        <v>0.9</v>
      </c>
      <c r="H70" s="125" t="s">
        <v>27</v>
      </c>
      <c r="K70" s="125" t="s">
        <v>53</v>
      </c>
      <c r="O70" s="125" t="s">
        <v>74</v>
      </c>
      <c r="P70" s="125" t="s">
        <v>189</v>
      </c>
    </row>
    <row r="71" ht="14.25" customHeight="1">
      <c r="B71" s="125" t="s">
        <v>115</v>
      </c>
      <c r="C71" s="125" t="s">
        <v>796</v>
      </c>
      <c r="D71" s="125" t="s">
        <v>798</v>
      </c>
      <c r="F71" s="125">
        <v>1.0</v>
      </c>
      <c r="H71" s="125" t="s">
        <v>27</v>
      </c>
      <c r="K71" s="125" t="s">
        <v>172</v>
      </c>
      <c r="O71" s="125" t="s">
        <v>54</v>
      </c>
      <c r="P71" s="125" t="s">
        <v>189</v>
      </c>
    </row>
    <row r="72" ht="14.25" customHeight="1">
      <c r="B72" s="125" t="s">
        <v>103</v>
      </c>
      <c r="C72" s="125" t="s">
        <v>796</v>
      </c>
      <c r="D72" s="125" t="s">
        <v>873</v>
      </c>
      <c r="F72" s="125">
        <v>0.7</v>
      </c>
      <c r="H72" s="125" t="s">
        <v>27</v>
      </c>
      <c r="K72" s="125" t="s">
        <v>172</v>
      </c>
      <c r="O72" s="125" t="s">
        <v>54</v>
      </c>
      <c r="P72" s="125" t="s">
        <v>189</v>
      </c>
    </row>
    <row r="73" ht="14.25" customHeight="1">
      <c r="B73" s="125" t="s">
        <v>874</v>
      </c>
      <c r="C73" s="125" t="s">
        <v>875</v>
      </c>
      <c r="D73" s="125" t="s">
        <v>876</v>
      </c>
      <c r="F73" s="125">
        <v>1.0</v>
      </c>
      <c r="H73" s="125" t="s">
        <v>27</v>
      </c>
      <c r="K73" s="125" t="s">
        <v>172</v>
      </c>
      <c r="O73" s="125" t="s">
        <v>54</v>
      </c>
      <c r="P73" s="125" t="s">
        <v>189</v>
      </c>
    </row>
    <row r="74" ht="14.25" customHeight="1">
      <c r="B74" s="125" t="s">
        <v>877</v>
      </c>
      <c r="C74" s="125" t="s">
        <v>878</v>
      </c>
      <c r="D74" s="125" t="s">
        <v>879</v>
      </c>
      <c r="F74" s="125">
        <v>1.8</v>
      </c>
      <c r="H74" s="125" t="s">
        <v>27</v>
      </c>
      <c r="M74" s="125" t="s">
        <v>432</v>
      </c>
      <c r="O74" s="125" t="s">
        <v>54</v>
      </c>
      <c r="P74" s="125" t="s">
        <v>190</v>
      </c>
    </row>
    <row r="75" ht="14.25" customHeight="1">
      <c r="B75" s="125" t="s">
        <v>880</v>
      </c>
      <c r="C75" s="125" t="s">
        <v>881</v>
      </c>
      <c r="D75" s="125" t="s">
        <v>882</v>
      </c>
      <c r="F75" s="125">
        <v>1.2</v>
      </c>
      <c r="H75" s="125" t="s">
        <v>27</v>
      </c>
      <c r="K75" s="125" t="s">
        <v>172</v>
      </c>
      <c r="O75" s="125" t="s">
        <v>54</v>
      </c>
      <c r="P75" s="125" t="s">
        <v>189</v>
      </c>
    </row>
    <row r="76" ht="14.25" customHeight="1">
      <c r="B76" s="125" t="s">
        <v>883</v>
      </c>
      <c r="C76" s="125" t="s">
        <v>781</v>
      </c>
      <c r="D76" s="125" t="s">
        <v>884</v>
      </c>
      <c r="F76" s="125">
        <v>0.5</v>
      </c>
      <c r="H76" s="125" t="s">
        <v>27</v>
      </c>
      <c r="M76" s="125" t="s">
        <v>432</v>
      </c>
      <c r="O76" s="125" t="s">
        <v>74</v>
      </c>
      <c r="P76" s="125" t="s">
        <v>190</v>
      </c>
    </row>
    <row r="77" ht="14.25" customHeight="1">
      <c r="B77" s="125" t="s">
        <v>885</v>
      </c>
      <c r="C77" s="125" t="s">
        <v>886</v>
      </c>
      <c r="D77" s="125" t="s">
        <v>887</v>
      </c>
      <c r="F77" s="125">
        <v>1.7</v>
      </c>
      <c r="H77" s="125" t="s">
        <v>27</v>
      </c>
      <c r="I77" s="125" t="s">
        <v>179</v>
      </c>
      <c r="O77" s="125" t="s">
        <v>74</v>
      </c>
      <c r="P77" s="125" t="s">
        <v>188</v>
      </c>
    </row>
    <row r="78" ht="14.25" customHeight="1">
      <c r="B78" s="125" t="s">
        <v>888</v>
      </c>
      <c r="C78" s="125" t="s">
        <v>357</v>
      </c>
      <c r="D78" s="125" t="s">
        <v>889</v>
      </c>
      <c r="F78" s="125">
        <v>2.0</v>
      </c>
      <c r="H78" s="125" t="s">
        <v>27</v>
      </c>
      <c r="K78" s="125" t="s">
        <v>172</v>
      </c>
      <c r="O78" s="125" t="s">
        <v>54</v>
      </c>
      <c r="P78" s="125" t="s">
        <v>189</v>
      </c>
    </row>
    <row r="79" ht="14.25" customHeight="1">
      <c r="B79" s="125" t="s">
        <v>595</v>
      </c>
      <c r="C79" s="125" t="s">
        <v>890</v>
      </c>
      <c r="D79" s="125" t="s">
        <v>891</v>
      </c>
      <c r="F79" s="125">
        <v>0.6</v>
      </c>
      <c r="H79" s="125" t="s">
        <v>27</v>
      </c>
      <c r="M79" s="125" t="s">
        <v>802</v>
      </c>
      <c r="O79" s="125" t="s">
        <v>54</v>
      </c>
      <c r="P79" s="125" t="s">
        <v>190</v>
      </c>
    </row>
    <row r="80" ht="14.25" customHeight="1">
      <c r="B80" s="125" t="s">
        <v>892</v>
      </c>
      <c r="C80" s="125" t="s">
        <v>893</v>
      </c>
      <c r="D80" s="125" t="s">
        <v>891</v>
      </c>
      <c r="F80" s="125">
        <v>0.9</v>
      </c>
      <c r="H80" s="125" t="s">
        <v>27</v>
      </c>
      <c r="M80" s="125" t="s">
        <v>802</v>
      </c>
      <c r="O80" s="125" t="s">
        <v>54</v>
      </c>
      <c r="P80" s="125" t="s">
        <v>190</v>
      </c>
    </row>
    <row r="81" ht="14.25" customHeight="1">
      <c r="B81" s="125" t="s">
        <v>894</v>
      </c>
      <c r="C81" s="125" t="s">
        <v>895</v>
      </c>
      <c r="D81" s="125" t="s">
        <v>891</v>
      </c>
      <c r="F81" s="125">
        <v>1.3</v>
      </c>
      <c r="H81" s="125" t="s">
        <v>27</v>
      </c>
      <c r="K81" s="125" t="s">
        <v>53</v>
      </c>
      <c r="O81" s="125" t="s">
        <v>54</v>
      </c>
      <c r="P81" s="125" t="s">
        <v>189</v>
      </c>
    </row>
    <row r="82" ht="14.25" customHeight="1">
      <c r="B82" s="125" t="s">
        <v>896</v>
      </c>
      <c r="C82" s="125" t="s">
        <v>897</v>
      </c>
      <c r="D82" s="125" t="s">
        <v>891</v>
      </c>
      <c r="F82" s="125">
        <v>1.2</v>
      </c>
      <c r="H82" s="125" t="s">
        <v>27</v>
      </c>
      <c r="K82" s="125" t="s">
        <v>172</v>
      </c>
      <c r="O82" s="125" t="s">
        <v>54</v>
      </c>
      <c r="P82" s="125" t="s">
        <v>189</v>
      </c>
    </row>
    <row r="83" ht="14.25" customHeight="1">
      <c r="B83" s="125" t="s">
        <v>898</v>
      </c>
      <c r="C83" s="125" t="s">
        <v>899</v>
      </c>
      <c r="D83" s="125" t="s">
        <v>900</v>
      </c>
      <c r="F83" s="125">
        <v>1.0</v>
      </c>
      <c r="H83" s="125" t="s">
        <v>27</v>
      </c>
      <c r="K83" s="125" t="s">
        <v>172</v>
      </c>
      <c r="O83" s="125" t="s">
        <v>74</v>
      </c>
      <c r="P83" s="125" t="s">
        <v>189</v>
      </c>
    </row>
    <row r="84" ht="14.25" customHeight="1">
      <c r="B84" s="125" t="s">
        <v>901</v>
      </c>
      <c r="C84" s="125" t="s">
        <v>891</v>
      </c>
      <c r="D84" s="125" t="s">
        <v>902</v>
      </c>
      <c r="F84" s="125">
        <v>1.0</v>
      </c>
      <c r="H84" s="125" t="s">
        <v>27</v>
      </c>
      <c r="K84" s="125" t="s">
        <v>53</v>
      </c>
      <c r="O84" s="125" t="s">
        <v>74</v>
      </c>
      <c r="P84" s="125" t="s">
        <v>189</v>
      </c>
    </row>
    <row r="85" ht="14.25" customHeight="1">
      <c r="B85" s="125" t="s">
        <v>903</v>
      </c>
      <c r="C85" s="125" t="s">
        <v>891</v>
      </c>
      <c r="D85" s="125" t="s">
        <v>904</v>
      </c>
      <c r="F85" s="125">
        <v>0.9</v>
      </c>
      <c r="H85" s="125" t="s">
        <v>27</v>
      </c>
      <c r="K85" s="125" t="s">
        <v>53</v>
      </c>
      <c r="O85" s="125" t="s">
        <v>54</v>
      </c>
      <c r="P85" s="125" t="s">
        <v>189</v>
      </c>
    </row>
    <row r="86" ht="14.25" customHeight="1">
      <c r="B86" s="125" t="s">
        <v>905</v>
      </c>
      <c r="C86" s="125" t="s">
        <v>820</v>
      </c>
      <c r="D86" s="125" t="s">
        <v>906</v>
      </c>
      <c r="F86" s="125">
        <v>1.5</v>
      </c>
      <c r="H86" s="125" t="s">
        <v>27</v>
      </c>
      <c r="K86" s="125" t="s">
        <v>172</v>
      </c>
      <c r="O86" s="125" t="s">
        <v>74</v>
      </c>
      <c r="P86" s="125" t="s">
        <v>189</v>
      </c>
    </row>
    <row r="87" ht="14.25" customHeight="1">
      <c r="B87" s="125" t="s">
        <v>907</v>
      </c>
      <c r="C87" s="125" t="s">
        <v>908</v>
      </c>
      <c r="D87" s="125" t="s">
        <v>909</v>
      </c>
      <c r="F87" s="125">
        <v>1.3</v>
      </c>
      <c r="H87" s="125" t="s">
        <v>27</v>
      </c>
      <c r="I87" s="125" t="s">
        <v>179</v>
      </c>
      <c r="O87" s="125" t="s">
        <v>74</v>
      </c>
      <c r="P87" s="125" t="s">
        <v>188</v>
      </c>
    </row>
    <row r="88" ht="14.25" customHeight="1">
      <c r="B88" s="125" t="s">
        <v>698</v>
      </c>
      <c r="C88" s="125" t="s">
        <v>712</v>
      </c>
      <c r="D88" s="125" t="s">
        <v>713</v>
      </c>
      <c r="F88" s="125">
        <v>1.5</v>
      </c>
      <c r="H88" s="125" t="s">
        <v>27</v>
      </c>
      <c r="K88" s="125" t="s">
        <v>172</v>
      </c>
      <c r="O88" s="125" t="s">
        <v>74</v>
      </c>
      <c r="P88" s="125" t="s">
        <v>189</v>
      </c>
    </row>
    <row r="89" ht="14.25" customHeight="1">
      <c r="B89" s="125" t="s">
        <v>910</v>
      </c>
      <c r="C89" s="125" t="s">
        <v>911</v>
      </c>
      <c r="D89" s="125" t="s">
        <v>912</v>
      </c>
      <c r="F89" s="125">
        <v>2.0</v>
      </c>
      <c r="H89" s="125" t="s">
        <v>27</v>
      </c>
      <c r="K89" s="125" t="s">
        <v>172</v>
      </c>
      <c r="O89" s="125" t="s">
        <v>54</v>
      </c>
      <c r="P89" s="125" t="s">
        <v>189</v>
      </c>
    </row>
    <row r="90" ht="14.25" customHeight="1">
      <c r="B90" s="125" t="s">
        <v>181</v>
      </c>
      <c r="C90" s="125" t="s">
        <v>913</v>
      </c>
      <c r="D90" s="125" t="s">
        <v>914</v>
      </c>
      <c r="F90" s="125">
        <v>1.0</v>
      </c>
      <c r="H90" s="125" t="s">
        <v>27</v>
      </c>
      <c r="I90" s="125" t="s">
        <v>179</v>
      </c>
      <c r="O90" s="125" t="s">
        <v>54</v>
      </c>
      <c r="P90" s="125" t="s">
        <v>188</v>
      </c>
    </row>
    <row r="91" ht="14.25" customHeight="1">
      <c r="B91" s="125" t="s">
        <v>915</v>
      </c>
      <c r="C91" s="125" t="s">
        <v>916</v>
      </c>
      <c r="D91" s="125" t="s">
        <v>917</v>
      </c>
      <c r="F91" s="125">
        <v>2.0</v>
      </c>
      <c r="H91" s="125" t="s">
        <v>27</v>
      </c>
      <c r="K91" s="125" t="s">
        <v>172</v>
      </c>
      <c r="O91" s="125" t="s">
        <v>74</v>
      </c>
      <c r="P91" s="125" t="s">
        <v>189</v>
      </c>
    </row>
    <row r="92" ht="14.25" customHeight="1">
      <c r="B92" s="125" t="s">
        <v>918</v>
      </c>
      <c r="C92" s="125" t="s">
        <v>916</v>
      </c>
      <c r="D92" s="125" t="s">
        <v>917</v>
      </c>
      <c r="F92" s="125">
        <v>2.0</v>
      </c>
      <c r="H92" s="125" t="s">
        <v>27</v>
      </c>
      <c r="K92" s="125" t="s">
        <v>172</v>
      </c>
      <c r="O92" s="125" t="s">
        <v>54</v>
      </c>
      <c r="P92" s="125" t="s">
        <v>189</v>
      </c>
    </row>
    <row r="93" ht="14.25" customHeight="1">
      <c r="B93" s="125" t="s">
        <v>919</v>
      </c>
      <c r="C93" s="125" t="s">
        <v>920</v>
      </c>
      <c r="D93" s="125" t="s">
        <v>921</v>
      </c>
      <c r="F93" s="125">
        <v>0.6</v>
      </c>
      <c r="H93" s="125" t="s">
        <v>27</v>
      </c>
      <c r="K93" s="125" t="s">
        <v>172</v>
      </c>
      <c r="O93" s="125" t="s">
        <v>54</v>
      </c>
      <c r="P93" s="125" t="s">
        <v>189</v>
      </c>
    </row>
    <row r="94" ht="14.25" customHeight="1">
      <c r="B94" s="125" t="s">
        <v>922</v>
      </c>
      <c r="C94" s="125" t="s">
        <v>219</v>
      </c>
      <c r="D94" s="125" t="s">
        <v>923</v>
      </c>
      <c r="F94" s="125">
        <v>3.0</v>
      </c>
      <c r="H94" s="125" t="s">
        <v>28</v>
      </c>
      <c r="I94" s="125" t="s">
        <v>924</v>
      </c>
      <c r="O94" s="125" t="s">
        <v>54</v>
      </c>
      <c r="P94" s="125" t="s">
        <v>188</v>
      </c>
    </row>
    <row r="95" ht="14.25" customHeight="1">
      <c r="B95" s="125" t="s">
        <v>925</v>
      </c>
      <c r="C95" s="125" t="s">
        <v>926</v>
      </c>
      <c r="D95" s="125" t="s">
        <v>752</v>
      </c>
      <c r="F95" s="125">
        <v>3.0</v>
      </c>
      <c r="H95" s="125" t="s">
        <v>28</v>
      </c>
      <c r="I95" s="125" t="s">
        <v>924</v>
      </c>
      <c r="O95" s="125" t="s">
        <v>54</v>
      </c>
      <c r="P95" s="125" t="s">
        <v>188</v>
      </c>
    </row>
    <row r="96" ht="14.25" customHeight="1">
      <c r="B96" s="125" t="s">
        <v>927</v>
      </c>
      <c r="C96" s="125" t="s">
        <v>928</v>
      </c>
      <c r="D96" s="125" t="s">
        <v>929</v>
      </c>
      <c r="F96" s="125">
        <v>1.0</v>
      </c>
      <c r="H96" s="125" t="s">
        <v>28</v>
      </c>
      <c r="I96" s="125" t="s">
        <v>924</v>
      </c>
      <c r="O96" s="125" t="s">
        <v>54</v>
      </c>
      <c r="P96" s="125" t="s">
        <v>188</v>
      </c>
    </row>
    <row r="97" ht="14.25" customHeight="1">
      <c r="B97" s="125" t="s">
        <v>737</v>
      </c>
      <c r="C97" s="125" t="s">
        <v>146</v>
      </c>
      <c r="D97" s="125" t="s">
        <v>147</v>
      </c>
      <c r="F97" s="125">
        <v>1.0</v>
      </c>
      <c r="H97" s="125" t="s">
        <v>28</v>
      </c>
      <c r="I97" s="125" t="s">
        <v>924</v>
      </c>
      <c r="O97" s="125" t="s">
        <v>54</v>
      </c>
      <c r="P97" s="125" t="s">
        <v>188</v>
      </c>
    </row>
    <row r="98" ht="14.25" customHeight="1">
      <c r="B98" s="125" t="s">
        <v>930</v>
      </c>
      <c r="C98" s="125" t="s">
        <v>931</v>
      </c>
      <c r="D98" s="125" t="s">
        <v>932</v>
      </c>
      <c r="F98" s="125">
        <v>2.8</v>
      </c>
      <c r="H98" s="125" t="s">
        <v>28</v>
      </c>
      <c r="I98" s="125" t="s">
        <v>924</v>
      </c>
      <c r="O98" s="125" t="s">
        <v>54</v>
      </c>
      <c r="P98" s="125" t="s">
        <v>188</v>
      </c>
    </row>
    <row r="99" ht="14.25" customHeight="1">
      <c r="B99" s="125" t="s">
        <v>933</v>
      </c>
      <c r="C99" s="125" t="s">
        <v>934</v>
      </c>
      <c r="D99" s="125" t="s">
        <v>935</v>
      </c>
      <c r="F99" s="125">
        <v>1.0</v>
      </c>
      <c r="H99" s="125" t="s">
        <v>28</v>
      </c>
      <c r="I99" s="125" t="s">
        <v>924</v>
      </c>
      <c r="O99" s="125" t="s">
        <v>54</v>
      </c>
      <c r="P99" s="125" t="s">
        <v>188</v>
      </c>
    </row>
    <row r="100" ht="14.25" customHeight="1">
      <c r="B100" s="125" t="s">
        <v>936</v>
      </c>
      <c r="C100" s="125" t="s">
        <v>70</v>
      </c>
      <c r="D100" s="125" t="s">
        <v>937</v>
      </c>
      <c r="F100" s="125">
        <v>2.5</v>
      </c>
      <c r="H100" s="125" t="s">
        <v>28</v>
      </c>
      <c r="I100" s="125" t="s">
        <v>924</v>
      </c>
      <c r="O100" s="125" t="s">
        <v>54</v>
      </c>
      <c r="P100" s="125" t="s">
        <v>188</v>
      </c>
    </row>
    <row r="101" ht="14.25" customHeight="1">
      <c r="B101" s="125" t="s">
        <v>938</v>
      </c>
      <c r="C101" s="125" t="s">
        <v>939</v>
      </c>
      <c r="D101" s="125" t="s">
        <v>940</v>
      </c>
      <c r="E101" s="125" t="s">
        <v>86</v>
      </c>
      <c r="F101" s="125">
        <v>1.7</v>
      </c>
      <c r="H101" s="125" t="s">
        <v>28</v>
      </c>
      <c r="I101" s="125" t="s">
        <v>924</v>
      </c>
      <c r="O101" s="125" t="s">
        <v>54</v>
      </c>
      <c r="P101" s="125" t="s">
        <v>188</v>
      </c>
    </row>
    <row r="102" ht="14.25" customHeight="1">
      <c r="B102" s="125" t="s">
        <v>165</v>
      </c>
      <c r="C102" s="125" t="s">
        <v>941</v>
      </c>
      <c r="D102" s="125" t="s">
        <v>942</v>
      </c>
      <c r="F102" s="125">
        <v>1.5</v>
      </c>
      <c r="H102" s="125" t="s">
        <v>28</v>
      </c>
      <c r="I102" s="125" t="s">
        <v>924</v>
      </c>
      <c r="O102" s="125" t="s">
        <v>54</v>
      </c>
      <c r="P102" s="125" t="s">
        <v>188</v>
      </c>
    </row>
    <row r="103" ht="14.25" customHeight="1">
      <c r="B103" s="125" t="s">
        <v>943</v>
      </c>
      <c r="C103" s="125" t="s">
        <v>937</v>
      </c>
      <c r="D103" s="125" t="s">
        <v>944</v>
      </c>
      <c r="F103" s="125">
        <v>6.3</v>
      </c>
      <c r="H103" s="125" t="s">
        <v>28</v>
      </c>
      <c r="I103" s="125" t="s">
        <v>924</v>
      </c>
      <c r="O103" s="125" t="s">
        <v>54</v>
      </c>
      <c r="P103" s="125" t="s">
        <v>188</v>
      </c>
    </row>
    <row r="104" ht="14.25" customHeight="1">
      <c r="B104" s="125" t="s">
        <v>945</v>
      </c>
      <c r="C104" s="125" t="s">
        <v>219</v>
      </c>
      <c r="D104" s="125" t="s">
        <v>596</v>
      </c>
      <c r="F104" s="125">
        <v>1.6</v>
      </c>
      <c r="H104" s="125" t="s">
        <v>28</v>
      </c>
      <c r="I104" s="125" t="s">
        <v>924</v>
      </c>
      <c r="O104" s="125" t="s">
        <v>54</v>
      </c>
      <c r="P104" s="125" t="s">
        <v>188</v>
      </c>
    </row>
    <row r="105" ht="14.25" customHeight="1">
      <c r="B105" s="125" t="s">
        <v>181</v>
      </c>
      <c r="C105" s="125" t="s">
        <v>946</v>
      </c>
      <c r="D105" s="125" t="s">
        <v>947</v>
      </c>
      <c r="F105" s="125">
        <v>1.5</v>
      </c>
      <c r="H105" s="125" t="s">
        <v>28</v>
      </c>
      <c r="I105" s="125" t="s">
        <v>924</v>
      </c>
      <c r="O105" s="125" t="s">
        <v>54</v>
      </c>
      <c r="P105" s="125" t="s">
        <v>188</v>
      </c>
    </row>
    <row r="106" ht="14.25" customHeight="1">
      <c r="B106" s="125" t="s">
        <v>620</v>
      </c>
      <c r="C106" s="125" t="s">
        <v>171</v>
      </c>
      <c r="D106" s="125" t="s">
        <v>948</v>
      </c>
      <c r="F106" s="125">
        <v>1.3</v>
      </c>
      <c r="H106" s="125" t="s">
        <v>28</v>
      </c>
      <c r="I106" s="125" t="s">
        <v>924</v>
      </c>
      <c r="O106" s="125" t="s">
        <v>54</v>
      </c>
      <c r="P106" s="125" t="s">
        <v>188</v>
      </c>
    </row>
    <row r="107" ht="14.25" customHeight="1">
      <c r="B107" s="125" t="s">
        <v>949</v>
      </c>
      <c r="C107" s="125" t="s">
        <v>571</v>
      </c>
      <c r="D107" s="125" t="s">
        <v>950</v>
      </c>
      <c r="F107" s="125">
        <v>3.8</v>
      </c>
      <c r="H107" s="125" t="s">
        <v>28</v>
      </c>
      <c r="I107" s="125" t="s">
        <v>924</v>
      </c>
      <c r="O107" s="125" t="s">
        <v>54</v>
      </c>
      <c r="P107" s="125" t="s">
        <v>188</v>
      </c>
    </row>
    <row r="108" ht="14.25" customHeight="1">
      <c r="B108" s="125" t="s">
        <v>951</v>
      </c>
      <c r="C108" s="125" t="s">
        <v>952</v>
      </c>
      <c r="D108" s="125" t="s">
        <v>219</v>
      </c>
      <c r="F108" s="125">
        <v>3.0</v>
      </c>
      <c r="H108" s="125" t="s">
        <v>28</v>
      </c>
      <c r="I108" s="125" t="s">
        <v>924</v>
      </c>
      <c r="O108" s="125" t="s">
        <v>54</v>
      </c>
      <c r="P108" s="125" t="s">
        <v>188</v>
      </c>
    </row>
    <row r="109" ht="14.25" customHeight="1">
      <c r="B109" s="125" t="s">
        <v>953</v>
      </c>
      <c r="C109" s="125" t="s">
        <v>952</v>
      </c>
      <c r="D109" s="125" t="s">
        <v>219</v>
      </c>
      <c r="F109" s="125">
        <v>2.0</v>
      </c>
      <c r="H109" s="125" t="s">
        <v>28</v>
      </c>
      <c r="I109" s="125" t="s">
        <v>924</v>
      </c>
      <c r="O109" s="125" t="s">
        <v>54</v>
      </c>
      <c r="P109" s="125" t="s">
        <v>188</v>
      </c>
    </row>
    <row r="110" ht="14.25" customHeight="1">
      <c r="B110" s="125" t="s">
        <v>954</v>
      </c>
      <c r="C110" s="125" t="s">
        <v>955</v>
      </c>
      <c r="D110" s="125" t="s">
        <v>219</v>
      </c>
      <c r="F110" s="125">
        <v>1.4</v>
      </c>
      <c r="H110" s="125" t="s">
        <v>28</v>
      </c>
      <c r="I110" s="125" t="s">
        <v>924</v>
      </c>
      <c r="O110" s="125" t="s">
        <v>54</v>
      </c>
      <c r="P110" s="125" t="s">
        <v>188</v>
      </c>
    </row>
    <row r="111" ht="14.25" customHeight="1">
      <c r="B111" s="125" t="s">
        <v>68</v>
      </c>
      <c r="C111" s="125" t="s">
        <v>956</v>
      </c>
      <c r="D111" s="125" t="s">
        <v>957</v>
      </c>
      <c r="F111" s="125">
        <v>1.46</v>
      </c>
      <c r="H111" s="125" t="s">
        <v>28</v>
      </c>
      <c r="I111" s="125" t="s">
        <v>924</v>
      </c>
      <c r="O111" s="125" t="s">
        <v>54</v>
      </c>
      <c r="P111" s="125" t="s">
        <v>188</v>
      </c>
    </row>
    <row r="112" ht="14.25" customHeight="1">
      <c r="B112" s="125" t="s">
        <v>657</v>
      </c>
      <c r="C112" s="125" t="s">
        <v>958</v>
      </c>
      <c r="D112" s="125" t="s">
        <v>959</v>
      </c>
      <c r="F112" s="125">
        <v>2.1</v>
      </c>
      <c r="H112" s="125" t="s">
        <v>28</v>
      </c>
      <c r="I112" s="125" t="s">
        <v>924</v>
      </c>
      <c r="O112" s="125" t="s">
        <v>54</v>
      </c>
      <c r="P112" s="125" t="s">
        <v>188</v>
      </c>
    </row>
    <row r="113" ht="14.25" customHeight="1">
      <c r="B113" s="125" t="s">
        <v>711</v>
      </c>
      <c r="C113" s="125" t="s">
        <v>960</v>
      </c>
      <c r="D113" s="125" t="s">
        <v>959</v>
      </c>
      <c r="F113" s="125">
        <v>1.0</v>
      </c>
      <c r="H113" s="125" t="s">
        <v>28</v>
      </c>
      <c r="I113" s="125" t="s">
        <v>924</v>
      </c>
      <c r="O113" s="125" t="s">
        <v>54</v>
      </c>
      <c r="P113" s="125" t="s">
        <v>188</v>
      </c>
    </row>
    <row r="114" ht="14.25" customHeight="1">
      <c r="B114" s="125" t="s">
        <v>778</v>
      </c>
      <c r="C114" s="125" t="s">
        <v>219</v>
      </c>
      <c r="D114" s="125" t="s">
        <v>961</v>
      </c>
      <c r="F114" s="125">
        <v>1.9</v>
      </c>
      <c r="H114" s="125" t="s">
        <v>28</v>
      </c>
      <c r="I114" s="125" t="s">
        <v>924</v>
      </c>
      <c r="O114" s="125" t="s">
        <v>54</v>
      </c>
      <c r="P114" s="125" t="s">
        <v>188</v>
      </c>
    </row>
    <row r="115" ht="14.25" customHeight="1">
      <c r="B115" s="125" t="s">
        <v>711</v>
      </c>
      <c r="C115" s="125" t="s">
        <v>962</v>
      </c>
      <c r="D115" s="125" t="s">
        <v>963</v>
      </c>
      <c r="F115" s="125">
        <v>2.5</v>
      </c>
      <c r="H115" s="125" t="s">
        <v>28</v>
      </c>
      <c r="I115" s="125" t="s">
        <v>924</v>
      </c>
      <c r="O115" s="125" t="s">
        <v>54</v>
      </c>
      <c r="P115" s="125" t="s">
        <v>188</v>
      </c>
    </row>
    <row r="116" ht="14.25" customHeight="1">
      <c r="B116" s="125" t="s">
        <v>233</v>
      </c>
      <c r="C116" s="125" t="s">
        <v>964</v>
      </c>
      <c r="D116" s="125" t="s">
        <v>965</v>
      </c>
      <c r="F116" s="125">
        <v>4.1</v>
      </c>
      <c r="H116" s="125" t="s">
        <v>28</v>
      </c>
      <c r="I116" s="125" t="s">
        <v>924</v>
      </c>
      <c r="O116" s="125" t="s">
        <v>54</v>
      </c>
      <c r="P116" s="125" t="s">
        <v>188</v>
      </c>
    </row>
    <row r="117" ht="14.25" customHeight="1">
      <c r="B117" s="125" t="s">
        <v>966</v>
      </c>
      <c r="C117" s="125" t="s">
        <v>958</v>
      </c>
      <c r="D117" s="125" t="s">
        <v>959</v>
      </c>
      <c r="F117" s="125">
        <v>2.0</v>
      </c>
      <c r="H117" s="125" t="s">
        <v>28</v>
      </c>
      <c r="I117" s="125" t="s">
        <v>924</v>
      </c>
      <c r="O117" s="125" t="s">
        <v>54</v>
      </c>
      <c r="P117" s="125" t="s">
        <v>188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C$117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967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274</v>
      </c>
      <c r="C11" s="50">
        <f t="shared" si="1"/>
        <v>280.5</v>
      </c>
      <c r="D11" s="51">
        <f t="shared" si="1"/>
        <v>0</v>
      </c>
      <c r="E11" s="51">
        <f t="shared" si="1"/>
        <v>61.4</v>
      </c>
      <c r="F11" s="51">
        <f t="shared" si="1"/>
        <v>0</v>
      </c>
      <c r="G11" s="51">
        <f t="shared" si="1"/>
        <v>26.2</v>
      </c>
      <c r="H11" s="52">
        <f t="shared" si="1"/>
        <v>0</v>
      </c>
      <c r="I11" s="53">
        <f t="shared" si="1"/>
        <v>32.3</v>
      </c>
      <c r="J11" s="51">
        <f t="shared" si="1"/>
        <v>0</v>
      </c>
      <c r="K11" s="51">
        <f t="shared" si="1"/>
        <v>46.5</v>
      </c>
      <c r="L11" s="51">
        <f t="shared" si="1"/>
        <v>0</v>
      </c>
      <c r="M11" s="54">
        <f t="shared" si="1"/>
        <v>34.1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112.9</v>
      </c>
      <c r="R11" s="50">
        <f t="shared" si="1"/>
        <v>312.8</v>
      </c>
      <c r="S11" s="51">
        <f t="shared" si="1"/>
        <v>0</v>
      </c>
      <c r="T11" s="51">
        <f t="shared" si="1"/>
        <v>107.9</v>
      </c>
      <c r="U11" s="51">
        <f t="shared" si="1"/>
        <v>0</v>
      </c>
      <c r="V11" s="51">
        <f t="shared" si="1"/>
        <v>60.3</v>
      </c>
      <c r="W11" s="52">
        <f t="shared" si="1"/>
        <v>481</v>
      </c>
      <c r="X11" s="56"/>
      <c r="Y11" s="57"/>
      <c r="Z11" s="57"/>
    </row>
    <row r="12" ht="14.25" customHeight="1">
      <c r="A12" s="58" t="s">
        <v>20</v>
      </c>
      <c r="B12" s="79">
        <v>59.0</v>
      </c>
      <c r="C12" s="88">
        <v>1.0</v>
      </c>
      <c r="D12" s="80"/>
      <c r="E12" s="85">
        <v>5.5</v>
      </c>
      <c r="F12" s="80"/>
      <c r="G12" s="85">
        <v>8.1</v>
      </c>
      <c r="H12" s="59"/>
      <c r="I12" s="87">
        <v>10.3</v>
      </c>
      <c r="J12" s="80"/>
      <c r="K12" s="85">
        <v>24.0</v>
      </c>
      <c r="L12" s="80"/>
      <c r="M12" s="86">
        <v>23.6</v>
      </c>
      <c r="N12" s="62"/>
      <c r="O12" s="80"/>
      <c r="P12" s="59"/>
      <c r="Q12" s="61">
        <f t="shared" ref="Q12:Q22" si="4">SUM(I12:P12)</f>
        <v>57.9</v>
      </c>
      <c r="R12" s="62">
        <f t="shared" ref="R12:S12" si="2">C12+I12</f>
        <v>11.3</v>
      </c>
      <c r="S12" s="80">
        <f t="shared" si="2"/>
        <v>0</v>
      </c>
      <c r="T12" s="80">
        <f t="shared" ref="T12:V12" si="3">E12+K12+N12</f>
        <v>29.5</v>
      </c>
      <c r="U12" s="80">
        <f t="shared" si="3"/>
        <v>0</v>
      </c>
      <c r="V12" s="80">
        <f t="shared" si="3"/>
        <v>31.7</v>
      </c>
      <c r="W12" s="59">
        <f t="shared" ref="W12:W22" si="7">SUM(R12:V12)</f>
        <v>72.5</v>
      </c>
      <c r="X12" s="64"/>
    </row>
    <row r="13" ht="14.25" customHeight="1">
      <c r="A13" s="58" t="s">
        <v>21</v>
      </c>
      <c r="B13" s="79">
        <v>25.0</v>
      </c>
      <c r="C13" s="88">
        <v>3.8</v>
      </c>
      <c r="D13" s="80"/>
      <c r="E13" s="85">
        <v>15.3</v>
      </c>
      <c r="F13" s="80"/>
      <c r="G13" s="85">
        <v>11.7</v>
      </c>
      <c r="H13" s="59"/>
      <c r="I13" s="60"/>
      <c r="J13" s="80"/>
      <c r="K13" s="80"/>
      <c r="L13" s="80"/>
      <c r="M13" s="83"/>
      <c r="N13" s="62"/>
      <c r="O13" s="80"/>
      <c r="P13" s="59"/>
      <c r="Q13" s="61">
        <f t="shared" si="4"/>
        <v>0</v>
      </c>
      <c r="R13" s="62">
        <f t="shared" ref="R13:S13" si="5">C13+I13</f>
        <v>3.8</v>
      </c>
      <c r="S13" s="80">
        <f t="shared" si="5"/>
        <v>0</v>
      </c>
      <c r="T13" s="80">
        <f t="shared" ref="T13:V13" si="6">E13+K13+N13</f>
        <v>15.3</v>
      </c>
      <c r="U13" s="80">
        <f t="shared" si="6"/>
        <v>0</v>
      </c>
      <c r="V13" s="80">
        <f t="shared" si="6"/>
        <v>11.7</v>
      </c>
      <c r="W13" s="59">
        <f t="shared" si="7"/>
        <v>30.8</v>
      </c>
      <c r="X13" s="64"/>
    </row>
    <row r="14" ht="14.25" customHeight="1">
      <c r="A14" s="58" t="s">
        <v>22</v>
      </c>
      <c r="B14" s="79">
        <v>137.0</v>
      </c>
      <c r="C14" s="88">
        <v>272.9</v>
      </c>
      <c r="D14" s="80"/>
      <c r="E14" s="80"/>
      <c r="F14" s="80"/>
      <c r="G14" s="80"/>
      <c r="H14" s="59"/>
      <c r="I14" s="87">
        <v>15.0</v>
      </c>
      <c r="J14" s="80"/>
      <c r="K14" s="80"/>
      <c r="L14" s="80"/>
      <c r="M14" s="83"/>
      <c r="N14" s="62"/>
      <c r="O14" s="80"/>
      <c r="P14" s="59"/>
      <c r="Q14" s="61">
        <f t="shared" si="4"/>
        <v>15</v>
      </c>
      <c r="R14" s="62">
        <f t="shared" ref="R14:S14" si="8">C14+I14</f>
        <v>287.9</v>
      </c>
      <c r="S14" s="80">
        <f t="shared" si="8"/>
        <v>0</v>
      </c>
      <c r="T14" s="80">
        <f t="shared" ref="T14:V14" si="9">E14+K14+N14</f>
        <v>0</v>
      </c>
      <c r="U14" s="80">
        <f t="shared" si="9"/>
        <v>0</v>
      </c>
      <c r="V14" s="80">
        <f t="shared" si="9"/>
        <v>0</v>
      </c>
      <c r="W14" s="59">
        <f t="shared" si="7"/>
        <v>287.9</v>
      </c>
      <c r="X14" s="64"/>
    </row>
    <row r="15" ht="14.25" customHeight="1">
      <c r="A15" s="58" t="s">
        <v>23</v>
      </c>
      <c r="B15" s="79">
        <v>12.0</v>
      </c>
      <c r="C15" s="62"/>
      <c r="D15" s="80"/>
      <c r="E15" s="80"/>
      <c r="F15" s="80"/>
      <c r="G15" s="80"/>
      <c r="H15" s="59"/>
      <c r="I15" s="87">
        <v>7.0</v>
      </c>
      <c r="J15" s="80"/>
      <c r="K15" s="85">
        <v>11.3</v>
      </c>
      <c r="L15" s="80"/>
      <c r="M15" s="83"/>
      <c r="N15" s="62"/>
      <c r="O15" s="80"/>
      <c r="P15" s="59"/>
      <c r="Q15" s="61">
        <f t="shared" si="4"/>
        <v>18.3</v>
      </c>
      <c r="R15" s="62">
        <f t="shared" ref="R15:S15" si="10">C15+I15</f>
        <v>7</v>
      </c>
      <c r="S15" s="80">
        <f t="shared" si="10"/>
        <v>0</v>
      </c>
      <c r="T15" s="80">
        <f t="shared" ref="T15:V15" si="11">E15+K15+N15</f>
        <v>11.3</v>
      </c>
      <c r="U15" s="80">
        <f t="shared" si="11"/>
        <v>0</v>
      </c>
      <c r="V15" s="80">
        <f t="shared" si="11"/>
        <v>0</v>
      </c>
      <c r="W15" s="59">
        <f t="shared" si="7"/>
        <v>18.3</v>
      </c>
      <c r="X15" s="64"/>
    </row>
    <row r="16" ht="14.25" customHeight="1">
      <c r="A16" s="58" t="s">
        <v>24</v>
      </c>
      <c r="B16" s="79">
        <v>0.0</v>
      </c>
      <c r="C16" s="62"/>
      <c r="D16" s="80"/>
      <c r="E16" s="80"/>
      <c r="F16" s="80"/>
      <c r="G16" s="80"/>
      <c r="H16" s="59"/>
      <c r="I16" s="60"/>
      <c r="J16" s="80"/>
      <c r="K16" s="80"/>
      <c r="L16" s="80"/>
      <c r="M16" s="83"/>
      <c r="N16" s="62"/>
      <c r="O16" s="80"/>
      <c r="P16" s="59"/>
      <c r="Q16" s="61">
        <f t="shared" si="4"/>
        <v>0</v>
      </c>
      <c r="R16" s="62">
        <f t="shared" ref="R16:S16" si="12">C16+I16</f>
        <v>0</v>
      </c>
      <c r="S16" s="80">
        <f t="shared" si="12"/>
        <v>0</v>
      </c>
      <c r="T16" s="80">
        <f t="shared" ref="T16:V16" si="13">E16+K16+N16</f>
        <v>0</v>
      </c>
      <c r="U16" s="80">
        <f t="shared" si="13"/>
        <v>0</v>
      </c>
      <c r="V16" s="80">
        <f t="shared" si="13"/>
        <v>0</v>
      </c>
      <c r="W16" s="59">
        <f t="shared" si="7"/>
        <v>0</v>
      </c>
      <c r="X16" s="64"/>
    </row>
    <row r="17" ht="14.25" customHeight="1">
      <c r="A17" s="58" t="s">
        <v>25</v>
      </c>
      <c r="B17" s="79">
        <v>28.0</v>
      </c>
      <c r="C17" s="62"/>
      <c r="D17" s="80"/>
      <c r="E17" s="85">
        <v>20.8</v>
      </c>
      <c r="F17" s="80"/>
      <c r="G17" s="85">
        <v>5.2</v>
      </c>
      <c r="H17" s="59"/>
      <c r="I17" s="60"/>
      <c r="J17" s="80"/>
      <c r="K17" s="85">
        <v>9.9</v>
      </c>
      <c r="L17" s="80"/>
      <c r="M17" s="86">
        <v>10.5</v>
      </c>
      <c r="N17" s="62"/>
      <c r="O17" s="80"/>
      <c r="P17" s="59"/>
      <c r="Q17" s="61">
        <f t="shared" si="4"/>
        <v>20.4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30.7</v>
      </c>
      <c r="U17" s="80">
        <f t="shared" si="15"/>
        <v>0</v>
      </c>
      <c r="V17" s="80">
        <f t="shared" si="15"/>
        <v>15.7</v>
      </c>
      <c r="W17" s="59">
        <f t="shared" si="7"/>
        <v>46.4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0"/>
      <c r="H18" s="59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8.0</v>
      </c>
      <c r="C19" s="88">
        <v>2.8</v>
      </c>
      <c r="D19" s="80"/>
      <c r="E19" s="85">
        <v>8.8</v>
      </c>
      <c r="F19" s="80"/>
      <c r="G19" s="85">
        <v>1.2</v>
      </c>
      <c r="H19" s="59"/>
      <c r="I19" s="60"/>
      <c r="J19" s="80"/>
      <c r="K19" s="85">
        <v>1.3</v>
      </c>
      <c r="L19" s="80"/>
      <c r="M19" s="83"/>
      <c r="N19" s="62"/>
      <c r="O19" s="80"/>
      <c r="P19" s="59"/>
      <c r="Q19" s="61">
        <f t="shared" si="4"/>
        <v>1.3</v>
      </c>
      <c r="R19" s="62">
        <f t="shared" ref="R19:S19" si="18">C19+I19</f>
        <v>2.8</v>
      </c>
      <c r="S19" s="80">
        <f t="shared" si="18"/>
        <v>0</v>
      </c>
      <c r="T19" s="80">
        <f t="shared" ref="T19:V19" si="19">E19+K19+N19</f>
        <v>10.1</v>
      </c>
      <c r="U19" s="80">
        <f t="shared" si="19"/>
        <v>0</v>
      </c>
      <c r="V19" s="80">
        <f t="shared" si="19"/>
        <v>1.2</v>
      </c>
      <c r="W19" s="59">
        <f t="shared" si="7"/>
        <v>14.1</v>
      </c>
      <c r="X19" s="64"/>
    </row>
    <row r="20" ht="14.25" customHeight="1">
      <c r="A20" s="58" t="s">
        <v>28</v>
      </c>
      <c r="B20" s="79">
        <v>5.0</v>
      </c>
      <c r="C20" s="62"/>
      <c r="D20" s="80"/>
      <c r="E20" s="85">
        <v>11.0</v>
      </c>
      <c r="F20" s="80"/>
      <c r="G20" s="80"/>
      <c r="H20" s="59"/>
      <c r="I20" s="60"/>
      <c r="J20" s="80"/>
      <c r="K20" s="80"/>
      <c r="L20" s="80"/>
      <c r="M20" s="83"/>
      <c r="N20" s="62"/>
      <c r="O20" s="80"/>
      <c r="P20" s="59"/>
      <c r="Q20" s="61">
        <f t="shared" si="4"/>
        <v>0</v>
      </c>
      <c r="R20" s="62">
        <f t="shared" ref="R20:S20" si="20">C20+I20</f>
        <v>0</v>
      </c>
      <c r="S20" s="80">
        <f t="shared" si="20"/>
        <v>0</v>
      </c>
      <c r="T20" s="80">
        <f t="shared" ref="T20:V20" si="21">E20+K20+N20</f>
        <v>11</v>
      </c>
      <c r="U20" s="80">
        <f t="shared" si="21"/>
        <v>0</v>
      </c>
      <c r="V20" s="80">
        <f t="shared" si="21"/>
        <v>0</v>
      </c>
      <c r="W20" s="59">
        <f t="shared" si="7"/>
        <v>11</v>
      </c>
      <c r="X20" s="64"/>
    </row>
    <row r="21" ht="14.25" customHeight="1">
      <c r="A21" s="58" t="s">
        <v>29</v>
      </c>
      <c r="B21" s="79">
        <v>0.0</v>
      </c>
      <c r="C21" s="62"/>
      <c r="D21" s="80"/>
      <c r="E21" s="80"/>
      <c r="F21" s="80"/>
      <c r="G21" s="80"/>
      <c r="H21" s="59"/>
      <c r="I21" s="60"/>
      <c r="J21" s="80"/>
      <c r="K21" s="80"/>
      <c r="L21" s="80"/>
      <c r="M21" s="83"/>
      <c r="N21" s="62"/>
      <c r="O21" s="80"/>
      <c r="P21" s="59"/>
      <c r="Q21" s="61">
        <f t="shared" si="4"/>
        <v>0</v>
      </c>
      <c r="R21" s="62">
        <f t="shared" ref="R21:S21" si="22">C21+I21</f>
        <v>0</v>
      </c>
      <c r="S21" s="80">
        <f t="shared" si="22"/>
        <v>0</v>
      </c>
      <c r="T21" s="80">
        <f t="shared" ref="T21:V21" si="23">E21+K21+N21</f>
        <v>0</v>
      </c>
      <c r="U21" s="80">
        <f t="shared" si="23"/>
        <v>0</v>
      </c>
      <c r="V21" s="80">
        <f t="shared" si="23"/>
        <v>0</v>
      </c>
      <c r="W21" s="59">
        <f t="shared" si="7"/>
        <v>0</v>
      </c>
      <c r="X21" s="64"/>
    </row>
    <row r="22" ht="14.25" customHeight="1">
      <c r="A22" s="58" t="s">
        <v>30</v>
      </c>
      <c r="B22" s="79">
        <v>0.0</v>
      </c>
      <c r="C22" s="62"/>
      <c r="D22" s="80"/>
      <c r="E22" s="80"/>
      <c r="F22" s="80"/>
      <c r="G22" s="80"/>
      <c r="H22" s="59"/>
      <c r="I22" s="60"/>
      <c r="J22" s="80"/>
      <c r="K22" s="80"/>
      <c r="L22" s="80"/>
      <c r="M22" s="83"/>
      <c r="N22" s="62"/>
      <c r="O22" s="80"/>
      <c r="P22" s="59"/>
      <c r="Q22" s="61">
        <f t="shared" si="4"/>
        <v>0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0</v>
      </c>
      <c r="U22" s="80">
        <f t="shared" si="25"/>
        <v>0</v>
      </c>
      <c r="V22" s="80">
        <f t="shared" si="25"/>
        <v>0</v>
      </c>
      <c r="W22" s="59">
        <f t="shared" si="7"/>
        <v>0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63"/>
    <col customWidth="1" min="2" max="2" width="16.38"/>
    <col customWidth="1" min="3" max="3" width="15.88"/>
    <col customWidth="1" min="4" max="4" width="14.0"/>
    <col customWidth="1" min="5" max="5" width="8.25"/>
    <col customWidth="1" min="6" max="6" width="10.13"/>
    <col customWidth="1" min="7" max="7" width="7.25"/>
    <col customWidth="1" min="8" max="8" width="12.38"/>
    <col customWidth="1" min="9" max="14" width="10.0"/>
    <col customWidth="1" min="15" max="15" width="12.63"/>
    <col customWidth="1" min="16" max="16" width="7.13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3.5" customHeight="1">
      <c r="A5" s="92" t="s">
        <v>3</v>
      </c>
      <c r="B5" s="92"/>
      <c r="C5" s="92"/>
      <c r="D5" s="92"/>
      <c r="E5" s="92"/>
      <c r="F5" s="92"/>
      <c r="G5" s="92"/>
      <c r="H5" s="92"/>
      <c r="I5" s="134"/>
      <c r="J5" s="91"/>
      <c r="K5" s="134"/>
      <c r="L5" s="91"/>
      <c r="M5" s="134"/>
      <c r="N5" s="91"/>
      <c r="O5" s="91"/>
    </row>
    <row r="6" ht="14.25" customHeight="1">
      <c r="A6" s="135" t="s">
        <v>967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968</v>
      </c>
      <c r="C9" s="118" t="s">
        <v>969</v>
      </c>
      <c r="D9" s="118" t="s">
        <v>970</v>
      </c>
      <c r="E9" s="117"/>
      <c r="F9" s="118">
        <v>0.8</v>
      </c>
      <c r="G9" s="117"/>
      <c r="H9" s="118" t="s">
        <v>20</v>
      </c>
      <c r="I9" s="137"/>
      <c r="J9" s="120"/>
      <c r="K9" s="120"/>
      <c r="L9" s="120"/>
      <c r="M9" s="137" t="s">
        <v>535</v>
      </c>
      <c r="N9" s="120"/>
      <c r="O9" s="121" t="s">
        <v>74</v>
      </c>
    </row>
    <row r="10" ht="14.25" customHeight="1">
      <c r="A10" s="117"/>
      <c r="B10" s="118" t="s">
        <v>695</v>
      </c>
      <c r="C10" s="118" t="s">
        <v>969</v>
      </c>
      <c r="D10" s="118" t="s">
        <v>971</v>
      </c>
      <c r="E10" s="117"/>
      <c r="F10" s="118">
        <v>0.5</v>
      </c>
      <c r="G10" s="117"/>
      <c r="H10" s="118" t="s">
        <v>20</v>
      </c>
      <c r="I10" s="137"/>
      <c r="J10" s="120"/>
      <c r="K10" s="120"/>
      <c r="L10" s="120"/>
      <c r="M10" s="137" t="s">
        <v>526</v>
      </c>
      <c r="N10" s="120"/>
      <c r="O10" s="121" t="s">
        <v>74</v>
      </c>
    </row>
    <row r="11" ht="14.25" customHeight="1">
      <c r="A11" s="117" t="s">
        <v>19</v>
      </c>
      <c r="B11" s="118" t="s">
        <v>252</v>
      </c>
      <c r="C11" s="118" t="s">
        <v>972</v>
      </c>
      <c r="D11" s="118" t="s">
        <v>973</v>
      </c>
      <c r="E11" s="117"/>
      <c r="F11" s="118">
        <v>3.0</v>
      </c>
      <c r="G11" s="117"/>
      <c r="H11" s="118" t="s">
        <v>20</v>
      </c>
      <c r="I11" s="137"/>
      <c r="J11" s="120"/>
      <c r="K11" s="120"/>
      <c r="L11" s="120"/>
      <c r="M11" s="137" t="s">
        <v>535</v>
      </c>
      <c r="N11" s="120"/>
      <c r="O11" s="121" t="s">
        <v>54</v>
      </c>
    </row>
    <row r="12" ht="14.25" customHeight="1">
      <c r="A12" s="117" t="s">
        <v>20</v>
      </c>
      <c r="B12" s="118" t="s">
        <v>974</v>
      </c>
      <c r="C12" s="118" t="s">
        <v>195</v>
      </c>
      <c r="D12" s="118" t="s">
        <v>194</v>
      </c>
      <c r="E12" s="117"/>
      <c r="F12" s="118">
        <v>0.6</v>
      </c>
      <c r="G12" s="117"/>
      <c r="H12" s="118" t="s">
        <v>20</v>
      </c>
      <c r="I12" s="137"/>
      <c r="J12" s="120"/>
      <c r="K12" s="120"/>
      <c r="L12" s="120"/>
      <c r="M12" s="137" t="s">
        <v>526</v>
      </c>
      <c r="N12" s="120"/>
      <c r="O12" s="121" t="s">
        <v>54</v>
      </c>
    </row>
    <row r="13" ht="14.25" customHeight="1">
      <c r="A13" s="117" t="s">
        <v>21</v>
      </c>
      <c r="B13" s="118" t="s">
        <v>975</v>
      </c>
      <c r="C13" s="118" t="s">
        <v>976</v>
      </c>
      <c r="D13" s="118" t="s">
        <v>114</v>
      </c>
      <c r="E13" s="117"/>
      <c r="F13" s="118">
        <v>2.0</v>
      </c>
      <c r="G13" s="117"/>
      <c r="H13" s="118" t="s">
        <v>20</v>
      </c>
      <c r="I13" s="137"/>
      <c r="J13" s="120"/>
      <c r="K13" s="120"/>
      <c r="L13" s="120"/>
      <c r="M13" s="137" t="s">
        <v>203</v>
      </c>
      <c r="N13" s="120"/>
      <c r="O13" s="121" t="s">
        <v>74</v>
      </c>
    </row>
    <row r="14" ht="14.25" customHeight="1">
      <c r="A14" s="117" t="s">
        <v>22</v>
      </c>
      <c r="B14" s="118" t="s">
        <v>977</v>
      </c>
      <c r="C14" s="118" t="s">
        <v>978</v>
      </c>
      <c r="D14" s="118" t="s">
        <v>979</v>
      </c>
      <c r="E14" s="117"/>
      <c r="F14" s="118">
        <v>1.3</v>
      </c>
      <c r="G14" s="117"/>
      <c r="H14" s="118" t="s">
        <v>20</v>
      </c>
      <c r="I14" s="137"/>
      <c r="J14" s="120"/>
      <c r="K14" s="120"/>
      <c r="L14" s="120"/>
      <c r="M14" s="137" t="s">
        <v>535</v>
      </c>
      <c r="N14" s="120"/>
      <c r="O14" s="121" t="s">
        <v>74</v>
      </c>
    </row>
    <row r="15" ht="14.25" customHeight="1">
      <c r="A15" s="117" t="s">
        <v>23</v>
      </c>
      <c r="B15" s="118" t="s">
        <v>115</v>
      </c>
      <c r="C15" s="118" t="s">
        <v>541</v>
      </c>
      <c r="D15" s="118" t="s">
        <v>980</v>
      </c>
      <c r="E15" s="117"/>
      <c r="F15" s="118">
        <v>1.5</v>
      </c>
      <c r="G15" s="117"/>
      <c r="H15" s="118" t="s">
        <v>20</v>
      </c>
      <c r="I15" s="137"/>
      <c r="J15" s="120"/>
      <c r="K15" s="137" t="s">
        <v>168</v>
      </c>
      <c r="L15" s="120"/>
      <c r="M15" s="120"/>
      <c r="N15" s="120"/>
      <c r="O15" s="121" t="s">
        <v>74</v>
      </c>
    </row>
    <row r="16" ht="14.25" customHeight="1">
      <c r="A16" s="117" t="s">
        <v>24</v>
      </c>
      <c r="B16" s="118" t="s">
        <v>981</v>
      </c>
      <c r="C16" s="118" t="s">
        <v>541</v>
      </c>
      <c r="D16" s="118" t="s">
        <v>980</v>
      </c>
      <c r="E16" s="117"/>
      <c r="F16" s="118">
        <v>0.5</v>
      </c>
      <c r="G16" s="117"/>
      <c r="H16" s="118" t="s">
        <v>20</v>
      </c>
      <c r="I16" s="137"/>
      <c r="J16" s="120"/>
      <c r="K16" s="137" t="s">
        <v>210</v>
      </c>
      <c r="L16" s="120"/>
      <c r="M16" s="120"/>
      <c r="N16" s="120"/>
      <c r="O16" s="121" t="s">
        <v>74</v>
      </c>
    </row>
    <row r="17" ht="14.25" customHeight="1">
      <c r="A17" s="117" t="s">
        <v>25</v>
      </c>
      <c r="B17" s="118" t="s">
        <v>982</v>
      </c>
      <c r="C17" s="118" t="s">
        <v>983</v>
      </c>
      <c r="D17" s="118" t="s">
        <v>984</v>
      </c>
      <c r="E17" s="117"/>
      <c r="F17" s="118">
        <v>1.0</v>
      </c>
      <c r="G17" s="117"/>
      <c r="H17" s="118" t="s">
        <v>20</v>
      </c>
      <c r="I17" s="137"/>
      <c r="J17" s="120"/>
      <c r="K17" s="137" t="s">
        <v>53</v>
      </c>
      <c r="L17" s="120"/>
      <c r="M17" s="120"/>
      <c r="N17" s="120"/>
      <c r="O17" s="121" t="s">
        <v>74</v>
      </c>
    </row>
    <row r="18" ht="14.25" customHeight="1">
      <c r="A18" s="117" t="s">
        <v>26</v>
      </c>
      <c r="B18" s="118" t="s">
        <v>161</v>
      </c>
      <c r="C18" s="118" t="s">
        <v>985</v>
      </c>
      <c r="D18" s="118" t="s">
        <v>986</v>
      </c>
      <c r="E18" s="117"/>
      <c r="F18" s="118">
        <v>1.0</v>
      </c>
      <c r="G18" s="117"/>
      <c r="H18" s="118" t="s">
        <v>20</v>
      </c>
      <c r="I18" s="137"/>
      <c r="J18" s="120"/>
      <c r="K18" s="137" t="s">
        <v>53</v>
      </c>
      <c r="L18" s="120"/>
      <c r="M18" s="120"/>
      <c r="N18" s="120"/>
      <c r="O18" s="121" t="s">
        <v>54</v>
      </c>
    </row>
    <row r="19" ht="14.25" customHeight="1">
      <c r="A19" s="117" t="s">
        <v>27</v>
      </c>
      <c r="B19" s="118" t="s">
        <v>987</v>
      </c>
      <c r="C19" s="118" t="s">
        <v>255</v>
      </c>
      <c r="D19" s="118" t="s">
        <v>988</v>
      </c>
      <c r="E19" s="117"/>
      <c r="F19" s="118">
        <v>0.9</v>
      </c>
      <c r="G19" s="117"/>
      <c r="H19" s="118" t="s">
        <v>20</v>
      </c>
      <c r="I19" s="137"/>
      <c r="J19" s="120"/>
      <c r="K19" s="137" t="s">
        <v>172</v>
      </c>
      <c r="L19" s="120"/>
      <c r="M19" s="120"/>
      <c r="N19" s="120"/>
      <c r="O19" s="121" t="s">
        <v>74</v>
      </c>
    </row>
    <row r="20" ht="14.25" customHeight="1">
      <c r="A20" s="117" t="s">
        <v>28</v>
      </c>
      <c r="B20" s="118" t="s">
        <v>989</v>
      </c>
      <c r="C20" s="118" t="s">
        <v>990</v>
      </c>
      <c r="D20" s="118" t="s">
        <v>991</v>
      </c>
      <c r="E20" s="117"/>
      <c r="F20" s="118">
        <v>1.75</v>
      </c>
      <c r="G20" s="117"/>
      <c r="H20" s="118" t="s">
        <v>20</v>
      </c>
      <c r="I20" s="137" t="s">
        <v>992</v>
      </c>
      <c r="J20" s="120"/>
      <c r="K20" s="120"/>
      <c r="L20" s="120"/>
      <c r="M20" s="120"/>
      <c r="N20" s="120"/>
      <c r="O20" s="121" t="s">
        <v>74</v>
      </c>
    </row>
    <row r="21" ht="14.25" customHeight="1">
      <c r="A21" s="122" t="s">
        <v>29</v>
      </c>
      <c r="B21" s="123" t="s">
        <v>993</v>
      </c>
      <c r="C21" s="123" t="s">
        <v>994</v>
      </c>
      <c r="D21" s="123" t="s">
        <v>995</v>
      </c>
      <c r="E21" s="124"/>
      <c r="F21" s="123">
        <v>1.0</v>
      </c>
      <c r="G21" s="124"/>
      <c r="H21" s="123" t="s">
        <v>20</v>
      </c>
      <c r="I21" s="121" t="s">
        <v>996</v>
      </c>
      <c r="J21" s="120"/>
      <c r="K21" s="120"/>
      <c r="L21" s="120"/>
      <c r="M21" s="120"/>
      <c r="N21" s="120"/>
      <c r="O21" s="121" t="s">
        <v>54</v>
      </c>
    </row>
    <row r="22" ht="14.25" customHeight="1">
      <c r="A22" s="122" t="s">
        <v>30</v>
      </c>
      <c r="B22" s="123" t="s">
        <v>997</v>
      </c>
      <c r="C22" s="123" t="s">
        <v>517</v>
      </c>
      <c r="D22" s="123" t="s">
        <v>995</v>
      </c>
      <c r="E22" s="124"/>
      <c r="F22" s="123">
        <v>0.5</v>
      </c>
      <c r="G22" s="124"/>
      <c r="H22" s="123" t="s">
        <v>20</v>
      </c>
      <c r="I22" s="121"/>
      <c r="J22" s="120"/>
      <c r="K22" s="120"/>
      <c r="L22" s="120"/>
      <c r="M22" s="121" t="s">
        <v>505</v>
      </c>
      <c r="N22" s="120"/>
      <c r="O22" s="121" t="s">
        <v>74</v>
      </c>
    </row>
    <row r="23" ht="14.25" customHeight="1">
      <c r="B23" s="125" t="s">
        <v>581</v>
      </c>
      <c r="C23" s="125" t="s">
        <v>998</v>
      </c>
      <c r="D23" s="125" t="s">
        <v>999</v>
      </c>
      <c r="F23" s="125">
        <v>1.0</v>
      </c>
      <c r="H23" s="125" t="s">
        <v>20</v>
      </c>
      <c r="M23" s="125" t="s">
        <v>505</v>
      </c>
      <c r="O23" s="125" t="s">
        <v>74</v>
      </c>
    </row>
    <row r="24" ht="14.25" customHeight="1">
      <c r="B24" s="125" t="s">
        <v>1000</v>
      </c>
      <c r="C24" s="125" t="s">
        <v>1001</v>
      </c>
      <c r="D24" s="125" t="s">
        <v>998</v>
      </c>
      <c r="F24" s="125">
        <v>1.0</v>
      </c>
      <c r="H24" s="125" t="s">
        <v>20</v>
      </c>
      <c r="M24" s="125" t="s">
        <v>526</v>
      </c>
      <c r="O24" s="125" t="s">
        <v>74</v>
      </c>
    </row>
    <row r="25" ht="14.25" customHeight="1">
      <c r="B25" s="125" t="s">
        <v>860</v>
      </c>
      <c r="C25" s="125" t="s">
        <v>1002</v>
      </c>
      <c r="D25" s="125" t="s">
        <v>1003</v>
      </c>
      <c r="F25" s="125">
        <v>1.0</v>
      </c>
      <c r="H25" s="125" t="s">
        <v>20</v>
      </c>
      <c r="K25" s="125" t="s">
        <v>266</v>
      </c>
      <c r="O25" s="125" t="s">
        <v>74</v>
      </c>
    </row>
    <row r="26" ht="14.25" customHeight="1">
      <c r="A26" s="126">
        <f>-A29</f>
        <v>0</v>
      </c>
      <c r="B26" s="125" t="s">
        <v>641</v>
      </c>
      <c r="C26" s="125" t="s">
        <v>1004</v>
      </c>
      <c r="D26" s="125" t="s">
        <v>1005</v>
      </c>
      <c r="F26" s="125">
        <v>1.0</v>
      </c>
      <c r="H26" s="125" t="s">
        <v>20</v>
      </c>
      <c r="M26" s="125" t="s">
        <v>133</v>
      </c>
      <c r="O26" s="125" t="s">
        <v>74</v>
      </c>
    </row>
    <row r="27" ht="14.25" customHeight="1">
      <c r="B27" s="125" t="s">
        <v>1006</v>
      </c>
      <c r="C27" s="125" t="s">
        <v>1007</v>
      </c>
      <c r="D27" s="125" t="s">
        <v>588</v>
      </c>
      <c r="F27" s="125">
        <v>1.6</v>
      </c>
      <c r="H27" s="125" t="s">
        <v>20</v>
      </c>
      <c r="M27" s="125" t="s">
        <v>505</v>
      </c>
      <c r="O27" s="125" t="s">
        <v>74</v>
      </c>
    </row>
    <row r="28" ht="14.25" customHeight="1">
      <c r="B28" s="125" t="s">
        <v>1008</v>
      </c>
      <c r="C28" s="125" t="s">
        <v>1009</v>
      </c>
      <c r="D28" s="125" t="s">
        <v>1010</v>
      </c>
      <c r="F28" s="125">
        <v>1.0</v>
      </c>
      <c r="H28" s="125" t="s">
        <v>20</v>
      </c>
      <c r="M28" s="125" t="s">
        <v>133</v>
      </c>
      <c r="O28" s="125" t="s">
        <v>54</v>
      </c>
    </row>
    <row r="29" ht="14.25" customHeight="1">
      <c r="B29" s="125" t="s">
        <v>1011</v>
      </c>
      <c r="C29" s="125" t="s">
        <v>1012</v>
      </c>
      <c r="D29" s="125" t="s">
        <v>541</v>
      </c>
      <c r="F29" s="125">
        <v>0.4</v>
      </c>
      <c r="H29" s="125" t="s">
        <v>20</v>
      </c>
      <c r="M29" s="125" t="s">
        <v>133</v>
      </c>
      <c r="O29" s="125" t="s">
        <v>74</v>
      </c>
    </row>
    <row r="30" ht="14.25" customHeight="1">
      <c r="B30" s="125" t="s">
        <v>1013</v>
      </c>
      <c r="C30" s="125" t="s">
        <v>1014</v>
      </c>
      <c r="D30" s="125" t="s">
        <v>541</v>
      </c>
      <c r="F30" s="125">
        <v>2.5</v>
      </c>
      <c r="H30" s="125" t="s">
        <v>20</v>
      </c>
      <c r="M30" s="125" t="s">
        <v>133</v>
      </c>
      <c r="O30" s="125" t="s">
        <v>74</v>
      </c>
    </row>
    <row r="31" ht="14.25" customHeight="1">
      <c r="B31" s="125" t="s">
        <v>1015</v>
      </c>
      <c r="C31" s="125" t="s">
        <v>1016</v>
      </c>
      <c r="D31" s="125" t="s">
        <v>541</v>
      </c>
      <c r="F31" s="125">
        <v>3.8</v>
      </c>
      <c r="H31" s="125" t="s">
        <v>20</v>
      </c>
      <c r="M31" s="125" t="s">
        <v>505</v>
      </c>
      <c r="O31" s="125" t="s">
        <v>74</v>
      </c>
    </row>
    <row r="32" ht="14.25" customHeight="1">
      <c r="B32" s="125" t="s">
        <v>1017</v>
      </c>
      <c r="C32" s="125" t="s">
        <v>1018</v>
      </c>
      <c r="D32" s="125" t="s">
        <v>1012</v>
      </c>
      <c r="F32" s="125">
        <v>1.0</v>
      </c>
      <c r="H32" s="125" t="s">
        <v>20</v>
      </c>
      <c r="M32" s="125" t="s">
        <v>53</v>
      </c>
      <c r="O32" s="125" t="s">
        <v>74</v>
      </c>
    </row>
    <row r="33" ht="14.25" customHeight="1">
      <c r="B33" s="125" t="s">
        <v>264</v>
      </c>
      <c r="C33" s="125" t="s">
        <v>1019</v>
      </c>
      <c r="D33" s="125" t="s">
        <v>1020</v>
      </c>
      <c r="F33" s="125">
        <v>1.6</v>
      </c>
      <c r="H33" s="125" t="s">
        <v>20</v>
      </c>
      <c r="K33" s="125" t="s">
        <v>172</v>
      </c>
      <c r="O33" s="125" t="s">
        <v>74</v>
      </c>
    </row>
    <row r="34" ht="14.25" customHeight="1">
      <c r="B34" s="125" t="s">
        <v>516</v>
      </c>
      <c r="C34" s="125" t="s">
        <v>1021</v>
      </c>
      <c r="D34" s="125" t="s">
        <v>1022</v>
      </c>
      <c r="F34" s="125">
        <v>1.0</v>
      </c>
      <c r="H34" s="125" t="s">
        <v>20</v>
      </c>
      <c r="M34" s="125" t="s">
        <v>535</v>
      </c>
      <c r="O34" s="125" t="s">
        <v>74</v>
      </c>
    </row>
    <row r="35" ht="14.25" customHeight="1">
      <c r="B35" s="125" t="s">
        <v>608</v>
      </c>
      <c r="C35" s="125" t="s">
        <v>1023</v>
      </c>
      <c r="D35" s="125" t="s">
        <v>1024</v>
      </c>
      <c r="F35" s="125">
        <v>1.2</v>
      </c>
      <c r="H35" s="125" t="s">
        <v>20</v>
      </c>
      <c r="M35" s="125" t="s">
        <v>203</v>
      </c>
      <c r="O35" s="125" t="s">
        <v>74</v>
      </c>
    </row>
    <row r="36" ht="14.25" customHeight="1">
      <c r="B36" s="125" t="s">
        <v>240</v>
      </c>
      <c r="C36" s="125" t="s">
        <v>541</v>
      </c>
      <c r="D36" s="125" t="s">
        <v>1025</v>
      </c>
      <c r="F36" s="125">
        <v>1.0</v>
      </c>
      <c r="H36" s="125" t="s">
        <v>20</v>
      </c>
      <c r="M36" s="125" t="s">
        <v>526</v>
      </c>
      <c r="O36" s="125" t="s">
        <v>74</v>
      </c>
    </row>
    <row r="37" ht="14.25" customHeight="1">
      <c r="B37" s="125" t="s">
        <v>1026</v>
      </c>
      <c r="C37" s="125" t="s">
        <v>1027</v>
      </c>
      <c r="D37" s="125" t="s">
        <v>1025</v>
      </c>
      <c r="F37" s="125">
        <v>0.8</v>
      </c>
      <c r="H37" s="125" t="s">
        <v>20</v>
      </c>
      <c r="M37" s="125" t="s">
        <v>505</v>
      </c>
      <c r="O37" s="125" t="s">
        <v>74</v>
      </c>
    </row>
    <row r="38" ht="14.25" customHeight="1">
      <c r="B38" s="125" t="s">
        <v>1028</v>
      </c>
      <c r="C38" s="125" t="s">
        <v>1029</v>
      </c>
      <c r="D38" s="125" t="s">
        <v>1025</v>
      </c>
      <c r="F38" s="125">
        <v>2.0</v>
      </c>
      <c r="H38" s="125" t="s">
        <v>20</v>
      </c>
      <c r="M38" s="125" t="s">
        <v>505</v>
      </c>
      <c r="O38" s="125" t="s">
        <v>74</v>
      </c>
    </row>
    <row r="39" ht="14.25" customHeight="1">
      <c r="B39" s="125" t="s">
        <v>1030</v>
      </c>
      <c r="C39" s="125" t="s">
        <v>1031</v>
      </c>
      <c r="D39" s="125" t="s">
        <v>1032</v>
      </c>
      <c r="E39" s="125" t="s">
        <v>86</v>
      </c>
      <c r="F39" s="125">
        <v>0.7</v>
      </c>
      <c r="H39" s="125" t="s">
        <v>20</v>
      </c>
      <c r="M39" s="125" t="s">
        <v>133</v>
      </c>
      <c r="O39" s="125" t="s">
        <v>74</v>
      </c>
    </row>
    <row r="40" ht="14.25" customHeight="1">
      <c r="B40" s="125" t="s">
        <v>420</v>
      </c>
      <c r="C40" s="125" t="s">
        <v>502</v>
      </c>
      <c r="D40" s="125" t="s">
        <v>500</v>
      </c>
      <c r="F40" s="125">
        <v>1.0</v>
      </c>
      <c r="H40" s="125" t="s">
        <v>20</v>
      </c>
      <c r="K40" s="125" t="s">
        <v>53</v>
      </c>
      <c r="O40" s="125" t="s">
        <v>74</v>
      </c>
    </row>
    <row r="41" ht="14.25" customHeight="1">
      <c r="B41" s="125" t="s">
        <v>105</v>
      </c>
      <c r="C41" s="125" t="s">
        <v>840</v>
      </c>
      <c r="D41" s="125" t="s">
        <v>1033</v>
      </c>
      <c r="F41" s="125">
        <v>1.5</v>
      </c>
      <c r="H41" s="125" t="s">
        <v>20</v>
      </c>
      <c r="K41" s="125" t="s">
        <v>210</v>
      </c>
      <c r="O41" s="125" t="s">
        <v>54</v>
      </c>
    </row>
    <row r="42" ht="14.25" customHeight="1">
      <c r="B42" s="125" t="s">
        <v>1034</v>
      </c>
      <c r="C42" s="125" t="s">
        <v>350</v>
      </c>
      <c r="D42" s="125" t="s">
        <v>1035</v>
      </c>
      <c r="F42" s="125">
        <v>2.0</v>
      </c>
      <c r="H42" s="125" t="s">
        <v>20</v>
      </c>
      <c r="M42" s="125" t="s">
        <v>133</v>
      </c>
      <c r="O42" s="125" t="s">
        <v>54</v>
      </c>
    </row>
    <row r="43" ht="14.25" customHeight="1">
      <c r="B43" s="125" t="s">
        <v>1036</v>
      </c>
      <c r="C43" s="125" t="s">
        <v>970</v>
      </c>
      <c r="D43" s="125" t="s">
        <v>208</v>
      </c>
      <c r="F43" s="125">
        <v>2.0</v>
      </c>
      <c r="H43" s="125" t="s">
        <v>20</v>
      </c>
      <c r="M43" s="125" t="s">
        <v>526</v>
      </c>
      <c r="O43" s="125" t="s">
        <v>74</v>
      </c>
    </row>
    <row r="44" ht="14.25" customHeight="1">
      <c r="B44" s="125" t="s">
        <v>378</v>
      </c>
      <c r="C44" s="125" t="s">
        <v>1037</v>
      </c>
      <c r="D44" s="125" t="s">
        <v>508</v>
      </c>
      <c r="F44" s="125">
        <v>0.75</v>
      </c>
      <c r="H44" s="125" t="s">
        <v>20</v>
      </c>
      <c r="M44" s="125" t="s">
        <v>526</v>
      </c>
      <c r="O44" s="125" t="s">
        <v>74</v>
      </c>
    </row>
    <row r="45" ht="14.25" customHeight="1">
      <c r="B45" s="125" t="s">
        <v>1038</v>
      </c>
      <c r="C45" s="125" t="s">
        <v>1039</v>
      </c>
      <c r="D45" s="125" t="s">
        <v>983</v>
      </c>
      <c r="F45" s="125">
        <v>1.2</v>
      </c>
      <c r="H45" s="125" t="s">
        <v>20</v>
      </c>
      <c r="K45" s="125" t="s">
        <v>53</v>
      </c>
      <c r="O45" s="125" t="s">
        <v>74</v>
      </c>
    </row>
    <row r="46" ht="14.25" customHeight="1">
      <c r="B46" s="125" t="s">
        <v>1040</v>
      </c>
      <c r="C46" s="125" t="s">
        <v>1041</v>
      </c>
      <c r="D46" s="125" t="s">
        <v>983</v>
      </c>
      <c r="F46" s="125">
        <v>1.0</v>
      </c>
      <c r="H46" s="125" t="s">
        <v>20</v>
      </c>
      <c r="K46" s="125" t="s">
        <v>53</v>
      </c>
      <c r="O46" s="125" t="s">
        <v>74</v>
      </c>
    </row>
    <row r="47" ht="14.25" customHeight="1">
      <c r="B47" s="125" t="s">
        <v>501</v>
      </c>
      <c r="C47" s="125" t="s">
        <v>1042</v>
      </c>
      <c r="D47" s="125" t="s">
        <v>1043</v>
      </c>
      <c r="F47" s="125">
        <v>1.0</v>
      </c>
      <c r="H47" s="125" t="s">
        <v>20</v>
      </c>
      <c r="K47" s="125" t="s">
        <v>53</v>
      </c>
      <c r="O47" s="125" t="s">
        <v>74</v>
      </c>
    </row>
    <row r="48" ht="14.25" customHeight="1">
      <c r="B48" s="125" t="s">
        <v>1044</v>
      </c>
      <c r="C48" s="125" t="s">
        <v>1045</v>
      </c>
      <c r="D48" s="125" t="s">
        <v>1043</v>
      </c>
      <c r="F48" s="125">
        <v>1.5</v>
      </c>
      <c r="H48" s="125" t="s">
        <v>20</v>
      </c>
      <c r="K48" s="125" t="s">
        <v>53</v>
      </c>
      <c r="O48" s="125" t="s">
        <v>74</v>
      </c>
    </row>
    <row r="49" ht="14.25" customHeight="1">
      <c r="B49" s="125" t="s">
        <v>1046</v>
      </c>
      <c r="C49" s="125" t="s">
        <v>1047</v>
      </c>
      <c r="D49" s="125" t="s">
        <v>1048</v>
      </c>
      <c r="F49" s="125">
        <v>1.0</v>
      </c>
      <c r="H49" s="125" t="s">
        <v>20</v>
      </c>
      <c r="M49" s="125" t="s">
        <v>505</v>
      </c>
      <c r="O49" s="125" t="s">
        <v>54</v>
      </c>
    </row>
    <row r="50" ht="14.25" customHeight="1">
      <c r="B50" s="125" t="s">
        <v>618</v>
      </c>
      <c r="C50" s="125" t="s">
        <v>1027</v>
      </c>
      <c r="D50" s="125" t="s">
        <v>95</v>
      </c>
      <c r="F50" s="125">
        <v>1.6</v>
      </c>
      <c r="H50" s="125" t="s">
        <v>20</v>
      </c>
      <c r="I50" s="125" t="s">
        <v>1049</v>
      </c>
      <c r="O50" s="125" t="s">
        <v>74</v>
      </c>
    </row>
    <row r="51" ht="14.25" customHeight="1">
      <c r="B51" s="125" t="s">
        <v>1050</v>
      </c>
      <c r="C51" s="125" t="s">
        <v>1051</v>
      </c>
      <c r="D51" s="125" t="s">
        <v>1052</v>
      </c>
      <c r="F51" s="125">
        <v>3.0</v>
      </c>
      <c r="H51" s="125" t="s">
        <v>20</v>
      </c>
      <c r="I51" s="125" t="s">
        <v>1053</v>
      </c>
      <c r="O51" s="125" t="s">
        <v>74</v>
      </c>
    </row>
    <row r="52" ht="14.25" customHeight="1">
      <c r="B52" s="125" t="s">
        <v>1054</v>
      </c>
      <c r="C52" s="125" t="s">
        <v>1055</v>
      </c>
      <c r="D52" s="125" t="s">
        <v>524</v>
      </c>
      <c r="F52" s="125">
        <v>1.0</v>
      </c>
      <c r="H52" s="125" t="s">
        <v>20</v>
      </c>
      <c r="K52" s="125" t="s">
        <v>155</v>
      </c>
      <c r="O52" s="125" t="s">
        <v>74</v>
      </c>
    </row>
    <row r="53" ht="14.25" customHeight="1">
      <c r="B53" s="125" t="s">
        <v>670</v>
      </c>
      <c r="C53" s="125" t="s">
        <v>1056</v>
      </c>
      <c r="D53" s="125" t="s">
        <v>1057</v>
      </c>
      <c r="F53" s="125">
        <v>2.0</v>
      </c>
      <c r="H53" s="125" t="s">
        <v>20</v>
      </c>
      <c r="K53" s="125" t="s">
        <v>53</v>
      </c>
      <c r="O53" s="125" t="s">
        <v>74</v>
      </c>
    </row>
    <row r="54" ht="14.25" customHeight="1">
      <c r="B54" s="125" t="s">
        <v>1058</v>
      </c>
      <c r="C54" s="125" t="s">
        <v>541</v>
      </c>
      <c r="D54" s="125" t="s">
        <v>1059</v>
      </c>
      <c r="F54" s="125">
        <v>1.0</v>
      </c>
      <c r="H54" s="125" t="s">
        <v>20</v>
      </c>
      <c r="M54" s="125" t="s">
        <v>535</v>
      </c>
      <c r="O54" s="125" t="s">
        <v>74</v>
      </c>
    </row>
    <row r="55" ht="14.25" customHeight="1">
      <c r="B55" s="125" t="s">
        <v>1060</v>
      </c>
      <c r="C55" s="125" t="s">
        <v>1061</v>
      </c>
      <c r="D55" s="125" t="s">
        <v>1062</v>
      </c>
      <c r="F55" s="125">
        <v>0.5</v>
      </c>
      <c r="H55" s="125" t="s">
        <v>20</v>
      </c>
      <c r="K55" s="125" t="s">
        <v>210</v>
      </c>
      <c r="O55" s="125" t="s">
        <v>54</v>
      </c>
    </row>
    <row r="56" ht="14.25" customHeight="1">
      <c r="B56" s="125" t="s">
        <v>323</v>
      </c>
      <c r="C56" s="125" t="s">
        <v>1063</v>
      </c>
      <c r="D56" s="125" t="s">
        <v>1062</v>
      </c>
      <c r="F56" s="125">
        <v>1.0</v>
      </c>
      <c r="H56" s="125" t="s">
        <v>20</v>
      </c>
      <c r="K56" s="125" t="s">
        <v>210</v>
      </c>
      <c r="O56" s="125" t="s">
        <v>54</v>
      </c>
    </row>
    <row r="57" ht="14.25" customHeight="1">
      <c r="B57" s="125" t="s">
        <v>748</v>
      </c>
      <c r="C57" s="125" t="s">
        <v>1064</v>
      </c>
      <c r="D57" s="125" t="s">
        <v>1063</v>
      </c>
      <c r="F57" s="125">
        <v>2.0</v>
      </c>
      <c r="H57" s="125" t="s">
        <v>20</v>
      </c>
      <c r="I57" s="125" t="s">
        <v>992</v>
      </c>
      <c r="O57" s="125" t="s">
        <v>74</v>
      </c>
    </row>
    <row r="58" ht="14.25" customHeight="1">
      <c r="B58" s="125" t="s">
        <v>1065</v>
      </c>
      <c r="C58" s="125" t="s">
        <v>986</v>
      </c>
      <c r="D58" s="125" t="s">
        <v>1066</v>
      </c>
      <c r="F58" s="125">
        <v>0.5</v>
      </c>
      <c r="H58" s="125" t="s">
        <v>20</v>
      </c>
      <c r="K58" s="125" t="s">
        <v>53</v>
      </c>
      <c r="O58" s="125" t="s">
        <v>54</v>
      </c>
    </row>
    <row r="59" ht="14.25" customHeight="1">
      <c r="B59" s="125" t="s">
        <v>1067</v>
      </c>
      <c r="C59" s="125" t="s">
        <v>1068</v>
      </c>
      <c r="D59" s="125" t="s">
        <v>887</v>
      </c>
      <c r="F59" s="125">
        <v>1.5</v>
      </c>
      <c r="H59" s="125" t="s">
        <v>20</v>
      </c>
      <c r="M59" s="125" t="s">
        <v>133</v>
      </c>
      <c r="O59" s="125" t="s">
        <v>54</v>
      </c>
    </row>
    <row r="60" ht="14.25" customHeight="1">
      <c r="B60" s="125" t="s">
        <v>733</v>
      </c>
      <c r="C60" s="125" t="s">
        <v>1068</v>
      </c>
      <c r="D60" s="125" t="s">
        <v>887</v>
      </c>
      <c r="F60" s="125">
        <v>0.4</v>
      </c>
      <c r="H60" s="125" t="s">
        <v>20</v>
      </c>
      <c r="M60" s="125" t="s">
        <v>133</v>
      </c>
      <c r="O60" s="125" t="s">
        <v>74</v>
      </c>
    </row>
    <row r="61" ht="14.25" customHeight="1">
      <c r="B61" s="125" t="s">
        <v>1069</v>
      </c>
      <c r="C61" s="125" t="s">
        <v>1070</v>
      </c>
      <c r="D61" s="125" t="s">
        <v>887</v>
      </c>
      <c r="F61" s="125">
        <v>1.9</v>
      </c>
      <c r="H61" s="125" t="s">
        <v>20</v>
      </c>
      <c r="I61" s="125" t="s">
        <v>996</v>
      </c>
      <c r="O61" s="125" t="s">
        <v>74</v>
      </c>
    </row>
    <row r="62" ht="14.25" customHeight="1">
      <c r="B62" s="125" t="s">
        <v>1071</v>
      </c>
      <c r="C62" s="125" t="s">
        <v>970</v>
      </c>
      <c r="D62" s="125" t="s">
        <v>514</v>
      </c>
      <c r="F62" s="125">
        <v>0.75</v>
      </c>
      <c r="H62" s="125" t="s">
        <v>20</v>
      </c>
      <c r="M62" s="125" t="s">
        <v>505</v>
      </c>
      <c r="O62" s="125" t="s">
        <v>74</v>
      </c>
    </row>
    <row r="63" ht="14.25" customHeight="1">
      <c r="B63" s="125" t="s">
        <v>1072</v>
      </c>
      <c r="C63" s="125" t="s">
        <v>969</v>
      </c>
      <c r="D63" s="125" t="s">
        <v>1073</v>
      </c>
      <c r="F63" s="125">
        <v>0.5</v>
      </c>
      <c r="H63" s="125" t="s">
        <v>20</v>
      </c>
      <c r="M63" s="125" t="s">
        <v>526</v>
      </c>
      <c r="O63" s="125" t="s">
        <v>74</v>
      </c>
    </row>
    <row r="64" ht="14.25" customHeight="1">
      <c r="B64" s="125" t="s">
        <v>1074</v>
      </c>
      <c r="C64" s="125" t="s">
        <v>1075</v>
      </c>
      <c r="D64" s="125" t="s">
        <v>673</v>
      </c>
      <c r="F64" s="125">
        <v>0.4</v>
      </c>
      <c r="H64" s="125" t="s">
        <v>20</v>
      </c>
      <c r="M64" s="125" t="s">
        <v>505</v>
      </c>
      <c r="O64" s="125" t="s">
        <v>74</v>
      </c>
    </row>
    <row r="65" ht="14.25" customHeight="1">
      <c r="B65" s="125" t="s">
        <v>677</v>
      </c>
      <c r="C65" s="125" t="s">
        <v>1076</v>
      </c>
      <c r="D65" s="125" t="s">
        <v>1077</v>
      </c>
      <c r="F65" s="125">
        <v>0.5</v>
      </c>
      <c r="H65" s="125" t="s">
        <v>20</v>
      </c>
      <c r="K65" s="125" t="s">
        <v>53</v>
      </c>
      <c r="O65" s="125" t="s">
        <v>74</v>
      </c>
    </row>
    <row r="66" ht="14.25" customHeight="1">
      <c r="B66" s="125" t="s">
        <v>636</v>
      </c>
      <c r="C66" s="125" t="s">
        <v>998</v>
      </c>
      <c r="D66" s="125" t="s">
        <v>1078</v>
      </c>
      <c r="F66" s="125">
        <v>1.0</v>
      </c>
      <c r="H66" s="125" t="s">
        <v>20</v>
      </c>
      <c r="M66" s="125" t="s">
        <v>505</v>
      </c>
      <c r="O66" s="125" t="s">
        <v>74</v>
      </c>
    </row>
    <row r="67" ht="14.25" customHeight="1">
      <c r="B67" s="125" t="s">
        <v>1079</v>
      </c>
      <c r="C67" s="125" t="s">
        <v>830</v>
      </c>
      <c r="D67" s="125" t="s">
        <v>998</v>
      </c>
      <c r="F67" s="125">
        <v>1.0</v>
      </c>
      <c r="H67" s="125" t="s">
        <v>542</v>
      </c>
      <c r="M67" s="125" t="s">
        <v>526</v>
      </c>
      <c r="O67" s="125" t="s">
        <v>74</v>
      </c>
    </row>
    <row r="68" ht="14.25" customHeight="1">
      <c r="B68" s="125" t="s">
        <v>1080</v>
      </c>
      <c r="C68" s="125" t="s">
        <v>1081</v>
      </c>
      <c r="D68" s="125" t="s">
        <v>1082</v>
      </c>
      <c r="E68" s="125" t="s">
        <v>137</v>
      </c>
      <c r="F68" s="125">
        <v>1.0</v>
      </c>
      <c r="H68" s="125" t="s">
        <v>21</v>
      </c>
      <c r="M68" s="125" t="s">
        <v>1083</v>
      </c>
      <c r="O68" s="125" t="s">
        <v>54</v>
      </c>
    </row>
    <row r="69" ht="14.25" customHeight="1">
      <c r="B69" s="125" t="s">
        <v>1084</v>
      </c>
      <c r="C69" s="125" t="s">
        <v>52</v>
      </c>
      <c r="D69" s="125" t="s">
        <v>1085</v>
      </c>
      <c r="F69" s="125">
        <v>1.0</v>
      </c>
      <c r="H69" s="125" t="s">
        <v>21</v>
      </c>
      <c r="K69" s="125" t="s">
        <v>58</v>
      </c>
      <c r="O69" s="125" t="s">
        <v>54</v>
      </c>
    </row>
    <row r="70" ht="14.25" customHeight="1">
      <c r="B70" s="125" t="s">
        <v>1086</v>
      </c>
      <c r="C70" s="125" t="s">
        <v>1087</v>
      </c>
      <c r="D70" s="125" t="s">
        <v>1088</v>
      </c>
      <c r="F70" s="125">
        <v>1.0</v>
      </c>
      <c r="H70" s="125" t="s">
        <v>21</v>
      </c>
      <c r="K70" s="125" t="s">
        <v>549</v>
      </c>
      <c r="O70" s="125" t="s">
        <v>54</v>
      </c>
    </row>
    <row r="71" ht="14.25" customHeight="1">
      <c r="B71" s="125" t="s">
        <v>896</v>
      </c>
      <c r="C71" s="125" t="s">
        <v>84</v>
      </c>
      <c r="D71" s="125" t="s">
        <v>81</v>
      </c>
      <c r="F71" s="125">
        <v>1.0</v>
      </c>
      <c r="H71" s="125" t="s">
        <v>21</v>
      </c>
      <c r="K71" s="125" t="s">
        <v>549</v>
      </c>
      <c r="O71" s="125" t="s">
        <v>54</v>
      </c>
    </row>
    <row r="72" ht="14.25" customHeight="1">
      <c r="B72" s="125" t="s">
        <v>1089</v>
      </c>
      <c r="C72" s="125" t="s">
        <v>1090</v>
      </c>
      <c r="D72" s="125" t="s">
        <v>1091</v>
      </c>
      <c r="F72" s="125">
        <v>2.0</v>
      </c>
      <c r="H72" s="125" t="s">
        <v>21</v>
      </c>
      <c r="I72" s="125" t="s">
        <v>992</v>
      </c>
      <c r="O72" s="125" t="s">
        <v>54</v>
      </c>
    </row>
    <row r="73" ht="14.25" customHeight="1">
      <c r="B73" s="125" t="s">
        <v>660</v>
      </c>
      <c r="C73" s="125" t="s">
        <v>1092</v>
      </c>
      <c r="D73" s="125" t="s">
        <v>1093</v>
      </c>
      <c r="F73" s="125">
        <v>1.0</v>
      </c>
      <c r="H73" s="125" t="s">
        <v>21</v>
      </c>
      <c r="K73" s="125" t="s">
        <v>549</v>
      </c>
      <c r="O73" s="125" t="s">
        <v>54</v>
      </c>
    </row>
    <row r="74" ht="14.25" customHeight="1">
      <c r="B74" s="125" t="s">
        <v>1094</v>
      </c>
      <c r="C74" s="125" t="s">
        <v>1095</v>
      </c>
      <c r="D74" s="125" t="s">
        <v>1096</v>
      </c>
      <c r="F74" s="125">
        <v>1.0</v>
      </c>
      <c r="H74" s="125" t="s">
        <v>21</v>
      </c>
      <c r="K74" s="125" t="s">
        <v>1097</v>
      </c>
      <c r="O74" s="125" t="s">
        <v>54</v>
      </c>
    </row>
    <row r="75" ht="14.25" customHeight="1">
      <c r="B75" s="125" t="s">
        <v>516</v>
      </c>
      <c r="C75" s="125" t="s">
        <v>1098</v>
      </c>
      <c r="D75" s="125" t="s">
        <v>419</v>
      </c>
      <c r="F75" s="125">
        <v>1.0</v>
      </c>
      <c r="H75" s="125" t="s">
        <v>21</v>
      </c>
      <c r="M75" s="125" t="s">
        <v>1083</v>
      </c>
      <c r="O75" s="125" t="s">
        <v>54</v>
      </c>
    </row>
    <row r="76" ht="14.25" customHeight="1">
      <c r="B76" s="125" t="s">
        <v>1006</v>
      </c>
      <c r="C76" s="125" t="s">
        <v>1099</v>
      </c>
      <c r="D76" s="125" t="s">
        <v>419</v>
      </c>
      <c r="F76" s="125">
        <v>1.0</v>
      </c>
      <c r="H76" s="125" t="s">
        <v>21</v>
      </c>
      <c r="M76" s="125" t="s">
        <v>1083</v>
      </c>
      <c r="O76" s="125" t="s">
        <v>54</v>
      </c>
    </row>
    <row r="77" ht="14.25" customHeight="1">
      <c r="B77" s="125" t="s">
        <v>660</v>
      </c>
      <c r="C77" s="125" t="s">
        <v>1098</v>
      </c>
      <c r="D77" s="125" t="s">
        <v>419</v>
      </c>
      <c r="F77" s="125">
        <v>1.0</v>
      </c>
      <c r="H77" s="125" t="s">
        <v>21</v>
      </c>
      <c r="M77" s="125" t="s">
        <v>1100</v>
      </c>
      <c r="O77" s="125" t="s">
        <v>54</v>
      </c>
    </row>
    <row r="78" ht="14.25" customHeight="1">
      <c r="B78" s="125" t="s">
        <v>1101</v>
      </c>
      <c r="C78" s="125" t="s">
        <v>447</v>
      </c>
      <c r="D78" s="125" t="s">
        <v>1022</v>
      </c>
      <c r="F78" s="125">
        <v>0.75</v>
      </c>
      <c r="H78" s="125" t="s">
        <v>21</v>
      </c>
      <c r="I78" s="125" t="s">
        <v>1102</v>
      </c>
      <c r="O78" s="125" t="s">
        <v>54</v>
      </c>
    </row>
    <row r="79" ht="14.25" customHeight="1">
      <c r="B79" s="125" t="s">
        <v>1103</v>
      </c>
      <c r="C79" s="125" t="s">
        <v>1104</v>
      </c>
      <c r="D79" s="125" t="s">
        <v>1105</v>
      </c>
      <c r="F79" s="125">
        <v>2.0</v>
      </c>
      <c r="H79" s="125" t="s">
        <v>21</v>
      </c>
      <c r="M79" s="125" t="s">
        <v>1106</v>
      </c>
      <c r="O79" s="125" t="s">
        <v>54</v>
      </c>
    </row>
    <row r="80" ht="14.25" customHeight="1">
      <c r="B80" s="125" t="s">
        <v>695</v>
      </c>
      <c r="C80" s="125" t="s">
        <v>419</v>
      </c>
      <c r="D80" s="125" t="s">
        <v>1105</v>
      </c>
      <c r="F80" s="125">
        <v>1.0</v>
      </c>
      <c r="H80" s="125" t="s">
        <v>21</v>
      </c>
      <c r="K80" s="125" t="s">
        <v>1107</v>
      </c>
      <c r="O80" s="125" t="s">
        <v>54</v>
      </c>
    </row>
    <row r="81" ht="14.25" customHeight="1">
      <c r="B81" s="125" t="s">
        <v>455</v>
      </c>
      <c r="C81" s="125" t="s">
        <v>1108</v>
      </c>
      <c r="D81" s="125" t="s">
        <v>1109</v>
      </c>
      <c r="F81" s="125">
        <v>1.0</v>
      </c>
      <c r="H81" s="125" t="s">
        <v>21</v>
      </c>
      <c r="M81" s="125" t="s">
        <v>1110</v>
      </c>
      <c r="O81" s="125" t="s">
        <v>54</v>
      </c>
    </row>
    <row r="82" ht="14.25" customHeight="1">
      <c r="B82" s="125" t="s">
        <v>1111</v>
      </c>
      <c r="C82" s="125" t="s">
        <v>1108</v>
      </c>
      <c r="D82" s="125" t="s">
        <v>1109</v>
      </c>
      <c r="F82" s="125">
        <v>1.0</v>
      </c>
      <c r="H82" s="125" t="s">
        <v>21</v>
      </c>
      <c r="K82" s="125" t="s">
        <v>73</v>
      </c>
      <c r="O82" s="125" t="s">
        <v>54</v>
      </c>
    </row>
    <row r="83" ht="14.25" customHeight="1">
      <c r="B83" s="125" t="s">
        <v>809</v>
      </c>
      <c r="C83" s="125" t="s">
        <v>1108</v>
      </c>
      <c r="D83" s="125" t="s">
        <v>1109</v>
      </c>
      <c r="F83" s="125">
        <v>1.0</v>
      </c>
      <c r="H83" s="125" t="s">
        <v>21</v>
      </c>
      <c r="M83" s="125" t="s">
        <v>1110</v>
      </c>
      <c r="O83" s="125" t="s">
        <v>54</v>
      </c>
    </row>
    <row r="84" ht="14.25" customHeight="1">
      <c r="B84" s="125" t="s">
        <v>1112</v>
      </c>
      <c r="C84" s="125" t="s">
        <v>84</v>
      </c>
      <c r="D84" s="125" t="s">
        <v>69</v>
      </c>
      <c r="E84" s="125" t="s">
        <v>86</v>
      </c>
      <c r="F84" s="125">
        <v>2.3</v>
      </c>
      <c r="H84" s="125" t="s">
        <v>21</v>
      </c>
      <c r="K84" s="125" t="s">
        <v>549</v>
      </c>
      <c r="O84" s="125" t="s">
        <v>54</v>
      </c>
    </row>
    <row r="85" ht="14.25" customHeight="1">
      <c r="B85" s="125" t="s">
        <v>919</v>
      </c>
      <c r="C85" s="125" t="s">
        <v>1113</v>
      </c>
      <c r="D85" s="125" t="s">
        <v>1114</v>
      </c>
      <c r="F85" s="125">
        <v>1.0</v>
      </c>
      <c r="H85" s="125" t="s">
        <v>21</v>
      </c>
      <c r="M85" s="125" t="s">
        <v>1110</v>
      </c>
      <c r="O85" s="125" t="s">
        <v>54</v>
      </c>
    </row>
    <row r="86" ht="14.25" customHeight="1">
      <c r="B86" s="125" t="s">
        <v>1115</v>
      </c>
      <c r="C86" s="125" t="s">
        <v>1116</v>
      </c>
      <c r="D86" s="125" t="s">
        <v>548</v>
      </c>
      <c r="F86" s="125">
        <v>2.0</v>
      </c>
      <c r="H86" s="125" t="s">
        <v>21</v>
      </c>
      <c r="K86" s="125" t="s">
        <v>58</v>
      </c>
      <c r="O86" s="125" t="s">
        <v>54</v>
      </c>
    </row>
    <row r="87" ht="14.25" customHeight="1">
      <c r="B87" s="125" t="s">
        <v>1117</v>
      </c>
      <c r="C87" s="125" t="s">
        <v>1118</v>
      </c>
      <c r="D87" s="125" t="s">
        <v>57</v>
      </c>
      <c r="E87" s="125" t="s">
        <v>137</v>
      </c>
      <c r="F87" s="125">
        <v>1.0</v>
      </c>
      <c r="H87" s="125" t="s">
        <v>21</v>
      </c>
      <c r="K87" s="125" t="s">
        <v>549</v>
      </c>
      <c r="O87" s="125" t="s">
        <v>54</v>
      </c>
    </row>
    <row r="88" ht="14.25" customHeight="1">
      <c r="B88" s="125" t="s">
        <v>1119</v>
      </c>
      <c r="C88" s="125" t="s">
        <v>1120</v>
      </c>
      <c r="D88" s="125" t="s">
        <v>1121</v>
      </c>
      <c r="F88" s="125">
        <v>1.0</v>
      </c>
      <c r="H88" s="125" t="s">
        <v>21</v>
      </c>
      <c r="K88" s="125" t="s">
        <v>58</v>
      </c>
      <c r="O88" s="125" t="s">
        <v>54</v>
      </c>
    </row>
    <row r="89" ht="14.25" customHeight="1">
      <c r="B89" s="125" t="s">
        <v>1122</v>
      </c>
      <c r="C89" s="125" t="s">
        <v>911</v>
      </c>
      <c r="D89" s="125" t="s">
        <v>1123</v>
      </c>
      <c r="F89" s="125">
        <v>1.0</v>
      </c>
      <c r="H89" s="125" t="s">
        <v>21</v>
      </c>
      <c r="K89" s="125" t="s">
        <v>58</v>
      </c>
      <c r="O89" s="125" t="s">
        <v>54</v>
      </c>
    </row>
    <row r="90" ht="14.25" customHeight="1">
      <c r="B90" s="125" t="s">
        <v>1124</v>
      </c>
      <c r="C90" s="125" t="s">
        <v>70</v>
      </c>
      <c r="D90" s="125" t="s">
        <v>1125</v>
      </c>
      <c r="F90" s="125">
        <v>2.7</v>
      </c>
      <c r="H90" s="125" t="s">
        <v>21</v>
      </c>
      <c r="M90" s="125" t="s">
        <v>1110</v>
      </c>
      <c r="O90" s="125" t="s">
        <v>54</v>
      </c>
    </row>
    <row r="91" ht="14.25" customHeight="1">
      <c r="B91" s="125" t="s">
        <v>1126</v>
      </c>
      <c r="D91" s="125" t="s">
        <v>1127</v>
      </c>
      <c r="F91" s="125">
        <v>1.0</v>
      </c>
      <c r="H91" s="125" t="s">
        <v>21</v>
      </c>
      <c r="K91" s="125" t="s">
        <v>549</v>
      </c>
      <c r="O91" s="125" t="s">
        <v>54</v>
      </c>
    </row>
    <row r="92" ht="14.25" customHeight="1">
      <c r="B92" s="125" t="s">
        <v>1128</v>
      </c>
      <c r="C92" s="125" t="s">
        <v>1129</v>
      </c>
      <c r="D92" s="125" t="s">
        <v>447</v>
      </c>
      <c r="F92" s="125">
        <v>1.0</v>
      </c>
      <c r="H92" s="125" t="s">
        <v>21</v>
      </c>
      <c r="I92" s="125" t="s">
        <v>1102</v>
      </c>
      <c r="O92" s="125" t="s">
        <v>54</v>
      </c>
    </row>
    <row r="93" ht="14.25" customHeight="1">
      <c r="B93" s="125" t="s">
        <v>1130</v>
      </c>
      <c r="C93" s="125" t="s">
        <v>1131</v>
      </c>
      <c r="D93" s="125" t="s">
        <v>1132</v>
      </c>
      <c r="F93" s="125">
        <v>1.0</v>
      </c>
      <c r="H93" s="125" t="s">
        <v>23</v>
      </c>
      <c r="K93" s="125" t="s">
        <v>1097</v>
      </c>
      <c r="O93" s="125" t="s">
        <v>74</v>
      </c>
    </row>
    <row r="94" ht="14.25" customHeight="1">
      <c r="B94" s="125" t="s">
        <v>527</v>
      </c>
      <c r="C94" s="125" t="s">
        <v>98</v>
      </c>
      <c r="D94" s="125" t="s">
        <v>1132</v>
      </c>
      <c r="F94" s="125">
        <v>1.0</v>
      </c>
      <c r="H94" s="125" t="s">
        <v>23</v>
      </c>
      <c r="K94" s="125" t="s">
        <v>1097</v>
      </c>
      <c r="O94" s="125" t="s">
        <v>74</v>
      </c>
    </row>
    <row r="95" ht="14.25" customHeight="1">
      <c r="B95" s="125" t="s">
        <v>90</v>
      </c>
      <c r="C95" s="125" t="s">
        <v>1133</v>
      </c>
      <c r="D95" s="125" t="s">
        <v>226</v>
      </c>
      <c r="F95" s="125">
        <v>1.0</v>
      </c>
      <c r="H95" s="125" t="s">
        <v>23</v>
      </c>
      <c r="K95" s="125" t="s">
        <v>1097</v>
      </c>
      <c r="O95" s="125" t="s">
        <v>74</v>
      </c>
    </row>
    <row r="96" ht="14.25" customHeight="1">
      <c r="B96" s="125" t="s">
        <v>319</v>
      </c>
      <c r="C96" s="125" t="s">
        <v>1134</v>
      </c>
      <c r="D96" s="125" t="s">
        <v>226</v>
      </c>
      <c r="F96" s="125">
        <v>1.3</v>
      </c>
      <c r="H96" s="125" t="s">
        <v>23</v>
      </c>
      <c r="K96" s="125" t="s">
        <v>1097</v>
      </c>
      <c r="O96" s="125" t="s">
        <v>74</v>
      </c>
    </row>
    <row r="97" ht="14.25" customHeight="1">
      <c r="B97" s="125" t="s">
        <v>1135</v>
      </c>
      <c r="C97" s="125" t="s">
        <v>1136</v>
      </c>
      <c r="D97" s="125" t="s">
        <v>1137</v>
      </c>
      <c r="F97" s="125">
        <v>3.0</v>
      </c>
      <c r="H97" s="125" t="s">
        <v>23</v>
      </c>
      <c r="K97" s="125" t="s">
        <v>1097</v>
      </c>
      <c r="O97" s="125" t="s">
        <v>74</v>
      </c>
    </row>
    <row r="98" ht="14.25" customHeight="1">
      <c r="B98" s="125" t="s">
        <v>1138</v>
      </c>
      <c r="C98" s="125" t="s">
        <v>1139</v>
      </c>
      <c r="D98" s="125" t="s">
        <v>1140</v>
      </c>
      <c r="F98" s="125">
        <v>1.0</v>
      </c>
      <c r="H98" s="125" t="s">
        <v>23</v>
      </c>
      <c r="K98" s="125" t="s">
        <v>1097</v>
      </c>
      <c r="O98" s="125" t="s">
        <v>74</v>
      </c>
    </row>
    <row r="99" ht="14.25" customHeight="1">
      <c r="B99" s="125" t="s">
        <v>1141</v>
      </c>
      <c r="C99" s="125" t="s">
        <v>1142</v>
      </c>
      <c r="D99" s="125" t="s">
        <v>323</v>
      </c>
      <c r="F99" s="125">
        <v>2.0</v>
      </c>
      <c r="H99" s="125" t="s">
        <v>23</v>
      </c>
      <c r="I99" s="125" t="s">
        <v>1143</v>
      </c>
      <c r="O99" s="125" t="s">
        <v>74</v>
      </c>
    </row>
    <row r="100" ht="14.25" customHeight="1">
      <c r="B100" s="125" t="s">
        <v>1144</v>
      </c>
      <c r="C100" s="125" t="s">
        <v>1145</v>
      </c>
      <c r="D100" s="125" t="s">
        <v>1146</v>
      </c>
      <c r="F100" s="125">
        <v>1.0</v>
      </c>
      <c r="H100" s="125" t="s">
        <v>23</v>
      </c>
      <c r="K100" s="125" t="s">
        <v>1097</v>
      </c>
      <c r="O100" s="125" t="s">
        <v>74</v>
      </c>
    </row>
    <row r="101" ht="14.25" customHeight="1">
      <c r="B101" s="125" t="s">
        <v>165</v>
      </c>
      <c r="C101" s="125" t="s">
        <v>1147</v>
      </c>
      <c r="D101" s="125" t="s">
        <v>98</v>
      </c>
      <c r="F101" s="125">
        <v>1.0</v>
      </c>
      <c r="H101" s="125" t="s">
        <v>23</v>
      </c>
      <c r="I101" s="125" t="s">
        <v>1143</v>
      </c>
      <c r="O101" s="125" t="s">
        <v>74</v>
      </c>
    </row>
    <row r="102" ht="14.25" customHeight="1">
      <c r="B102" s="125" t="s">
        <v>733</v>
      </c>
      <c r="C102" s="125" t="s">
        <v>1148</v>
      </c>
      <c r="D102" s="125" t="s">
        <v>98</v>
      </c>
      <c r="F102" s="125">
        <v>2.0</v>
      </c>
      <c r="H102" s="125" t="s">
        <v>23</v>
      </c>
      <c r="I102" s="125" t="s">
        <v>381</v>
      </c>
      <c r="O102" s="125" t="s">
        <v>74</v>
      </c>
    </row>
    <row r="103" ht="14.25" customHeight="1">
      <c r="B103" s="125" t="s">
        <v>1149</v>
      </c>
      <c r="C103" s="125" t="s">
        <v>1150</v>
      </c>
      <c r="D103" s="125" t="s">
        <v>98</v>
      </c>
      <c r="F103" s="125">
        <v>2.0</v>
      </c>
      <c r="H103" s="125" t="s">
        <v>23</v>
      </c>
      <c r="K103" s="125" t="s">
        <v>1151</v>
      </c>
      <c r="O103" s="125" t="s">
        <v>74</v>
      </c>
    </row>
    <row r="104" ht="14.25" customHeight="1">
      <c r="B104" s="125" t="s">
        <v>1152</v>
      </c>
      <c r="D104" s="125" t="s">
        <v>1153</v>
      </c>
      <c r="F104" s="125">
        <v>2.0</v>
      </c>
      <c r="H104" s="125" t="s">
        <v>23</v>
      </c>
      <c r="I104" s="125" t="s">
        <v>1154</v>
      </c>
      <c r="O104" s="125" t="s">
        <v>74</v>
      </c>
    </row>
    <row r="105" ht="14.25" customHeight="1">
      <c r="B105" s="125" t="s">
        <v>1155</v>
      </c>
      <c r="C105" s="125" t="s">
        <v>1156</v>
      </c>
      <c r="D105" s="125" t="s">
        <v>1157</v>
      </c>
      <c r="F105" s="125">
        <v>1.0</v>
      </c>
      <c r="H105" s="125" t="s">
        <v>22</v>
      </c>
      <c r="I105" s="125" t="s">
        <v>992</v>
      </c>
      <c r="O105" s="125" t="s">
        <v>54</v>
      </c>
    </row>
    <row r="106" ht="14.25" customHeight="1">
      <c r="B106" s="125" t="s">
        <v>688</v>
      </c>
      <c r="C106" s="125" t="s">
        <v>419</v>
      </c>
      <c r="D106" s="125" t="s">
        <v>1157</v>
      </c>
      <c r="F106" s="125">
        <v>1.0</v>
      </c>
      <c r="H106" s="125" t="s">
        <v>22</v>
      </c>
      <c r="I106" s="125" t="s">
        <v>1158</v>
      </c>
      <c r="O106" s="125" t="s">
        <v>54</v>
      </c>
    </row>
    <row r="107" ht="14.25" customHeight="1">
      <c r="B107" s="125" t="s">
        <v>1159</v>
      </c>
      <c r="C107" s="125" t="s">
        <v>1160</v>
      </c>
      <c r="D107" s="125" t="s">
        <v>555</v>
      </c>
      <c r="F107" s="125">
        <v>4.4</v>
      </c>
      <c r="H107" s="125" t="s">
        <v>22</v>
      </c>
      <c r="I107" s="125" t="s">
        <v>1102</v>
      </c>
      <c r="O107" s="125" t="s">
        <v>54</v>
      </c>
    </row>
    <row r="108" ht="14.25" customHeight="1">
      <c r="B108" s="125" t="s">
        <v>1161</v>
      </c>
      <c r="C108" s="125" t="s">
        <v>1162</v>
      </c>
      <c r="D108" s="125" t="s">
        <v>1163</v>
      </c>
      <c r="F108" s="125">
        <v>0.5</v>
      </c>
      <c r="H108" s="125" t="s">
        <v>22</v>
      </c>
      <c r="I108" s="125" t="s">
        <v>1102</v>
      </c>
      <c r="O108" s="125" t="s">
        <v>54</v>
      </c>
    </row>
    <row r="109" ht="14.25" customHeight="1">
      <c r="B109" s="125" t="s">
        <v>1164</v>
      </c>
      <c r="C109" s="125" t="s">
        <v>562</v>
      </c>
      <c r="D109" s="125" t="s">
        <v>1165</v>
      </c>
      <c r="F109" s="125">
        <v>2.0</v>
      </c>
      <c r="H109" s="125" t="s">
        <v>22</v>
      </c>
      <c r="I109" s="125" t="s">
        <v>1102</v>
      </c>
      <c r="O109" s="125" t="s">
        <v>54</v>
      </c>
    </row>
    <row r="110" ht="14.25" customHeight="1">
      <c r="B110" s="125" t="s">
        <v>1166</v>
      </c>
      <c r="C110" s="125" t="s">
        <v>1167</v>
      </c>
      <c r="D110" s="125" t="s">
        <v>1165</v>
      </c>
      <c r="F110" s="125">
        <v>3.0</v>
      </c>
      <c r="H110" s="125" t="s">
        <v>22</v>
      </c>
      <c r="I110" s="125" t="s">
        <v>1102</v>
      </c>
      <c r="O110" s="125" t="s">
        <v>54</v>
      </c>
    </row>
    <row r="111" ht="14.25" customHeight="1">
      <c r="B111" s="125" t="s">
        <v>1168</v>
      </c>
      <c r="C111" s="125" t="s">
        <v>1169</v>
      </c>
      <c r="D111" s="125" t="s">
        <v>1170</v>
      </c>
      <c r="F111" s="125">
        <v>1.75</v>
      </c>
      <c r="H111" s="125" t="s">
        <v>22</v>
      </c>
      <c r="I111" s="125" t="s">
        <v>1102</v>
      </c>
      <c r="O111" s="125" t="s">
        <v>54</v>
      </c>
    </row>
    <row r="112" ht="14.25" customHeight="1">
      <c r="B112" s="125" t="s">
        <v>446</v>
      </c>
      <c r="C112" s="125" t="s">
        <v>1171</v>
      </c>
      <c r="D112" s="125" t="s">
        <v>1172</v>
      </c>
      <c r="F112" s="125">
        <v>2.0</v>
      </c>
      <c r="H112" s="125" t="s">
        <v>22</v>
      </c>
      <c r="I112" s="125" t="s">
        <v>992</v>
      </c>
      <c r="O112" s="125" t="s">
        <v>54</v>
      </c>
    </row>
    <row r="113" ht="14.25" customHeight="1">
      <c r="B113" s="125" t="s">
        <v>1173</v>
      </c>
      <c r="C113" s="125" t="s">
        <v>1174</v>
      </c>
      <c r="D113" s="125" t="s">
        <v>1175</v>
      </c>
      <c r="F113" s="125">
        <v>1.5</v>
      </c>
      <c r="H113" s="125" t="s">
        <v>22</v>
      </c>
      <c r="I113" s="125" t="s">
        <v>1102</v>
      </c>
      <c r="O113" s="125" t="s">
        <v>54</v>
      </c>
    </row>
    <row r="114" ht="14.25" customHeight="1">
      <c r="B114" s="125" t="s">
        <v>165</v>
      </c>
      <c r="C114" s="125" t="s">
        <v>1176</v>
      </c>
      <c r="D114" s="125" t="s">
        <v>1175</v>
      </c>
      <c r="F114" s="125">
        <v>5.0</v>
      </c>
      <c r="H114" s="125" t="s">
        <v>22</v>
      </c>
      <c r="I114" s="125" t="s">
        <v>1102</v>
      </c>
      <c r="O114" s="125" t="s">
        <v>54</v>
      </c>
    </row>
    <row r="115" ht="14.25" customHeight="1">
      <c r="B115" s="125" t="s">
        <v>1177</v>
      </c>
      <c r="C115" s="125" t="s">
        <v>1178</v>
      </c>
      <c r="D115" s="125" t="s">
        <v>233</v>
      </c>
      <c r="F115" s="125">
        <v>3.0</v>
      </c>
      <c r="H115" s="125" t="s">
        <v>22</v>
      </c>
      <c r="I115" s="125" t="s">
        <v>1102</v>
      </c>
      <c r="O115" s="125" t="s">
        <v>54</v>
      </c>
    </row>
    <row r="116" ht="14.25" customHeight="1">
      <c r="B116" s="125" t="s">
        <v>1179</v>
      </c>
      <c r="C116" s="125" t="s">
        <v>1178</v>
      </c>
      <c r="D116" s="125" t="s">
        <v>233</v>
      </c>
      <c r="F116" s="125">
        <v>2.6</v>
      </c>
      <c r="H116" s="125" t="s">
        <v>22</v>
      </c>
      <c r="I116" s="125" t="s">
        <v>1102</v>
      </c>
      <c r="O116" s="125" t="s">
        <v>54</v>
      </c>
    </row>
    <row r="117" ht="14.25" customHeight="1">
      <c r="B117" s="125" t="s">
        <v>1180</v>
      </c>
      <c r="C117" s="125" t="s">
        <v>1181</v>
      </c>
      <c r="D117" s="125" t="s">
        <v>559</v>
      </c>
      <c r="F117" s="125">
        <v>1.2</v>
      </c>
      <c r="H117" s="125" t="s">
        <v>22</v>
      </c>
      <c r="I117" s="125" t="s">
        <v>1102</v>
      </c>
      <c r="O117" s="125" t="s">
        <v>74</v>
      </c>
    </row>
    <row r="118" ht="14.25" customHeight="1">
      <c r="B118" s="125" t="s">
        <v>1182</v>
      </c>
      <c r="C118" s="125" t="s">
        <v>1183</v>
      </c>
      <c r="D118" s="125" t="s">
        <v>559</v>
      </c>
      <c r="F118" s="125">
        <v>2.2</v>
      </c>
      <c r="H118" s="125" t="s">
        <v>22</v>
      </c>
      <c r="I118" s="125" t="s">
        <v>1102</v>
      </c>
      <c r="O118" s="125" t="s">
        <v>54</v>
      </c>
    </row>
    <row r="119" ht="14.25" customHeight="1">
      <c r="B119" s="125" t="s">
        <v>1184</v>
      </c>
      <c r="C119" s="125" t="s">
        <v>1185</v>
      </c>
      <c r="D119" s="125" t="s">
        <v>559</v>
      </c>
      <c r="F119" s="125">
        <v>1.0</v>
      </c>
      <c r="H119" s="125" t="s">
        <v>22</v>
      </c>
      <c r="I119" s="125" t="s">
        <v>1102</v>
      </c>
      <c r="O119" s="125" t="s">
        <v>54</v>
      </c>
    </row>
    <row r="120" ht="14.25" customHeight="1">
      <c r="B120" s="125" t="s">
        <v>1186</v>
      </c>
      <c r="C120" s="125" t="s">
        <v>253</v>
      </c>
      <c r="D120" s="125" t="s">
        <v>1187</v>
      </c>
      <c r="F120" s="125">
        <v>1.0</v>
      </c>
      <c r="H120" s="125" t="s">
        <v>22</v>
      </c>
      <c r="I120" s="125" t="s">
        <v>1158</v>
      </c>
      <c r="O120" s="125" t="s">
        <v>54</v>
      </c>
    </row>
    <row r="121" ht="14.25" customHeight="1">
      <c r="B121" s="125" t="s">
        <v>1188</v>
      </c>
      <c r="C121" s="125" t="s">
        <v>555</v>
      </c>
      <c r="D121" s="125" t="s">
        <v>1189</v>
      </c>
      <c r="F121" s="125">
        <v>1.0</v>
      </c>
      <c r="H121" s="125" t="s">
        <v>22</v>
      </c>
      <c r="I121" s="125" t="s">
        <v>1102</v>
      </c>
      <c r="O121" s="125" t="s">
        <v>54</v>
      </c>
    </row>
    <row r="122" ht="14.25" customHeight="1">
      <c r="B122" s="125" t="s">
        <v>695</v>
      </c>
      <c r="C122" s="125" t="s">
        <v>1190</v>
      </c>
      <c r="D122" s="125" t="s">
        <v>1191</v>
      </c>
      <c r="F122" s="125">
        <v>2.0</v>
      </c>
      <c r="H122" s="125" t="s">
        <v>22</v>
      </c>
      <c r="I122" s="125" t="s">
        <v>1102</v>
      </c>
      <c r="O122" s="125" t="s">
        <v>54</v>
      </c>
    </row>
    <row r="123" ht="14.25" customHeight="1">
      <c r="B123" s="125" t="s">
        <v>1192</v>
      </c>
      <c r="C123" s="125" t="s">
        <v>665</v>
      </c>
      <c r="D123" s="125" t="s">
        <v>251</v>
      </c>
      <c r="F123" s="125">
        <v>2.0</v>
      </c>
      <c r="H123" s="125" t="s">
        <v>22</v>
      </c>
      <c r="I123" s="125" t="s">
        <v>992</v>
      </c>
      <c r="O123" s="125" t="s">
        <v>54</v>
      </c>
    </row>
    <row r="124" ht="14.25" customHeight="1">
      <c r="B124" s="125" t="s">
        <v>165</v>
      </c>
      <c r="C124" s="125" t="s">
        <v>1193</v>
      </c>
      <c r="D124" s="125" t="s">
        <v>1194</v>
      </c>
      <c r="F124" s="125">
        <v>2.0</v>
      </c>
      <c r="H124" s="125" t="s">
        <v>22</v>
      </c>
      <c r="I124" s="125" t="s">
        <v>992</v>
      </c>
      <c r="O124" s="125" t="s">
        <v>54</v>
      </c>
    </row>
    <row r="125" ht="14.25" customHeight="1">
      <c r="B125" s="125" t="s">
        <v>1195</v>
      </c>
      <c r="C125" s="125" t="s">
        <v>1196</v>
      </c>
      <c r="D125" s="125" t="s">
        <v>1197</v>
      </c>
      <c r="F125" s="125">
        <v>1.0</v>
      </c>
      <c r="H125" s="125" t="s">
        <v>22</v>
      </c>
      <c r="I125" s="125" t="s">
        <v>1102</v>
      </c>
      <c r="O125" s="125" t="s">
        <v>54</v>
      </c>
    </row>
    <row r="126" ht="14.25" customHeight="1">
      <c r="B126" s="125" t="s">
        <v>1198</v>
      </c>
      <c r="C126" s="125" t="s">
        <v>1196</v>
      </c>
      <c r="D126" s="125" t="s">
        <v>1197</v>
      </c>
      <c r="F126" s="125">
        <v>1.0</v>
      </c>
      <c r="H126" s="125" t="s">
        <v>22</v>
      </c>
      <c r="I126" s="125" t="s">
        <v>1102</v>
      </c>
      <c r="O126" s="125" t="s">
        <v>54</v>
      </c>
    </row>
    <row r="127" ht="14.25" customHeight="1">
      <c r="B127" s="125" t="s">
        <v>1199</v>
      </c>
      <c r="C127" s="125" t="s">
        <v>1196</v>
      </c>
      <c r="D127" s="125" t="s">
        <v>1197</v>
      </c>
      <c r="F127" s="125">
        <v>0.9</v>
      </c>
      <c r="H127" s="125" t="s">
        <v>22</v>
      </c>
      <c r="I127" s="125" t="s">
        <v>1102</v>
      </c>
      <c r="O127" s="125" t="s">
        <v>54</v>
      </c>
    </row>
    <row r="128" ht="14.25" customHeight="1">
      <c r="B128" s="125" t="s">
        <v>862</v>
      </c>
      <c r="C128" s="125" t="s">
        <v>1196</v>
      </c>
      <c r="D128" s="125" t="s">
        <v>1197</v>
      </c>
      <c r="F128" s="125">
        <v>2.0</v>
      </c>
      <c r="H128" s="125" t="s">
        <v>22</v>
      </c>
      <c r="I128" s="125" t="s">
        <v>1102</v>
      </c>
      <c r="O128" s="125" t="s">
        <v>54</v>
      </c>
    </row>
    <row r="129" ht="14.25" customHeight="1">
      <c r="B129" s="125" t="s">
        <v>1200</v>
      </c>
      <c r="C129" s="125" t="s">
        <v>1181</v>
      </c>
      <c r="D129" s="125" t="s">
        <v>1197</v>
      </c>
      <c r="F129" s="125">
        <v>1.2</v>
      </c>
      <c r="H129" s="125" t="s">
        <v>22</v>
      </c>
      <c r="I129" s="125" t="s">
        <v>1158</v>
      </c>
      <c r="O129" s="125" t="s">
        <v>54</v>
      </c>
    </row>
    <row r="130" ht="14.25" customHeight="1">
      <c r="B130" s="125" t="s">
        <v>1201</v>
      </c>
      <c r="C130" s="125" t="s">
        <v>1196</v>
      </c>
      <c r="D130" s="125" t="s">
        <v>1197</v>
      </c>
      <c r="F130" s="125">
        <v>1.9</v>
      </c>
      <c r="H130" s="125" t="s">
        <v>22</v>
      </c>
      <c r="I130" s="125" t="s">
        <v>1102</v>
      </c>
      <c r="O130" s="125" t="s">
        <v>54</v>
      </c>
    </row>
    <row r="131" ht="14.25" customHeight="1">
      <c r="B131" s="125" t="s">
        <v>1202</v>
      </c>
      <c r="C131" s="125" t="s">
        <v>1203</v>
      </c>
      <c r="D131" s="125" t="s">
        <v>1197</v>
      </c>
      <c r="F131" s="125">
        <v>0.2</v>
      </c>
      <c r="H131" s="125" t="s">
        <v>22</v>
      </c>
      <c r="I131" s="125" t="s">
        <v>1102</v>
      </c>
      <c r="O131" s="125" t="s">
        <v>54</v>
      </c>
    </row>
    <row r="132" ht="14.25" customHeight="1">
      <c r="B132" s="125" t="s">
        <v>1204</v>
      </c>
      <c r="C132" s="125" t="s">
        <v>1203</v>
      </c>
      <c r="D132" s="125" t="s">
        <v>1197</v>
      </c>
      <c r="F132" s="125">
        <v>1.0</v>
      </c>
      <c r="H132" s="125" t="s">
        <v>22</v>
      </c>
      <c r="I132" s="125" t="s">
        <v>1102</v>
      </c>
      <c r="O132" s="125" t="s">
        <v>54</v>
      </c>
    </row>
    <row r="133" ht="14.25" customHeight="1">
      <c r="B133" s="125" t="s">
        <v>1205</v>
      </c>
      <c r="C133" s="125" t="s">
        <v>181</v>
      </c>
      <c r="D133" s="125" t="s">
        <v>1197</v>
      </c>
      <c r="F133" s="125">
        <v>6.9</v>
      </c>
      <c r="H133" s="125" t="s">
        <v>22</v>
      </c>
      <c r="I133" s="125" t="s">
        <v>1102</v>
      </c>
      <c r="O133" s="125" t="s">
        <v>54</v>
      </c>
    </row>
    <row r="134" ht="14.25" customHeight="1">
      <c r="B134" s="125" t="s">
        <v>905</v>
      </c>
      <c r="C134" s="125" t="s">
        <v>1206</v>
      </c>
      <c r="D134" s="125" t="s">
        <v>1207</v>
      </c>
      <c r="F134" s="125">
        <v>1.5</v>
      </c>
      <c r="H134" s="125" t="s">
        <v>22</v>
      </c>
      <c r="I134" s="125" t="s">
        <v>992</v>
      </c>
      <c r="O134" s="125" t="s">
        <v>54</v>
      </c>
    </row>
    <row r="135" ht="14.25" customHeight="1">
      <c r="B135" s="125" t="s">
        <v>949</v>
      </c>
      <c r="C135" s="125" t="s">
        <v>1208</v>
      </c>
      <c r="D135" s="125" t="s">
        <v>254</v>
      </c>
      <c r="F135" s="125">
        <v>1.0</v>
      </c>
      <c r="H135" s="125" t="s">
        <v>22</v>
      </c>
      <c r="I135" s="125" t="s">
        <v>1102</v>
      </c>
      <c r="O135" s="125" t="s">
        <v>54</v>
      </c>
    </row>
    <row r="136" ht="14.25" customHeight="1">
      <c r="B136" s="125" t="s">
        <v>1209</v>
      </c>
      <c r="C136" s="125" t="s">
        <v>1210</v>
      </c>
      <c r="D136" s="125" t="s">
        <v>254</v>
      </c>
      <c r="F136" s="125">
        <v>1.5</v>
      </c>
      <c r="H136" s="125" t="s">
        <v>22</v>
      </c>
      <c r="I136" s="125" t="s">
        <v>992</v>
      </c>
      <c r="O136" s="125" t="s">
        <v>54</v>
      </c>
    </row>
    <row r="137" ht="14.25" customHeight="1">
      <c r="B137" s="125" t="s">
        <v>1211</v>
      </c>
      <c r="C137" s="125" t="s">
        <v>936</v>
      </c>
      <c r="D137" s="125" t="s">
        <v>254</v>
      </c>
      <c r="F137" s="125">
        <v>1.0</v>
      </c>
      <c r="H137" s="125" t="s">
        <v>22</v>
      </c>
      <c r="I137" s="125" t="s">
        <v>992</v>
      </c>
      <c r="O137" s="125" t="s">
        <v>54</v>
      </c>
    </row>
    <row r="138" ht="14.25" customHeight="1">
      <c r="B138" s="125" t="s">
        <v>595</v>
      </c>
      <c r="C138" s="125" t="s">
        <v>253</v>
      </c>
      <c r="D138" s="125" t="s">
        <v>254</v>
      </c>
      <c r="F138" s="125">
        <v>3.5</v>
      </c>
      <c r="H138" s="125" t="s">
        <v>22</v>
      </c>
      <c r="I138" s="125" t="s">
        <v>1102</v>
      </c>
      <c r="O138" s="125" t="s">
        <v>54</v>
      </c>
    </row>
    <row r="139" ht="14.25" customHeight="1">
      <c r="B139" s="125" t="s">
        <v>1205</v>
      </c>
      <c r="C139" s="125" t="s">
        <v>1197</v>
      </c>
      <c r="D139" s="125" t="s">
        <v>254</v>
      </c>
      <c r="F139" s="125">
        <v>2.5</v>
      </c>
      <c r="H139" s="125" t="s">
        <v>22</v>
      </c>
      <c r="I139" s="125" t="s">
        <v>1102</v>
      </c>
      <c r="O139" s="125" t="s">
        <v>54</v>
      </c>
    </row>
    <row r="140" ht="14.25" customHeight="1">
      <c r="B140" s="125" t="s">
        <v>1212</v>
      </c>
      <c r="C140" s="125" t="s">
        <v>253</v>
      </c>
      <c r="D140" s="125" t="s">
        <v>254</v>
      </c>
      <c r="F140" s="125">
        <v>3.0</v>
      </c>
      <c r="H140" s="125" t="s">
        <v>22</v>
      </c>
      <c r="I140" s="125" t="s">
        <v>1158</v>
      </c>
      <c r="O140" s="125" t="s">
        <v>54</v>
      </c>
    </row>
    <row r="141" ht="14.25" customHeight="1">
      <c r="B141" s="125" t="s">
        <v>1213</v>
      </c>
      <c r="C141" s="125" t="s">
        <v>1208</v>
      </c>
      <c r="D141" s="125" t="s">
        <v>254</v>
      </c>
      <c r="F141" s="125">
        <v>1.0</v>
      </c>
      <c r="H141" s="125" t="s">
        <v>22</v>
      </c>
      <c r="I141" s="125" t="s">
        <v>1102</v>
      </c>
      <c r="O141" s="125" t="s">
        <v>54</v>
      </c>
    </row>
    <row r="142" ht="14.25" customHeight="1">
      <c r="B142" s="125" t="s">
        <v>1214</v>
      </c>
      <c r="C142" s="125" t="s">
        <v>1215</v>
      </c>
      <c r="D142" s="125" t="s">
        <v>1216</v>
      </c>
      <c r="F142" s="125">
        <v>5.0</v>
      </c>
      <c r="H142" s="125" t="s">
        <v>22</v>
      </c>
      <c r="I142" s="125" t="s">
        <v>1102</v>
      </c>
      <c r="O142" s="125" t="s">
        <v>54</v>
      </c>
    </row>
    <row r="143" ht="14.25" customHeight="1">
      <c r="B143" s="125" t="s">
        <v>1217</v>
      </c>
      <c r="C143" s="125" t="s">
        <v>1123</v>
      </c>
      <c r="D143" s="125" t="s">
        <v>1216</v>
      </c>
      <c r="E143" s="125" t="s">
        <v>137</v>
      </c>
      <c r="F143" s="125">
        <v>2.0</v>
      </c>
      <c r="H143" s="125" t="s">
        <v>22</v>
      </c>
      <c r="I143" s="125" t="s">
        <v>1102</v>
      </c>
      <c r="O143" s="125" t="s">
        <v>54</v>
      </c>
    </row>
    <row r="144" ht="14.25" customHeight="1">
      <c r="B144" s="125" t="s">
        <v>1218</v>
      </c>
      <c r="C144" s="125" t="s">
        <v>1219</v>
      </c>
      <c r="D144" s="125" t="s">
        <v>1216</v>
      </c>
      <c r="F144" s="125">
        <v>2.0</v>
      </c>
      <c r="H144" s="125" t="s">
        <v>22</v>
      </c>
      <c r="I144" s="125" t="s">
        <v>1102</v>
      </c>
      <c r="O144" s="125" t="s">
        <v>54</v>
      </c>
    </row>
    <row r="145" ht="14.25" customHeight="1">
      <c r="B145" s="125" t="s">
        <v>1220</v>
      </c>
      <c r="C145" s="125" t="s">
        <v>1165</v>
      </c>
      <c r="D145" s="125" t="s">
        <v>1221</v>
      </c>
      <c r="E145" s="125" t="s">
        <v>86</v>
      </c>
      <c r="F145" s="125">
        <v>2.0</v>
      </c>
      <c r="H145" s="125" t="s">
        <v>22</v>
      </c>
      <c r="I145" s="125" t="s">
        <v>992</v>
      </c>
      <c r="O145" s="125" t="s">
        <v>54</v>
      </c>
    </row>
    <row r="146" ht="14.25" customHeight="1">
      <c r="B146" s="125" t="s">
        <v>1222</v>
      </c>
      <c r="C146" s="125" t="s">
        <v>1223</v>
      </c>
      <c r="D146" s="125" t="s">
        <v>1224</v>
      </c>
      <c r="F146" s="125">
        <v>1.0</v>
      </c>
      <c r="H146" s="125" t="s">
        <v>22</v>
      </c>
      <c r="I146" s="125" t="s">
        <v>1102</v>
      </c>
      <c r="O146" s="125" t="s">
        <v>54</v>
      </c>
    </row>
    <row r="147" ht="14.25" customHeight="1">
      <c r="B147" s="125" t="s">
        <v>748</v>
      </c>
      <c r="C147" s="125" t="s">
        <v>1225</v>
      </c>
      <c r="D147" s="125" t="s">
        <v>1226</v>
      </c>
      <c r="F147" s="125">
        <v>1.0</v>
      </c>
      <c r="H147" s="125" t="s">
        <v>22</v>
      </c>
      <c r="I147" s="125" t="s">
        <v>1102</v>
      </c>
      <c r="O147" s="125" t="s">
        <v>54</v>
      </c>
    </row>
    <row r="148" ht="14.25" customHeight="1">
      <c r="B148" s="125" t="s">
        <v>1227</v>
      </c>
      <c r="C148" s="125" t="s">
        <v>1228</v>
      </c>
      <c r="D148" s="125" t="s">
        <v>1229</v>
      </c>
      <c r="F148" s="125">
        <v>3.0</v>
      </c>
      <c r="H148" s="125" t="s">
        <v>22</v>
      </c>
      <c r="I148" s="125" t="s">
        <v>1102</v>
      </c>
      <c r="O148" s="125" t="s">
        <v>54</v>
      </c>
    </row>
    <row r="149" ht="14.25" customHeight="1">
      <c r="B149" s="125" t="s">
        <v>1230</v>
      </c>
      <c r="C149" s="125" t="s">
        <v>1175</v>
      </c>
      <c r="D149" s="125" t="s">
        <v>1229</v>
      </c>
      <c r="F149" s="125">
        <v>1.7</v>
      </c>
      <c r="H149" s="125" t="s">
        <v>22</v>
      </c>
      <c r="I149" s="125" t="s">
        <v>1102</v>
      </c>
      <c r="O149" s="125" t="s">
        <v>54</v>
      </c>
    </row>
    <row r="150" ht="14.25" customHeight="1">
      <c r="B150" s="125" t="s">
        <v>1231</v>
      </c>
      <c r="C150" s="125" t="s">
        <v>1228</v>
      </c>
      <c r="D150" s="125" t="s">
        <v>1229</v>
      </c>
      <c r="F150" s="125">
        <v>1.3</v>
      </c>
      <c r="H150" s="125" t="s">
        <v>22</v>
      </c>
      <c r="I150" s="125" t="s">
        <v>1102</v>
      </c>
      <c r="O150" s="125" t="s">
        <v>54</v>
      </c>
    </row>
    <row r="151" ht="14.25" customHeight="1">
      <c r="B151" s="125" t="s">
        <v>711</v>
      </c>
      <c r="C151" s="125" t="s">
        <v>1232</v>
      </c>
      <c r="D151" s="125" t="s">
        <v>1233</v>
      </c>
      <c r="F151" s="125">
        <v>1.0</v>
      </c>
      <c r="H151" s="125" t="s">
        <v>22</v>
      </c>
      <c r="I151" s="125" t="s">
        <v>1102</v>
      </c>
      <c r="O151" s="125" t="s">
        <v>54</v>
      </c>
    </row>
    <row r="152" ht="14.25" customHeight="1">
      <c r="B152" s="125" t="s">
        <v>1234</v>
      </c>
      <c r="C152" s="125" t="s">
        <v>507</v>
      </c>
      <c r="D152" s="125" t="s">
        <v>1235</v>
      </c>
      <c r="F152" s="125">
        <v>1.0</v>
      </c>
      <c r="H152" s="125" t="s">
        <v>22</v>
      </c>
      <c r="I152" s="125" t="s">
        <v>1158</v>
      </c>
      <c r="O152" s="125" t="s">
        <v>74</v>
      </c>
    </row>
    <row r="153" ht="14.25" customHeight="1">
      <c r="B153" s="125" t="s">
        <v>1236</v>
      </c>
      <c r="C153" s="125" t="s">
        <v>1237</v>
      </c>
      <c r="D153" s="125" t="s">
        <v>1238</v>
      </c>
      <c r="F153" s="125">
        <v>1.5</v>
      </c>
      <c r="H153" s="125" t="s">
        <v>22</v>
      </c>
      <c r="I153" s="125" t="s">
        <v>1158</v>
      </c>
      <c r="O153" s="125" t="s">
        <v>54</v>
      </c>
    </row>
    <row r="154" ht="14.25" customHeight="1">
      <c r="B154" s="125" t="s">
        <v>1239</v>
      </c>
      <c r="C154" s="125" t="s">
        <v>1237</v>
      </c>
      <c r="D154" s="125" t="s">
        <v>1238</v>
      </c>
      <c r="F154" s="125">
        <v>1.5</v>
      </c>
      <c r="H154" s="125" t="s">
        <v>22</v>
      </c>
      <c r="I154" s="125" t="s">
        <v>1158</v>
      </c>
      <c r="O154" s="125" t="s">
        <v>54</v>
      </c>
    </row>
    <row r="155" ht="14.25" customHeight="1">
      <c r="B155" s="125" t="s">
        <v>1207</v>
      </c>
      <c r="C155" s="125" t="s">
        <v>1240</v>
      </c>
      <c r="D155" s="125" t="s">
        <v>1241</v>
      </c>
      <c r="F155" s="125">
        <v>2.0</v>
      </c>
      <c r="H155" s="125" t="s">
        <v>22</v>
      </c>
      <c r="I155" s="125" t="s">
        <v>1102</v>
      </c>
      <c r="O155" s="125" t="s">
        <v>54</v>
      </c>
    </row>
    <row r="156" ht="14.25" customHeight="1">
      <c r="B156" s="125" t="s">
        <v>663</v>
      </c>
      <c r="C156" s="125" t="s">
        <v>1242</v>
      </c>
      <c r="D156" s="125" t="s">
        <v>1241</v>
      </c>
      <c r="F156" s="125">
        <v>1.0</v>
      </c>
      <c r="H156" s="125" t="s">
        <v>22</v>
      </c>
      <c r="I156" s="125" t="s">
        <v>1102</v>
      </c>
      <c r="O156" s="125" t="s">
        <v>74</v>
      </c>
    </row>
    <row r="157" ht="14.25" customHeight="1">
      <c r="B157" s="125" t="s">
        <v>93</v>
      </c>
      <c r="C157" s="125" t="s">
        <v>1243</v>
      </c>
      <c r="D157" s="125" t="s">
        <v>507</v>
      </c>
      <c r="F157" s="125">
        <v>3.25</v>
      </c>
      <c r="H157" s="125" t="s">
        <v>22</v>
      </c>
      <c r="I157" s="125" t="s">
        <v>1102</v>
      </c>
      <c r="O157" s="125" t="s">
        <v>54</v>
      </c>
    </row>
    <row r="158" ht="14.25" customHeight="1">
      <c r="B158" s="125" t="s">
        <v>1244</v>
      </c>
      <c r="C158" s="125" t="s">
        <v>946</v>
      </c>
      <c r="D158" s="125" t="s">
        <v>1245</v>
      </c>
      <c r="F158" s="125">
        <v>0.5</v>
      </c>
      <c r="H158" s="125" t="s">
        <v>22</v>
      </c>
      <c r="I158" s="125" t="s">
        <v>992</v>
      </c>
      <c r="O158" s="125" t="s">
        <v>54</v>
      </c>
    </row>
    <row r="159" ht="14.25" customHeight="1">
      <c r="B159" s="125" t="s">
        <v>1246</v>
      </c>
      <c r="C159" s="125" t="s">
        <v>1170</v>
      </c>
      <c r="D159" s="125" t="s">
        <v>1247</v>
      </c>
      <c r="F159" s="125">
        <v>1.1</v>
      </c>
      <c r="H159" s="125" t="s">
        <v>22</v>
      </c>
      <c r="I159" s="125" t="s">
        <v>1158</v>
      </c>
      <c r="O159" s="125" t="s">
        <v>54</v>
      </c>
    </row>
    <row r="160" ht="14.25" customHeight="1">
      <c r="B160" s="125" t="s">
        <v>1248</v>
      </c>
      <c r="C160" s="125" t="s">
        <v>1249</v>
      </c>
      <c r="D160" s="125" t="s">
        <v>1250</v>
      </c>
      <c r="F160" s="125">
        <v>3.3</v>
      </c>
      <c r="H160" s="125" t="s">
        <v>22</v>
      </c>
      <c r="I160" s="125" t="s">
        <v>1102</v>
      </c>
      <c r="O160" s="125" t="s">
        <v>74</v>
      </c>
    </row>
    <row r="161" ht="14.25" customHeight="1">
      <c r="B161" s="125" t="s">
        <v>225</v>
      </c>
      <c r="C161" s="125" t="s">
        <v>438</v>
      </c>
      <c r="D161" s="125" t="s">
        <v>1251</v>
      </c>
      <c r="F161" s="125">
        <v>1.0</v>
      </c>
      <c r="H161" s="125" t="s">
        <v>22</v>
      </c>
      <c r="I161" s="125" t="s">
        <v>1158</v>
      </c>
      <c r="O161" s="125" t="s">
        <v>54</v>
      </c>
    </row>
    <row r="162" ht="14.25" customHeight="1">
      <c r="B162" s="125" t="s">
        <v>1103</v>
      </c>
      <c r="C162" s="125" t="s">
        <v>84</v>
      </c>
      <c r="D162" s="125" t="s">
        <v>588</v>
      </c>
      <c r="F162" s="125">
        <v>2.5</v>
      </c>
      <c r="H162" s="125" t="s">
        <v>22</v>
      </c>
      <c r="I162" s="125" t="s">
        <v>992</v>
      </c>
      <c r="O162" s="125" t="s">
        <v>54</v>
      </c>
    </row>
    <row r="163" ht="14.25" customHeight="1">
      <c r="B163" s="125" t="s">
        <v>1252</v>
      </c>
      <c r="C163" s="125" t="s">
        <v>1253</v>
      </c>
      <c r="D163" s="125" t="s">
        <v>588</v>
      </c>
      <c r="F163" s="125">
        <v>4.0</v>
      </c>
      <c r="H163" s="125" t="s">
        <v>22</v>
      </c>
      <c r="I163" s="125" t="s">
        <v>992</v>
      </c>
      <c r="O163" s="125" t="s">
        <v>54</v>
      </c>
    </row>
    <row r="164" ht="14.25" customHeight="1">
      <c r="B164" s="125" t="s">
        <v>1254</v>
      </c>
      <c r="C164" s="125" t="s">
        <v>1255</v>
      </c>
      <c r="D164" s="125" t="s">
        <v>1256</v>
      </c>
      <c r="F164" s="125">
        <v>1.0</v>
      </c>
      <c r="H164" s="125" t="s">
        <v>22</v>
      </c>
      <c r="I164" s="125" t="s">
        <v>1102</v>
      </c>
      <c r="O164" s="125" t="s">
        <v>54</v>
      </c>
    </row>
    <row r="165" ht="14.25" customHeight="1">
      <c r="B165" s="125" t="s">
        <v>1257</v>
      </c>
      <c r="C165" s="125" t="s">
        <v>1162</v>
      </c>
      <c r="D165" s="125" t="s">
        <v>1258</v>
      </c>
      <c r="F165" s="125">
        <v>1.0</v>
      </c>
      <c r="H165" s="125" t="s">
        <v>22</v>
      </c>
      <c r="I165" s="125" t="s">
        <v>1102</v>
      </c>
      <c r="O165" s="125" t="s">
        <v>54</v>
      </c>
    </row>
    <row r="166" ht="14.25" customHeight="1">
      <c r="B166" s="125" t="s">
        <v>1259</v>
      </c>
      <c r="C166" s="125" t="s">
        <v>1260</v>
      </c>
      <c r="D166" s="125" t="s">
        <v>1261</v>
      </c>
      <c r="F166" s="125">
        <v>3.0</v>
      </c>
      <c r="H166" s="125" t="s">
        <v>22</v>
      </c>
      <c r="I166" s="125" t="s">
        <v>1158</v>
      </c>
      <c r="O166" s="125" t="s">
        <v>54</v>
      </c>
    </row>
    <row r="167" ht="14.25" customHeight="1">
      <c r="B167" s="125" t="s">
        <v>1262</v>
      </c>
      <c r="C167" s="125" t="s">
        <v>1263</v>
      </c>
      <c r="D167" s="125" t="s">
        <v>154</v>
      </c>
      <c r="E167" s="125" t="s">
        <v>86</v>
      </c>
      <c r="F167" s="125">
        <v>1.0</v>
      </c>
      <c r="H167" s="125" t="s">
        <v>22</v>
      </c>
      <c r="I167" s="125" t="s">
        <v>1102</v>
      </c>
      <c r="O167" s="125" t="s">
        <v>54</v>
      </c>
    </row>
    <row r="168" ht="14.25" customHeight="1">
      <c r="B168" s="125" t="s">
        <v>1264</v>
      </c>
      <c r="C168" s="125" t="s">
        <v>1265</v>
      </c>
      <c r="D168" s="125" t="s">
        <v>435</v>
      </c>
      <c r="F168" s="125">
        <v>2.0</v>
      </c>
      <c r="H168" s="125" t="s">
        <v>22</v>
      </c>
      <c r="I168" s="125" t="s">
        <v>1102</v>
      </c>
      <c r="O168" s="125" t="s">
        <v>74</v>
      </c>
    </row>
    <row r="169" ht="14.25" customHeight="1">
      <c r="B169" s="125" t="s">
        <v>1266</v>
      </c>
      <c r="C169" s="125" t="s">
        <v>1267</v>
      </c>
      <c r="D169" s="125" t="s">
        <v>568</v>
      </c>
      <c r="F169" s="125">
        <v>3.0</v>
      </c>
      <c r="H169" s="125" t="s">
        <v>22</v>
      </c>
      <c r="I169" s="125" t="s">
        <v>1102</v>
      </c>
      <c r="O169" s="125" t="s">
        <v>54</v>
      </c>
    </row>
    <row r="170" ht="14.25" customHeight="1">
      <c r="B170" s="125" t="s">
        <v>1268</v>
      </c>
      <c r="C170" s="125" t="s">
        <v>1269</v>
      </c>
      <c r="D170" s="125" t="s">
        <v>1270</v>
      </c>
      <c r="F170" s="125">
        <v>1.5</v>
      </c>
      <c r="H170" s="125" t="s">
        <v>22</v>
      </c>
      <c r="I170" s="125" t="s">
        <v>1158</v>
      </c>
      <c r="O170" s="125" t="s">
        <v>74</v>
      </c>
    </row>
    <row r="171" ht="14.25" customHeight="1">
      <c r="B171" s="125" t="s">
        <v>1271</v>
      </c>
      <c r="C171" s="125" t="s">
        <v>687</v>
      </c>
      <c r="D171" s="125" t="s">
        <v>570</v>
      </c>
      <c r="F171" s="125">
        <v>1.0</v>
      </c>
      <c r="H171" s="125" t="s">
        <v>22</v>
      </c>
      <c r="I171" s="125" t="s">
        <v>1102</v>
      </c>
      <c r="O171" s="125" t="s">
        <v>54</v>
      </c>
    </row>
    <row r="172" ht="14.25" customHeight="1">
      <c r="B172" s="125" t="s">
        <v>291</v>
      </c>
      <c r="C172" s="125" t="s">
        <v>248</v>
      </c>
      <c r="D172" s="125" t="s">
        <v>570</v>
      </c>
      <c r="F172" s="125">
        <v>4.0</v>
      </c>
      <c r="H172" s="125" t="s">
        <v>22</v>
      </c>
      <c r="I172" s="125" t="s">
        <v>1102</v>
      </c>
      <c r="O172" s="125" t="s">
        <v>54</v>
      </c>
    </row>
    <row r="173" ht="14.25" customHeight="1">
      <c r="B173" s="125" t="s">
        <v>469</v>
      </c>
      <c r="C173" s="125" t="s">
        <v>497</v>
      </c>
      <c r="D173" s="125" t="s">
        <v>570</v>
      </c>
      <c r="F173" s="125" t="s">
        <v>1272</v>
      </c>
      <c r="H173" s="125" t="s">
        <v>22</v>
      </c>
      <c r="I173" s="125" t="s">
        <v>1102</v>
      </c>
      <c r="O173" s="125" t="s">
        <v>54</v>
      </c>
    </row>
    <row r="174" ht="14.25" customHeight="1">
      <c r="B174" s="125" t="s">
        <v>1273</v>
      </c>
      <c r="C174" s="125" t="s">
        <v>1251</v>
      </c>
      <c r="D174" s="125" t="s">
        <v>1178</v>
      </c>
      <c r="F174" s="125">
        <v>1.0</v>
      </c>
      <c r="H174" s="125" t="s">
        <v>22</v>
      </c>
      <c r="I174" s="125" t="s">
        <v>1102</v>
      </c>
      <c r="O174" s="125" t="s">
        <v>54</v>
      </c>
    </row>
    <row r="175" ht="14.25" customHeight="1">
      <c r="B175" s="125" t="s">
        <v>1274</v>
      </c>
      <c r="C175" s="125" t="s">
        <v>438</v>
      </c>
      <c r="D175" s="125" t="s">
        <v>1178</v>
      </c>
      <c r="F175" s="125">
        <v>1.0</v>
      </c>
      <c r="H175" s="125" t="s">
        <v>22</v>
      </c>
      <c r="I175" s="125" t="s">
        <v>1102</v>
      </c>
      <c r="O175" s="125" t="s">
        <v>54</v>
      </c>
    </row>
    <row r="176" ht="14.25" customHeight="1">
      <c r="B176" s="125" t="s">
        <v>1275</v>
      </c>
      <c r="C176" s="125" t="s">
        <v>1276</v>
      </c>
      <c r="D176" s="125" t="s">
        <v>1032</v>
      </c>
      <c r="F176" s="125">
        <v>2.0</v>
      </c>
      <c r="H176" s="125" t="s">
        <v>22</v>
      </c>
      <c r="I176" s="125" t="s">
        <v>1102</v>
      </c>
      <c r="O176" s="125" t="s">
        <v>54</v>
      </c>
    </row>
    <row r="177" ht="14.25" customHeight="1">
      <c r="B177" s="125" t="s">
        <v>1119</v>
      </c>
      <c r="C177" s="125" t="s">
        <v>1277</v>
      </c>
      <c r="D177" s="125" t="s">
        <v>552</v>
      </c>
      <c r="F177" s="125">
        <v>0.8</v>
      </c>
      <c r="H177" s="125" t="s">
        <v>22</v>
      </c>
      <c r="I177" s="125" t="s">
        <v>1102</v>
      </c>
      <c r="O177" s="125" t="s">
        <v>54</v>
      </c>
    </row>
    <row r="178" ht="14.25" customHeight="1">
      <c r="B178" s="125" t="s">
        <v>1278</v>
      </c>
      <c r="C178" s="125" t="s">
        <v>117</v>
      </c>
      <c r="D178" s="125" t="s">
        <v>1279</v>
      </c>
      <c r="F178" s="125">
        <v>6.0</v>
      </c>
      <c r="H178" s="125" t="s">
        <v>22</v>
      </c>
      <c r="I178" s="125" t="s">
        <v>1102</v>
      </c>
      <c r="O178" s="125" t="s">
        <v>54</v>
      </c>
    </row>
    <row r="179" ht="14.25" customHeight="1">
      <c r="B179" s="125" t="s">
        <v>165</v>
      </c>
      <c r="C179" s="125" t="s">
        <v>1157</v>
      </c>
      <c r="D179" s="125" t="s">
        <v>596</v>
      </c>
      <c r="F179" s="125">
        <v>2.0</v>
      </c>
      <c r="H179" s="125" t="s">
        <v>22</v>
      </c>
      <c r="I179" s="125" t="s">
        <v>1158</v>
      </c>
      <c r="O179" s="125" t="s">
        <v>54</v>
      </c>
    </row>
    <row r="180" ht="14.25" customHeight="1">
      <c r="B180" s="125" t="s">
        <v>1280</v>
      </c>
      <c r="C180" s="125" t="s">
        <v>1281</v>
      </c>
      <c r="D180" s="125" t="s">
        <v>253</v>
      </c>
      <c r="F180" s="125">
        <v>8.5</v>
      </c>
      <c r="H180" s="125" t="s">
        <v>22</v>
      </c>
      <c r="I180" s="125" t="s">
        <v>1102</v>
      </c>
      <c r="O180" s="125" t="s">
        <v>54</v>
      </c>
    </row>
    <row r="181" ht="14.25" customHeight="1">
      <c r="B181" s="125" t="s">
        <v>695</v>
      </c>
      <c r="C181" s="125" t="s">
        <v>1282</v>
      </c>
      <c r="D181" s="125" t="s">
        <v>253</v>
      </c>
      <c r="F181" s="125">
        <v>2.0</v>
      </c>
      <c r="H181" s="125" t="s">
        <v>22</v>
      </c>
      <c r="I181" s="125" t="s">
        <v>1102</v>
      </c>
      <c r="O181" s="125" t="s">
        <v>54</v>
      </c>
    </row>
    <row r="182" ht="14.25" customHeight="1">
      <c r="B182" s="125" t="s">
        <v>1026</v>
      </c>
      <c r="C182" s="125" t="s">
        <v>1283</v>
      </c>
      <c r="D182" s="125" t="s">
        <v>253</v>
      </c>
      <c r="F182" s="125">
        <v>3.0</v>
      </c>
      <c r="H182" s="125" t="s">
        <v>22</v>
      </c>
      <c r="I182" s="125" t="s">
        <v>992</v>
      </c>
      <c r="O182" s="125" t="s">
        <v>54</v>
      </c>
    </row>
    <row r="183" ht="14.25" customHeight="1">
      <c r="B183" s="125" t="s">
        <v>1284</v>
      </c>
      <c r="C183" s="125" t="s">
        <v>1283</v>
      </c>
      <c r="D183" s="125" t="s">
        <v>253</v>
      </c>
      <c r="F183" s="125">
        <v>1.0</v>
      </c>
      <c r="H183" s="125" t="s">
        <v>22</v>
      </c>
      <c r="I183" s="125" t="s">
        <v>1158</v>
      </c>
      <c r="O183" s="125" t="s">
        <v>54</v>
      </c>
    </row>
    <row r="184" ht="14.25" customHeight="1">
      <c r="B184" s="125" t="s">
        <v>1285</v>
      </c>
      <c r="C184" s="125" t="s">
        <v>1286</v>
      </c>
      <c r="D184" s="125" t="s">
        <v>253</v>
      </c>
      <c r="F184" s="125">
        <v>1.1</v>
      </c>
      <c r="H184" s="125" t="s">
        <v>22</v>
      </c>
      <c r="I184" s="125" t="s">
        <v>1158</v>
      </c>
      <c r="O184" s="125" t="s">
        <v>54</v>
      </c>
    </row>
    <row r="185" ht="14.25" customHeight="1">
      <c r="B185" s="125" t="s">
        <v>407</v>
      </c>
      <c r="C185" s="125" t="s">
        <v>1287</v>
      </c>
      <c r="D185" s="125" t="s">
        <v>646</v>
      </c>
      <c r="F185" s="125">
        <v>2.7</v>
      </c>
      <c r="H185" s="125" t="s">
        <v>22</v>
      </c>
      <c r="I185" s="125" t="s">
        <v>1288</v>
      </c>
      <c r="O185" s="125" t="s">
        <v>54</v>
      </c>
    </row>
    <row r="186" ht="14.25" customHeight="1">
      <c r="B186" s="125" t="s">
        <v>516</v>
      </c>
      <c r="C186" s="125" t="s">
        <v>1289</v>
      </c>
      <c r="D186" s="125" t="s">
        <v>1290</v>
      </c>
      <c r="F186" s="125">
        <v>0.6</v>
      </c>
      <c r="H186" s="125" t="s">
        <v>22</v>
      </c>
      <c r="I186" s="125" t="s">
        <v>1158</v>
      </c>
      <c r="O186" s="125" t="s">
        <v>54</v>
      </c>
    </row>
    <row r="187" ht="14.25" customHeight="1">
      <c r="B187" s="125" t="s">
        <v>1291</v>
      </c>
      <c r="C187" s="125" t="s">
        <v>154</v>
      </c>
      <c r="D187" s="125" t="s">
        <v>1292</v>
      </c>
      <c r="F187" s="125">
        <v>2.0</v>
      </c>
      <c r="H187" s="125" t="s">
        <v>22</v>
      </c>
      <c r="I187" s="125" t="s">
        <v>1288</v>
      </c>
      <c r="O187" s="125" t="s">
        <v>54</v>
      </c>
    </row>
    <row r="188" ht="14.25" customHeight="1">
      <c r="B188" s="125" t="s">
        <v>670</v>
      </c>
      <c r="C188" s="125" t="s">
        <v>154</v>
      </c>
      <c r="D188" s="125" t="s">
        <v>1292</v>
      </c>
      <c r="F188" s="125">
        <v>1.5</v>
      </c>
      <c r="H188" s="125" t="s">
        <v>22</v>
      </c>
      <c r="I188" s="125" t="s">
        <v>1288</v>
      </c>
      <c r="O188" s="125" t="s">
        <v>54</v>
      </c>
    </row>
    <row r="189" ht="14.25" customHeight="1">
      <c r="B189" s="125" t="s">
        <v>1293</v>
      </c>
      <c r="C189" s="125" t="s">
        <v>1294</v>
      </c>
      <c r="D189" s="125" t="s">
        <v>1295</v>
      </c>
      <c r="F189" s="125">
        <v>1.0</v>
      </c>
      <c r="H189" s="125" t="s">
        <v>22</v>
      </c>
      <c r="I189" s="125" t="s">
        <v>1102</v>
      </c>
      <c r="O189" s="125" t="s">
        <v>54</v>
      </c>
    </row>
    <row r="190" ht="14.25" customHeight="1">
      <c r="B190" s="125" t="s">
        <v>1296</v>
      </c>
      <c r="C190" s="125" t="s">
        <v>554</v>
      </c>
      <c r="D190" s="125" t="s">
        <v>1297</v>
      </c>
      <c r="F190" s="125">
        <v>2.0</v>
      </c>
      <c r="H190" s="125" t="s">
        <v>22</v>
      </c>
      <c r="I190" s="125" t="s">
        <v>1102</v>
      </c>
      <c r="O190" s="125" t="s">
        <v>54</v>
      </c>
    </row>
    <row r="191" ht="14.25" customHeight="1">
      <c r="B191" s="125" t="s">
        <v>1168</v>
      </c>
      <c r="C191" s="125" t="s">
        <v>1298</v>
      </c>
      <c r="D191" s="125" t="s">
        <v>1297</v>
      </c>
      <c r="F191" s="125">
        <v>1.5</v>
      </c>
      <c r="H191" s="125" t="s">
        <v>22</v>
      </c>
      <c r="I191" s="125" t="s">
        <v>1102</v>
      </c>
      <c r="O191" s="125" t="s">
        <v>54</v>
      </c>
    </row>
    <row r="192" ht="14.25" customHeight="1">
      <c r="B192" s="125" t="s">
        <v>1299</v>
      </c>
      <c r="C192" s="125" t="s">
        <v>1300</v>
      </c>
      <c r="D192" s="125" t="s">
        <v>561</v>
      </c>
      <c r="E192" s="125" t="s">
        <v>137</v>
      </c>
      <c r="F192" s="125">
        <v>2.7</v>
      </c>
      <c r="H192" s="125" t="s">
        <v>22</v>
      </c>
      <c r="I192" s="125" t="s">
        <v>1158</v>
      </c>
      <c r="O192" s="125" t="s">
        <v>54</v>
      </c>
    </row>
    <row r="193" ht="15.75" customHeight="1">
      <c r="B193" s="125" t="s">
        <v>1301</v>
      </c>
      <c r="C193" s="125" t="s">
        <v>1237</v>
      </c>
      <c r="D193" s="125" t="s">
        <v>1302</v>
      </c>
      <c r="F193" s="125">
        <v>1.5</v>
      </c>
      <c r="H193" s="125" t="s">
        <v>22</v>
      </c>
      <c r="I193" s="125" t="s">
        <v>1102</v>
      </c>
      <c r="O193" s="125" t="s">
        <v>54</v>
      </c>
    </row>
    <row r="194" ht="15.75" customHeight="1">
      <c r="B194" s="125" t="s">
        <v>1303</v>
      </c>
      <c r="C194" s="125" t="s">
        <v>1237</v>
      </c>
      <c r="D194" s="125" t="s">
        <v>1302</v>
      </c>
      <c r="F194" s="125">
        <v>1.0</v>
      </c>
      <c r="H194" s="125" t="s">
        <v>22</v>
      </c>
      <c r="I194" s="125" t="s">
        <v>1102</v>
      </c>
      <c r="O194" s="125" t="s">
        <v>54</v>
      </c>
    </row>
    <row r="195" ht="15.75" customHeight="1">
      <c r="B195" s="125" t="s">
        <v>1304</v>
      </c>
      <c r="C195" s="125" t="s">
        <v>1305</v>
      </c>
      <c r="D195" s="125" t="s">
        <v>1306</v>
      </c>
      <c r="F195" s="125">
        <v>2.7</v>
      </c>
      <c r="H195" s="125" t="s">
        <v>22</v>
      </c>
      <c r="I195" s="125" t="s">
        <v>992</v>
      </c>
      <c r="O195" s="125" t="s">
        <v>54</v>
      </c>
    </row>
    <row r="196" ht="15.75" customHeight="1">
      <c r="B196" s="125" t="s">
        <v>1307</v>
      </c>
      <c r="C196" s="125" t="s">
        <v>1277</v>
      </c>
      <c r="D196" s="125" t="s">
        <v>1308</v>
      </c>
      <c r="F196" s="125">
        <v>1.6</v>
      </c>
      <c r="H196" s="125" t="s">
        <v>22</v>
      </c>
      <c r="I196" s="125" t="s">
        <v>1102</v>
      </c>
      <c r="O196" s="125" t="s">
        <v>54</v>
      </c>
    </row>
    <row r="197" ht="15.75" customHeight="1">
      <c r="B197" s="125" t="s">
        <v>71</v>
      </c>
      <c r="C197" s="125" t="s">
        <v>253</v>
      </c>
      <c r="D197" s="125" t="s">
        <v>1309</v>
      </c>
      <c r="F197" s="125">
        <v>1.1</v>
      </c>
      <c r="H197" s="125" t="s">
        <v>22</v>
      </c>
      <c r="I197" s="125" t="s">
        <v>1158</v>
      </c>
      <c r="O197" s="125" t="s">
        <v>54</v>
      </c>
    </row>
    <row r="198" ht="15.75" customHeight="1">
      <c r="B198" s="125" t="s">
        <v>1310</v>
      </c>
      <c r="C198" s="125" t="s">
        <v>1311</v>
      </c>
      <c r="D198" s="125" t="s">
        <v>1312</v>
      </c>
      <c r="F198" s="125">
        <v>2.0</v>
      </c>
      <c r="H198" s="125" t="s">
        <v>22</v>
      </c>
      <c r="I198" s="125" t="s">
        <v>1158</v>
      </c>
      <c r="O198" s="125" t="s">
        <v>54</v>
      </c>
    </row>
    <row r="199" ht="15.75" customHeight="1">
      <c r="B199" s="125" t="s">
        <v>1313</v>
      </c>
      <c r="C199" s="125" t="s">
        <v>154</v>
      </c>
      <c r="D199" s="125" t="s">
        <v>373</v>
      </c>
      <c r="F199" s="125">
        <v>3.7</v>
      </c>
      <c r="H199" s="125" t="s">
        <v>22</v>
      </c>
      <c r="I199" s="125" t="s">
        <v>992</v>
      </c>
      <c r="O199" s="125" t="s">
        <v>54</v>
      </c>
    </row>
    <row r="200" ht="15.75" customHeight="1">
      <c r="B200" s="125" t="s">
        <v>1314</v>
      </c>
      <c r="C200" s="125" t="s">
        <v>1315</v>
      </c>
      <c r="D200" s="125" t="s">
        <v>1316</v>
      </c>
      <c r="E200" s="125" t="s">
        <v>137</v>
      </c>
      <c r="F200" s="125">
        <v>4.0</v>
      </c>
      <c r="H200" s="125" t="s">
        <v>22</v>
      </c>
      <c r="I200" s="125" t="s">
        <v>992</v>
      </c>
      <c r="O200" s="125" t="s">
        <v>54</v>
      </c>
    </row>
    <row r="201" ht="15.75" customHeight="1">
      <c r="B201" s="125" t="s">
        <v>888</v>
      </c>
      <c r="C201" s="125" t="s">
        <v>596</v>
      </c>
      <c r="D201" s="125" t="s">
        <v>1317</v>
      </c>
      <c r="F201" s="125">
        <v>5.0</v>
      </c>
      <c r="H201" s="125" t="s">
        <v>22</v>
      </c>
      <c r="I201" s="125" t="s">
        <v>1102</v>
      </c>
      <c r="O201" s="125" t="s">
        <v>54</v>
      </c>
    </row>
    <row r="202" ht="15.75" customHeight="1">
      <c r="B202" s="125" t="s">
        <v>1318</v>
      </c>
      <c r="C202" s="125" t="s">
        <v>1319</v>
      </c>
      <c r="D202" s="125" t="s">
        <v>219</v>
      </c>
      <c r="F202" s="125">
        <v>0.5</v>
      </c>
      <c r="H202" s="125" t="s">
        <v>22</v>
      </c>
      <c r="I202" s="125" t="s">
        <v>992</v>
      </c>
      <c r="O202" s="125" t="s">
        <v>54</v>
      </c>
    </row>
    <row r="203" ht="15.75" customHeight="1">
      <c r="B203" s="125" t="s">
        <v>1320</v>
      </c>
      <c r="C203" s="125" t="s">
        <v>1319</v>
      </c>
      <c r="D203" s="125" t="s">
        <v>219</v>
      </c>
      <c r="F203" s="125">
        <v>1.0</v>
      </c>
      <c r="H203" s="125" t="s">
        <v>22</v>
      </c>
      <c r="I203" s="125" t="s">
        <v>992</v>
      </c>
      <c r="O203" s="125" t="s">
        <v>54</v>
      </c>
    </row>
    <row r="204" ht="15.75" customHeight="1">
      <c r="B204" s="125" t="s">
        <v>1321</v>
      </c>
      <c r="C204" s="125" t="s">
        <v>1322</v>
      </c>
      <c r="D204" s="125" t="s">
        <v>219</v>
      </c>
      <c r="F204" s="125">
        <v>1.0</v>
      </c>
      <c r="H204" s="125" t="s">
        <v>22</v>
      </c>
      <c r="I204" s="125" t="s">
        <v>992</v>
      </c>
      <c r="O204" s="125" t="s">
        <v>54</v>
      </c>
    </row>
    <row r="205" ht="15.75" customHeight="1">
      <c r="B205" s="125" t="s">
        <v>1323</v>
      </c>
      <c r="C205" s="125" t="s">
        <v>1319</v>
      </c>
      <c r="D205" s="125" t="s">
        <v>219</v>
      </c>
      <c r="F205" s="125">
        <v>2.5</v>
      </c>
      <c r="H205" s="125" t="s">
        <v>22</v>
      </c>
      <c r="I205" s="125" t="s">
        <v>992</v>
      </c>
      <c r="O205" s="125" t="s">
        <v>54</v>
      </c>
    </row>
    <row r="206" ht="15.75" customHeight="1">
      <c r="B206" s="125" t="s">
        <v>1324</v>
      </c>
      <c r="C206" s="125" t="s">
        <v>1319</v>
      </c>
      <c r="D206" s="125" t="s">
        <v>219</v>
      </c>
      <c r="F206" s="125">
        <v>1.0</v>
      </c>
      <c r="H206" s="125" t="s">
        <v>22</v>
      </c>
      <c r="I206" s="125" t="s">
        <v>992</v>
      </c>
      <c r="O206" s="125" t="s">
        <v>54</v>
      </c>
    </row>
    <row r="207" ht="15.75" customHeight="1">
      <c r="B207" s="125" t="s">
        <v>672</v>
      </c>
      <c r="C207" s="125" t="s">
        <v>254</v>
      </c>
      <c r="D207" s="125" t="s">
        <v>1325</v>
      </c>
      <c r="F207" s="125">
        <v>2.6</v>
      </c>
      <c r="H207" s="125" t="s">
        <v>22</v>
      </c>
      <c r="I207" s="125" t="s">
        <v>992</v>
      </c>
      <c r="O207" s="125" t="s">
        <v>54</v>
      </c>
    </row>
    <row r="208" ht="15.75" customHeight="1">
      <c r="B208" s="125" t="s">
        <v>357</v>
      </c>
      <c r="C208" s="125" t="s">
        <v>1326</v>
      </c>
      <c r="D208" s="125" t="s">
        <v>1327</v>
      </c>
      <c r="E208" s="125" t="s">
        <v>86</v>
      </c>
      <c r="F208" s="125">
        <v>4.5</v>
      </c>
      <c r="H208" s="125" t="s">
        <v>22</v>
      </c>
      <c r="I208" s="125" t="s">
        <v>1102</v>
      </c>
      <c r="O208" s="125" t="s">
        <v>54</v>
      </c>
    </row>
    <row r="209" ht="15.75" customHeight="1">
      <c r="B209" s="125" t="s">
        <v>1328</v>
      </c>
      <c r="C209" s="125" t="s">
        <v>253</v>
      </c>
      <c r="D209" s="125" t="s">
        <v>558</v>
      </c>
      <c r="E209" s="125" t="s">
        <v>86</v>
      </c>
      <c r="F209" s="125">
        <v>3.0</v>
      </c>
      <c r="H209" s="125" t="s">
        <v>22</v>
      </c>
      <c r="I209" s="125" t="s">
        <v>1102</v>
      </c>
      <c r="O209" s="125" t="s">
        <v>54</v>
      </c>
    </row>
    <row r="210" ht="15.75" customHeight="1">
      <c r="B210" s="125" t="s">
        <v>1006</v>
      </c>
      <c r="C210" s="125" t="s">
        <v>863</v>
      </c>
      <c r="D210" s="125" t="s">
        <v>864</v>
      </c>
      <c r="F210" s="125">
        <v>1.4</v>
      </c>
      <c r="H210" s="125" t="s">
        <v>22</v>
      </c>
      <c r="I210" s="125" t="s">
        <v>1102</v>
      </c>
      <c r="O210" s="125" t="s">
        <v>54</v>
      </c>
    </row>
    <row r="211" ht="15.75" customHeight="1">
      <c r="B211" s="125" t="s">
        <v>1329</v>
      </c>
      <c r="C211" s="125" t="s">
        <v>571</v>
      </c>
      <c r="D211" s="125" t="s">
        <v>1330</v>
      </c>
      <c r="F211" s="125">
        <v>2.0</v>
      </c>
      <c r="H211" s="125" t="s">
        <v>22</v>
      </c>
      <c r="I211" s="125" t="s">
        <v>1102</v>
      </c>
      <c r="O211" s="125" t="s">
        <v>54</v>
      </c>
    </row>
    <row r="212" ht="15.75" customHeight="1">
      <c r="B212" s="125" t="s">
        <v>154</v>
      </c>
      <c r="C212" s="125" t="s">
        <v>1241</v>
      </c>
      <c r="D212" s="125" t="s">
        <v>167</v>
      </c>
      <c r="F212" s="125">
        <v>1.0</v>
      </c>
      <c r="H212" s="125" t="s">
        <v>22</v>
      </c>
      <c r="I212" s="125" t="s">
        <v>1102</v>
      </c>
      <c r="O212" s="125" t="s">
        <v>54</v>
      </c>
    </row>
    <row r="213" ht="15.75" customHeight="1">
      <c r="B213" s="125" t="s">
        <v>1331</v>
      </c>
      <c r="C213" s="125" t="s">
        <v>1332</v>
      </c>
      <c r="D213" s="125" t="s">
        <v>1260</v>
      </c>
      <c r="F213" s="125">
        <v>1.3</v>
      </c>
      <c r="H213" s="125" t="s">
        <v>22</v>
      </c>
      <c r="I213" s="125" t="s">
        <v>1158</v>
      </c>
      <c r="O213" s="125" t="s">
        <v>54</v>
      </c>
    </row>
    <row r="214" ht="15.75" customHeight="1">
      <c r="B214" s="125" t="s">
        <v>791</v>
      </c>
      <c r="C214" s="125" t="s">
        <v>254</v>
      </c>
      <c r="D214" s="125" t="s">
        <v>1260</v>
      </c>
      <c r="F214" s="125">
        <v>6.0</v>
      </c>
      <c r="H214" s="125" t="s">
        <v>22</v>
      </c>
      <c r="I214" s="125" t="s">
        <v>1158</v>
      </c>
      <c r="O214" s="125" t="s">
        <v>54</v>
      </c>
    </row>
    <row r="215" ht="15.75" customHeight="1">
      <c r="B215" s="125" t="s">
        <v>1333</v>
      </c>
      <c r="C215" s="125" t="s">
        <v>1282</v>
      </c>
      <c r="D215" s="125" t="s">
        <v>1334</v>
      </c>
      <c r="F215" s="125">
        <v>3.0</v>
      </c>
      <c r="H215" s="125" t="s">
        <v>22</v>
      </c>
      <c r="I215" s="125" t="s">
        <v>1158</v>
      </c>
      <c r="O215" s="125" t="s">
        <v>74</v>
      </c>
    </row>
    <row r="216" ht="15.75" customHeight="1">
      <c r="B216" s="125" t="s">
        <v>1335</v>
      </c>
      <c r="C216" s="125" t="s">
        <v>572</v>
      </c>
      <c r="D216" s="125" t="s">
        <v>1336</v>
      </c>
      <c r="F216" s="125">
        <v>1.5</v>
      </c>
      <c r="H216" s="125" t="s">
        <v>22</v>
      </c>
      <c r="I216" s="125" t="s">
        <v>1102</v>
      </c>
      <c r="O216" s="125" t="s">
        <v>54</v>
      </c>
    </row>
    <row r="217" ht="15.75" customHeight="1">
      <c r="B217" s="125" t="s">
        <v>1337</v>
      </c>
      <c r="C217" s="125" t="s">
        <v>1338</v>
      </c>
      <c r="D217" s="125" t="s">
        <v>1339</v>
      </c>
      <c r="F217" s="125">
        <v>1.0</v>
      </c>
      <c r="H217" s="125" t="s">
        <v>22</v>
      </c>
      <c r="I217" s="125" t="s">
        <v>1158</v>
      </c>
      <c r="O217" s="125" t="s">
        <v>54</v>
      </c>
    </row>
    <row r="218" ht="15.75" customHeight="1">
      <c r="B218" s="125" t="s">
        <v>1340</v>
      </c>
      <c r="C218" s="125" t="s">
        <v>1226</v>
      </c>
      <c r="D218" s="125" t="s">
        <v>1341</v>
      </c>
      <c r="F218" s="125">
        <v>0.7</v>
      </c>
      <c r="H218" s="125" t="s">
        <v>22</v>
      </c>
      <c r="I218" s="125" t="s">
        <v>1102</v>
      </c>
      <c r="O218" s="125" t="s">
        <v>54</v>
      </c>
    </row>
    <row r="219" ht="15.75" customHeight="1">
      <c r="B219" s="125" t="s">
        <v>1079</v>
      </c>
      <c r="C219" s="125" t="s">
        <v>507</v>
      </c>
      <c r="D219" s="125" t="s">
        <v>1183</v>
      </c>
      <c r="F219" s="125">
        <v>2.0</v>
      </c>
      <c r="H219" s="125" t="s">
        <v>22</v>
      </c>
      <c r="I219" s="125" t="s">
        <v>1158</v>
      </c>
      <c r="O219" s="125" t="s">
        <v>54</v>
      </c>
    </row>
    <row r="220" ht="15.75" customHeight="1">
      <c r="B220" s="125" t="s">
        <v>608</v>
      </c>
      <c r="C220" s="125" t="s">
        <v>507</v>
      </c>
      <c r="D220" s="125" t="s">
        <v>1183</v>
      </c>
      <c r="F220" s="125">
        <v>3.0</v>
      </c>
      <c r="H220" s="125" t="s">
        <v>22</v>
      </c>
      <c r="I220" s="125" t="s">
        <v>1158</v>
      </c>
      <c r="O220" s="125" t="s">
        <v>54</v>
      </c>
    </row>
    <row r="221" ht="15.75" customHeight="1">
      <c r="B221" s="125" t="s">
        <v>1342</v>
      </c>
      <c r="C221" s="125" t="s">
        <v>507</v>
      </c>
      <c r="D221" s="125" t="s">
        <v>1183</v>
      </c>
      <c r="F221" s="125">
        <v>0.5</v>
      </c>
      <c r="H221" s="125" t="s">
        <v>22</v>
      </c>
      <c r="I221" s="125" t="s">
        <v>1158</v>
      </c>
      <c r="O221" s="125" t="s">
        <v>54</v>
      </c>
    </row>
    <row r="222" ht="15.75" customHeight="1">
      <c r="B222" s="125" t="s">
        <v>1343</v>
      </c>
      <c r="C222" s="125" t="s">
        <v>1344</v>
      </c>
      <c r="D222" s="125" t="s">
        <v>1183</v>
      </c>
      <c r="F222" s="125">
        <v>0.75</v>
      </c>
      <c r="H222" s="125" t="s">
        <v>22</v>
      </c>
      <c r="I222" s="125" t="s">
        <v>1102</v>
      </c>
      <c r="O222" s="125" t="s">
        <v>54</v>
      </c>
    </row>
    <row r="223" ht="15.75" customHeight="1">
      <c r="B223" s="125" t="s">
        <v>1345</v>
      </c>
      <c r="C223" s="125" t="s">
        <v>507</v>
      </c>
      <c r="D223" s="125" t="s">
        <v>1183</v>
      </c>
      <c r="F223" s="125">
        <v>2.3</v>
      </c>
      <c r="H223" s="125" t="s">
        <v>22</v>
      </c>
      <c r="I223" s="125" t="s">
        <v>1158</v>
      </c>
      <c r="O223" s="125" t="s">
        <v>54</v>
      </c>
    </row>
    <row r="224" ht="15.75" customHeight="1">
      <c r="B224" s="125" t="s">
        <v>1213</v>
      </c>
      <c r="C224" s="125" t="s">
        <v>1237</v>
      </c>
      <c r="D224" s="125" t="s">
        <v>1203</v>
      </c>
      <c r="F224" s="125">
        <v>4.2</v>
      </c>
      <c r="H224" s="125" t="s">
        <v>22</v>
      </c>
      <c r="I224" s="125" t="s">
        <v>1102</v>
      </c>
      <c r="O224" s="125" t="s">
        <v>54</v>
      </c>
    </row>
    <row r="225" ht="15.75" customHeight="1">
      <c r="B225" s="125" t="s">
        <v>184</v>
      </c>
      <c r="C225" s="125" t="s">
        <v>1346</v>
      </c>
      <c r="D225" s="125" t="s">
        <v>1347</v>
      </c>
      <c r="F225" s="125">
        <v>3.0</v>
      </c>
      <c r="H225" s="125" t="s">
        <v>22</v>
      </c>
      <c r="I225" s="125" t="s">
        <v>1102</v>
      </c>
      <c r="O225" s="125" t="s">
        <v>54</v>
      </c>
    </row>
    <row r="226" ht="15.75" customHeight="1">
      <c r="B226" s="125" t="s">
        <v>1348</v>
      </c>
      <c r="C226" s="125" t="s">
        <v>1349</v>
      </c>
      <c r="D226" s="125" t="s">
        <v>1350</v>
      </c>
      <c r="F226" s="125">
        <v>1.25</v>
      </c>
      <c r="H226" s="125" t="s">
        <v>22</v>
      </c>
      <c r="I226" s="125" t="s">
        <v>1158</v>
      </c>
      <c r="O226" s="125" t="s">
        <v>54</v>
      </c>
    </row>
    <row r="227" ht="15.75" customHeight="1">
      <c r="B227" s="125" t="s">
        <v>224</v>
      </c>
      <c r="C227" s="125" t="s">
        <v>1181</v>
      </c>
      <c r="D227" s="125" t="s">
        <v>1351</v>
      </c>
      <c r="F227" s="125">
        <v>3.0</v>
      </c>
      <c r="H227" s="125" t="s">
        <v>22</v>
      </c>
      <c r="I227" s="125" t="s">
        <v>1102</v>
      </c>
      <c r="O227" s="125" t="s">
        <v>54</v>
      </c>
    </row>
    <row r="228" ht="15.75" customHeight="1">
      <c r="B228" s="125" t="s">
        <v>1352</v>
      </c>
      <c r="C228" s="125" t="s">
        <v>1353</v>
      </c>
      <c r="D228" s="125" t="s">
        <v>1351</v>
      </c>
      <c r="F228" s="125">
        <v>3.0</v>
      </c>
      <c r="H228" s="125" t="s">
        <v>22</v>
      </c>
      <c r="I228" s="125" t="s">
        <v>1158</v>
      </c>
      <c r="O228" s="125" t="s">
        <v>54</v>
      </c>
    </row>
    <row r="229" ht="15.75" customHeight="1">
      <c r="B229" s="125" t="s">
        <v>1354</v>
      </c>
      <c r="C229" s="125" t="s">
        <v>1355</v>
      </c>
      <c r="D229" s="125" t="s">
        <v>1356</v>
      </c>
      <c r="F229" s="125">
        <v>5.0</v>
      </c>
      <c r="H229" s="125" t="s">
        <v>22</v>
      </c>
      <c r="I229" s="125" t="s">
        <v>1102</v>
      </c>
      <c r="O229" s="125" t="s">
        <v>54</v>
      </c>
    </row>
    <row r="230" ht="15.75" customHeight="1">
      <c r="B230" s="125" t="s">
        <v>1357</v>
      </c>
      <c r="C230" s="125" t="s">
        <v>665</v>
      </c>
      <c r="D230" s="125" t="s">
        <v>887</v>
      </c>
      <c r="F230" s="125">
        <v>2.0</v>
      </c>
      <c r="H230" s="125" t="s">
        <v>22</v>
      </c>
      <c r="I230" s="125" t="s">
        <v>1102</v>
      </c>
      <c r="O230" s="125" t="s">
        <v>54</v>
      </c>
    </row>
    <row r="231" ht="15.75" customHeight="1">
      <c r="B231" s="125" t="s">
        <v>1358</v>
      </c>
      <c r="C231" s="125" t="s">
        <v>886</v>
      </c>
      <c r="D231" s="125" t="s">
        <v>887</v>
      </c>
      <c r="F231" s="125">
        <v>2.0</v>
      </c>
      <c r="H231" s="125" t="s">
        <v>22</v>
      </c>
      <c r="I231" s="125" t="s">
        <v>1102</v>
      </c>
      <c r="O231" s="125" t="s">
        <v>54</v>
      </c>
    </row>
    <row r="232" ht="15.75" customHeight="1">
      <c r="B232" s="125" t="s">
        <v>1359</v>
      </c>
      <c r="C232" s="125" t="s">
        <v>1233</v>
      </c>
      <c r="D232" s="125" t="s">
        <v>1360</v>
      </c>
      <c r="F232" s="125">
        <v>1.0</v>
      </c>
      <c r="H232" s="125" t="s">
        <v>22</v>
      </c>
      <c r="I232" s="125" t="s">
        <v>1102</v>
      </c>
      <c r="O232" s="125" t="s">
        <v>54</v>
      </c>
    </row>
    <row r="233" ht="15.75" customHeight="1">
      <c r="B233" s="125" t="s">
        <v>618</v>
      </c>
      <c r="C233" s="125" t="s">
        <v>181</v>
      </c>
      <c r="D233" s="125" t="s">
        <v>1181</v>
      </c>
      <c r="F233" s="125">
        <v>3.0</v>
      </c>
      <c r="H233" s="125" t="s">
        <v>22</v>
      </c>
      <c r="I233" s="125" t="s">
        <v>1158</v>
      </c>
      <c r="O233" s="125" t="s">
        <v>54</v>
      </c>
    </row>
    <row r="234" ht="15.75" customHeight="1">
      <c r="B234" s="125" t="s">
        <v>1209</v>
      </c>
      <c r="C234" s="125" t="s">
        <v>95</v>
      </c>
      <c r="D234" s="125" t="s">
        <v>1249</v>
      </c>
      <c r="F234" s="125">
        <v>2.0</v>
      </c>
      <c r="H234" s="125" t="s">
        <v>22</v>
      </c>
      <c r="I234" s="125" t="s">
        <v>1102</v>
      </c>
      <c r="O234" s="125" t="s">
        <v>74</v>
      </c>
    </row>
    <row r="235" ht="15.75" customHeight="1">
      <c r="B235" s="125" t="s">
        <v>1361</v>
      </c>
      <c r="C235" s="125" t="s">
        <v>1362</v>
      </c>
      <c r="D235" s="125" t="s">
        <v>1363</v>
      </c>
      <c r="F235" s="125">
        <v>2.0</v>
      </c>
      <c r="H235" s="125" t="s">
        <v>22</v>
      </c>
      <c r="I235" s="125" t="s">
        <v>1158</v>
      </c>
      <c r="O235" s="125" t="s">
        <v>54</v>
      </c>
    </row>
    <row r="236" ht="15.75" customHeight="1">
      <c r="B236" s="125" t="s">
        <v>688</v>
      </c>
      <c r="C236" s="125" t="s">
        <v>1364</v>
      </c>
      <c r="D236" s="125" t="s">
        <v>1365</v>
      </c>
      <c r="F236" s="125">
        <v>3.0</v>
      </c>
      <c r="H236" s="125" t="s">
        <v>22</v>
      </c>
      <c r="I236" s="125" t="s">
        <v>1102</v>
      </c>
      <c r="O236" s="125" t="s">
        <v>54</v>
      </c>
    </row>
    <row r="237" ht="15.75" customHeight="1">
      <c r="B237" s="125" t="s">
        <v>1366</v>
      </c>
      <c r="C237" s="125" t="s">
        <v>1367</v>
      </c>
      <c r="D237" s="125" t="s">
        <v>1237</v>
      </c>
      <c r="F237" s="125">
        <v>3.0</v>
      </c>
      <c r="H237" s="125" t="s">
        <v>22</v>
      </c>
      <c r="I237" s="125" t="s">
        <v>1102</v>
      </c>
      <c r="O237" s="125" t="s">
        <v>54</v>
      </c>
    </row>
    <row r="238" ht="15.75" customHeight="1">
      <c r="B238" s="125" t="s">
        <v>1368</v>
      </c>
      <c r="C238" s="125" t="s">
        <v>1369</v>
      </c>
      <c r="D238" s="125" t="s">
        <v>1237</v>
      </c>
      <c r="F238" s="125">
        <v>2.0</v>
      </c>
      <c r="H238" s="125" t="s">
        <v>22</v>
      </c>
      <c r="I238" s="125" t="s">
        <v>1102</v>
      </c>
      <c r="O238" s="125" t="s">
        <v>54</v>
      </c>
    </row>
    <row r="239" ht="15.75" customHeight="1">
      <c r="B239" s="125" t="s">
        <v>1370</v>
      </c>
      <c r="C239" s="125" t="s">
        <v>1371</v>
      </c>
      <c r="D239" s="125" t="s">
        <v>1372</v>
      </c>
      <c r="F239" s="125">
        <v>6.7</v>
      </c>
      <c r="H239" s="125" t="s">
        <v>22</v>
      </c>
      <c r="I239" s="125" t="s">
        <v>1102</v>
      </c>
      <c r="O239" s="125" t="s">
        <v>54</v>
      </c>
    </row>
    <row r="240" ht="15.75" customHeight="1">
      <c r="B240" s="125" t="s">
        <v>1373</v>
      </c>
      <c r="C240" s="125" t="s">
        <v>1290</v>
      </c>
      <c r="D240" s="125" t="s">
        <v>1374</v>
      </c>
      <c r="F240" s="125">
        <v>0.8</v>
      </c>
      <c r="H240" s="125" t="s">
        <v>22</v>
      </c>
      <c r="I240" s="125" t="s">
        <v>1102</v>
      </c>
      <c r="O240" s="125" t="s">
        <v>54</v>
      </c>
    </row>
    <row r="241" ht="15.75" customHeight="1">
      <c r="B241" s="125" t="s">
        <v>1375</v>
      </c>
      <c r="C241" s="125" t="s">
        <v>1376</v>
      </c>
      <c r="D241" s="125" t="s">
        <v>1374</v>
      </c>
      <c r="E241" s="125" t="s">
        <v>86</v>
      </c>
      <c r="F241" s="125">
        <v>2.0</v>
      </c>
      <c r="H241" s="125" t="s">
        <v>22</v>
      </c>
      <c r="I241" s="125" t="s">
        <v>1158</v>
      </c>
      <c r="O241" s="125" t="s">
        <v>54</v>
      </c>
    </row>
    <row r="242" ht="15.75" customHeight="1">
      <c r="B242" s="125" t="s">
        <v>1377</v>
      </c>
      <c r="C242" s="125" t="s">
        <v>1378</v>
      </c>
      <c r="D242" s="125" t="s">
        <v>114</v>
      </c>
      <c r="F242" s="125">
        <v>3.0</v>
      </c>
      <c r="H242" s="125" t="s">
        <v>25</v>
      </c>
      <c r="M242" s="125" t="s">
        <v>371</v>
      </c>
      <c r="O242" s="125" t="s">
        <v>54</v>
      </c>
    </row>
    <row r="243" ht="15.75" customHeight="1">
      <c r="B243" s="125" t="s">
        <v>1379</v>
      </c>
      <c r="C243" s="125" t="s">
        <v>1380</v>
      </c>
      <c r="D243" s="125" t="s">
        <v>1381</v>
      </c>
      <c r="F243" s="125">
        <v>1.0</v>
      </c>
      <c r="H243" s="125" t="s">
        <v>25</v>
      </c>
      <c r="K243" s="125" t="s">
        <v>53</v>
      </c>
      <c r="O243" s="125" t="s">
        <v>74</v>
      </c>
    </row>
    <row r="244" ht="15.75" customHeight="1">
      <c r="B244" s="125" t="s">
        <v>748</v>
      </c>
      <c r="C244" s="125" t="s">
        <v>1382</v>
      </c>
      <c r="D244" s="125" t="s">
        <v>1381</v>
      </c>
      <c r="F244" s="125">
        <v>0.5</v>
      </c>
      <c r="H244" s="125" t="s">
        <v>25</v>
      </c>
      <c r="K244" s="125" t="s">
        <v>53</v>
      </c>
      <c r="O244" s="125" t="s">
        <v>74</v>
      </c>
    </row>
    <row r="245" ht="15.75" customHeight="1">
      <c r="B245" s="125" t="s">
        <v>1383</v>
      </c>
      <c r="C245" s="125" t="s">
        <v>1384</v>
      </c>
      <c r="D245" s="125" t="s">
        <v>1326</v>
      </c>
      <c r="F245" s="125">
        <v>1.0</v>
      </c>
      <c r="H245" s="125" t="s">
        <v>25</v>
      </c>
      <c r="K245" s="125" t="s">
        <v>53</v>
      </c>
      <c r="O245" s="125" t="s">
        <v>74</v>
      </c>
    </row>
    <row r="246" ht="15.75" customHeight="1">
      <c r="B246" s="125" t="s">
        <v>1385</v>
      </c>
      <c r="C246" s="125" t="s">
        <v>1386</v>
      </c>
      <c r="D246" s="125" t="s">
        <v>1387</v>
      </c>
      <c r="F246" s="125">
        <v>1.0</v>
      </c>
      <c r="H246" s="125" t="s">
        <v>25</v>
      </c>
      <c r="K246" s="125" t="s">
        <v>172</v>
      </c>
      <c r="O246" s="125" t="s">
        <v>54</v>
      </c>
    </row>
    <row r="247" ht="15.75" customHeight="1">
      <c r="B247" s="125" t="s">
        <v>1388</v>
      </c>
      <c r="C247" s="125" t="s">
        <v>1389</v>
      </c>
      <c r="D247" s="125" t="s">
        <v>302</v>
      </c>
      <c r="F247" s="125">
        <v>0.7</v>
      </c>
      <c r="H247" s="125" t="s">
        <v>25</v>
      </c>
      <c r="K247" s="125" t="s">
        <v>168</v>
      </c>
      <c r="O247" s="125" t="s">
        <v>54</v>
      </c>
    </row>
    <row r="248" ht="15.75" customHeight="1">
      <c r="B248" s="125" t="s">
        <v>161</v>
      </c>
      <c r="C248" s="125" t="s">
        <v>139</v>
      </c>
      <c r="D248" s="125" t="s">
        <v>1148</v>
      </c>
      <c r="F248" s="125">
        <v>1.5</v>
      </c>
      <c r="H248" s="125" t="s">
        <v>25</v>
      </c>
      <c r="M248" s="125" t="s">
        <v>133</v>
      </c>
      <c r="O248" s="125" t="s">
        <v>74</v>
      </c>
    </row>
    <row r="249" ht="15.75" customHeight="1">
      <c r="B249" s="125" t="s">
        <v>1390</v>
      </c>
      <c r="C249" s="125" t="s">
        <v>1391</v>
      </c>
      <c r="D249" s="125" t="s">
        <v>1392</v>
      </c>
      <c r="F249" s="125">
        <v>3.0</v>
      </c>
      <c r="H249" s="125" t="s">
        <v>25</v>
      </c>
      <c r="K249" s="125" t="s">
        <v>155</v>
      </c>
      <c r="O249" s="125" t="s">
        <v>74</v>
      </c>
    </row>
    <row r="250" ht="15.75" customHeight="1">
      <c r="B250" s="125" t="s">
        <v>1393</v>
      </c>
      <c r="C250" s="125" t="s">
        <v>1394</v>
      </c>
      <c r="D250" s="125" t="s">
        <v>1395</v>
      </c>
      <c r="F250" s="125">
        <v>1.0</v>
      </c>
      <c r="H250" s="125" t="s">
        <v>25</v>
      </c>
      <c r="K250" s="125" t="s">
        <v>53</v>
      </c>
      <c r="O250" s="125" t="s">
        <v>74</v>
      </c>
    </row>
    <row r="251" ht="15.75" customHeight="1">
      <c r="B251" s="125" t="s">
        <v>1396</v>
      </c>
      <c r="C251" s="125" t="s">
        <v>1397</v>
      </c>
      <c r="D251" s="125" t="s">
        <v>1398</v>
      </c>
      <c r="F251" s="125">
        <v>4.2</v>
      </c>
      <c r="H251" s="125" t="s">
        <v>25</v>
      </c>
      <c r="K251" s="125" t="s">
        <v>53</v>
      </c>
      <c r="O251" s="125" t="s">
        <v>54</v>
      </c>
    </row>
    <row r="252" ht="15.75" customHeight="1">
      <c r="B252" s="125" t="s">
        <v>1399</v>
      </c>
      <c r="C252" s="125" t="s">
        <v>514</v>
      </c>
      <c r="D252" s="125" t="s">
        <v>624</v>
      </c>
      <c r="F252" s="125">
        <v>1.8</v>
      </c>
      <c r="H252" s="125" t="s">
        <v>25</v>
      </c>
      <c r="M252" s="125" t="s">
        <v>129</v>
      </c>
      <c r="O252" s="125" t="s">
        <v>74</v>
      </c>
    </row>
    <row r="253" ht="15.75" customHeight="1">
      <c r="B253" s="125" t="s">
        <v>1400</v>
      </c>
      <c r="D253" s="125" t="s">
        <v>1401</v>
      </c>
      <c r="F253" s="125">
        <v>1.4</v>
      </c>
      <c r="H253" s="125" t="s">
        <v>25</v>
      </c>
      <c r="K253" s="125" t="s">
        <v>53</v>
      </c>
      <c r="O253" s="125" t="s">
        <v>74</v>
      </c>
    </row>
    <row r="254" ht="15.75" customHeight="1">
      <c r="B254" s="125" t="s">
        <v>1402</v>
      </c>
      <c r="C254" s="125" t="s">
        <v>614</v>
      </c>
      <c r="D254" s="125" t="s">
        <v>1403</v>
      </c>
      <c r="F254" s="125">
        <v>1.5</v>
      </c>
      <c r="H254" s="125" t="s">
        <v>25</v>
      </c>
      <c r="M254" s="125">
        <v>438.0</v>
      </c>
      <c r="O254" s="125" t="s">
        <v>74</v>
      </c>
    </row>
    <row r="255" ht="15.75" customHeight="1">
      <c r="B255" s="125" t="s">
        <v>1404</v>
      </c>
      <c r="C255" s="125" t="s">
        <v>1405</v>
      </c>
      <c r="D255" s="125" t="s">
        <v>1406</v>
      </c>
      <c r="F255" s="125">
        <v>1.253</v>
      </c>
      <c r="H255" s="125" t="s">
        <v>25</v>
      </c>
      <c r="K255" s="125" t="s">
        <v>172</v>
      </c>
      <c r="O255" s="125" t="s">
        <v>54</v>
      </c>
    </row>
    <row r="256" ht="15.75" customHeight="1">
      <c r="B256" s="125" t="s">
        <v>1407</v>
      </c>
      <c r="C256" s="125" t="s">
        <v>1408</v>
      </c>
      <c r="D256" s="125" t="s">
        <v>312</v>
      </c>
      <c r="F256" s="125">
        <v>1.0</v>
      </c>
      <c r="H256" s="125" t="s">
        <v>25</v>
      </c>
      <c r="K256" s="125" t="s">
        <v>168</v>
      </c>
      <c r="O256" s="125" t="s">
        <v>54</v>
      </c>
    </row>
    <row r="257" ht="15.75" customHeight="1">
      <c r="B257" s="125" t="s">
        <v>1409</v>
      </c>
      <c r="C257" s="125" t="s">
        <v>1410</v>
      </c>
      <c r="D257" s="125" t="s">
        <v>312</v>
      </c>
      <c r="F257" s="125">
        <v>2.6</v>
      </c>
      <c r="H257" s="125" t="s">
        <v>25</v>
      </c>
      <c r="K257" s="125" t="s">
        <v>53</v>
      </c>
      <c r="O257" s="125" t="s">
        <v>54</v>
      </c>
    </row>
    <row r="258" ht="15.75" customHeight="1">
      <c r="B258" s="125" t="s">
        <v>660</v>
      </c>
      <c r="C258" s="125" t="s">
        <v>1002</v>
      </c>
      <c r="D258" s="125" t="s">
        <v>1411</v>
      </c>
      <c r="F258" s="125">
        <v>1.0</v>
      </c>
      <c r="H258" s="125" t="s">
        <v>25</v>
      </c>
      <c r="K258" s="125" t="s">
        <v>172</v>
      </c>
      <c r="O258" s="125" t="s">
        <v>54</v>
      </c>
    </row>
    <row r="259" ht="15.75" customHeight="1">
      <c r="B259" s="125" t="s">
        <v>1213</v>
      </c>
      <c r="C259" s="125" t="s">
        <v>1412</v>
      </c>
      <c r="D259" s="125" t="s">
        <v>1413</v>
      </c>
      <c r="F259" s="125">
        <v>1.7</v>
      </c>
      <c r="H259" s="125" t="s">
        <v>25</v>
      </c>
      <c r="M259" s="125" t="s">
        <v>371</v>
      </c>
      <c r="O259" s="125" t="s">
        <v>74</v>
      </c>
    </row>
    <row r="260" ht="15.75" customHeight="1">
      <c r="B260" s="125" t="s">
        <v>1205</v>
      </c>
      <c r="C260" s="125" t="s">
        <v>1414</v>
      </c>
      <c r="D260" s="125" t="s">
        <v>1413</v>
      </c>
      <c r="F260" s="125">
        <v>1.0</v>
      </c>
      <c r="H260" s="125" t="s">
        <v>25</v>
      </c>
      <c r="M260" s="125" t="s">
        <v>371</v>
      </c>
      <c r="O260" s="125" t="s">
        <v>74</v>
      </c>
    </row>
    <row r="261" ht="15.75" customHeight="1">
      <c r="B261" s="125" t="s">
        <v>105</v>
      </c>
      <c r="C261" s="125" t="s">
        <v>1415</v>
      </c>
      <c r="D261" s="125" t="s">
        <v>1416</v>
      </c>
      <c r="F261" s="125">
        <v>4.0</v>
      </c>
      <c r="H261" s="125" t="s">
        <v>25</v>
      </c>
      <c r="K261" s="125" t="s">
        <v>155</v>
      </c>
      <c r="O261" s="125" t="s">
        <v>54</v>
      </c>
    </row>
    <row r="262" ht="15.75" customHeight="1">
      <c r="B262" s="125" t="s">
        <v>1417</v>
      </c>
      <c r="C262" s="125" t="s">
        <v>1412</v>
      </c>
      <c r="D262" s="125" t="s">
        <v>459</v>
      </c>
      <c r="F262" s="125">
        <v>0.9</v>
      </c>
      <c r="H262" s="125" t="s">
        <v>25</v>
      </c>
      <c r="M262" s="125" t="s">
        <v>371</v>
      </c>
      <c r="O262" s="125" t="s">
        <v>74</v>
      </c>
    </row>
    <row r="263" ht="15.75" customHeight="1">
      <c r="B263" s="125" t="s">
        <v>1418</v>
      </c>
      <c r="C263" s="125" t="s">
        <v>1419</v>
      </c>
      <c r="D263" s="125" t="s">
        <v>673</v>
      </c>
      <c r="F263" s="125">
        <v>1.5</v>
      </c>
      <c r="H263" s="125" t="s">
        <v>25</v>
      </c>
      <c r="M263" s="125" t="s">
        <v>526</v>
      </c>
      <c r="O263" s="125" t="s">
        <v>54</v>
      </c>
    </row>
    <row r="264" ht="15.75" customHeight="1">
      <c r="B264" s="125" t="s">
        <v>1420</v>
      </c>
      <c r="C264" s="125" t="s">
        <v>703</v>
      </c>
      <c r="D264" s="125" t="s">
        <v>1421</v>
      </c>
      <c r="F264" s="125">
        <v>1.2</v>
      </c>
      <c r="H264" s="125" t="s">
        <v>25</v>
      </c>
      <c r="M264" s="125" t="s">
        <v>371</v>
      </c>
      <c r="O264" s="125" t="s">
        <v>74</v>
      </c>
    </row>
    <row r="265" ht="15.75" customHeight="1">
      <c r="B265" s="125" t="s">
        <v>1065</v>
      </c>
      <c r="C265" s="125" t="s">
        <v>1422</v>
      </c>
      <c r="D265" s="125" t="s">
        <v>1423</v>
      </c>
      <c r="F265" s="125">
        <v>1.0</v>
      </c>
      <c r="H265" s="125" t="s">
        <v>25</v>
      </c>
      <c r="K265" s="125" t="s">
        <v>53</v>
      </c>
      <c r="O265" s="125" t="s">
        <v>74</v>
      </c>
    </row>
    <row r="266" ht="15.75" customHeight="1">
      <c r="B266" s="125" t="s">
        <v>1168</v>
      </c>
      <c r="C266" s="125" t="s">
        <v>576</v>
      </c>
      <c r="D266" s="125" t="s">
        <v>680</v>
      </c>
      <c r="F266" s="125">
        <v>1.0</v>
      </c>
      <c r="H266" s="125" t="s">
        <v>25</v>
      </c>
      <c r="K266" s="125" t="s">
        <v>53</v>
      </c>
      <c r="O266" s="125" t="s">
        <v>74</v>
      </c>
    </row>
    <row r="267" ht="15.75" customHeight="1">
      <c r="B267" s="125" t="s">
        <v>1424</v>
      </c>
      <c r="D267" s="125" t="s">
        <v>1425</v>
      </c>
      <c r="F267" s="125">
        <v>0.7</v>
      </c>
      <c r="H267" s="125" t="s">
        <v>25</v>
      </c>
      <c r="M267" s="125" t="s">
        <v>129</v>
      </c>
      <c r="O267" s="125" t="s">
        <v>54</v>
      </c>
    </row>
    <row r="268" ht="15.75" customHeight="1">
      <c r="B268" s="125" t="s">
        <v>1426</v>
      </c>
      <c r="C268" s="125" t="s">
        <v>644</v>
      </c>
      <c r="D268" s="125" t="s">
        <v>1425</v>
      </c>
      <c r="F268" s="125">
        <v>5.0</v>
      </c>
      <c r="H268" s="125" t="s">
        <v>25</v>
      </c>
      <c r="K268" s="125" t="s">
        <v>53</v>
      </c>
      <c r="O268" s="125" t="s">
        <v>54</v>
      </c>
    </row>
    <row r="269" ht="15.75" customHeight="1">
      <c r="B269" s="125" t="s">
        <v>1155</v>
      </c>
      <c r="C269" s="125" t="s">
        <v>1427</v>
      </c>
      <c r="D269" s="125" t="s">
        <v>1428</v>
      </c>
      <c r="F269" s="125">
        <v>0.9</v>
      </c>
      <c r="H269" s="125" t="s">
        <v>25</v>
      </c>
      <c r="M269" s="125" t="s">
        <v>371</v>
      </c>
      <c r="O269" s="125" t="s">
        <v>74</v>
      </c>
    </row>
    <row r="270" ht="15.75" customHeight="1">
      <c r="B270" s="125" t="s">
        <v>1429</v>
      </c>
      <c r="C270" s="125" t="s">
        <v>1430</v>
      </c>
      <c r="D270" s="125" t="s">
        <v>1431</v>
      </c>
      <c r="F270" s="125">
        <v>1.3</v>
      </c>
      <c r="H270" s="125" t="s">
        <v>27</v>
      </c>
      <c r="K270" s="125" t="s">
        <v>172</v>
      </c>
      <c r="O270" s="125" t="s">
        <v>54</v>
      </c>
    </row>
    <row r="271" ht="15.75" customHeight="1">
      <c r="B271" s="125" t="s">
        <v>368</v>
      </c>
      <c r="C271" s="125" t="s">
        <v>787</v>
      </c>
      <c r="D271" s="125" t="s">
        <v>788</v>
      </c>
      <c r="F271" s="125">
        <v>1.3</v>
      </c>
      <c r="H271" s="125" t="s">
        <v>27</v>
      </c>
      <c r="K271" s="125" t="s">
        <v>172</v>
      </c>
      <c r="O271" s="125" t="s">
        <v>74</v>
      </c>
    </row>
    <row r="272" ht="15.75" customHeight="1">
      <c r="B272" s="125" t="s">
        <v>527</v>
      </c>
      <c r="C272" s="125" t="s">
        <v>1432</v>
      </c>
      <c r="D272" s="125" t="s">
        <v>1433</v>
      </c>
      <c r="F272" s="125">
        <v>2.0</v>
      </c>
      <c r="H272" s="125" t="s">
        <v>27</v>
      </c>
      <c r="K272" s="125" t="s">
        <v>172</v>
      </c>
      <c r="O272" s="125" t="s">
        <v>54</v>
      </c>
    </row>
    <row r="273" ht="15.75" customHeight="1">
      <c r="B273" s="125" t="s">
        <v>1434</v>
      </c>
      <c r="C273" s="125" t="s">
        <v>863</v>
      </c>
      <c r="D273" s="125" t="s">
        <v>864</v>
      </c>
      <c r="F273" s="125">
        <v>1.2</v>
      </c>
      <c r="H273" s="125" t="s">
        <v>27</v>
      </c>
      <c r="M273" s="125" t="s">
        <v>1435</v>
      </c>
      <c r="O273" s="125" t="s">
        <v>54</v>
      </c>
    </row>
    <row r="274" ht="15.75" customHeight="1">
      <c r="B274" s="125" t="s">
        <v>1436</v>
      </c>
      <c r="C274" s="125" t="s">
        <v>1437</v>
      </c>
      <c r="D274" s="125" t="s">
        <v>1438</v>
      </c>
      <c r="F274" s="125">
        <v>3.0</v>
      </c>
      <c r="H274" s="125" t="s">
        <v>27</v>
      </c>
      <c r="K274" s="125" t="s">
        <v>172</v>
      </c>
      <c r="O274" s="125" t="s">
        <v>54</v>
      </c>
    </row>
    <row r="275" ht="15.75" customHeight="1">
      <c r="B275" s="125" t="s">
        <v>1439</v>
      </c>
      <c r="C275" s="125" t="s">
        <v>845</v>
      </c>
      <c r="D275" s="125" t="s">
        <v>798</v>
      </c>
      <c r="F275" s="125">
        <v>2.5</v>
      </c>
      <c r="H275" s="125" t="s">
        <v>27</v>
      </c>
      <c r="K275" s="125" t="s">
        <v>53</v>
      </c>
      <c r="O275" s="125" t="s">
        <v>54</v>
      </c>
    </row>
    <row r="276" ht="15.75" customHeight="1">
      <c r="B276" s="125" t="s">
        <v>1440</v>
      </c>
      <c r="C276" s="125" t="s">
        <v>878</v>
      </c>
      <c r="D276" s="125" t="s">
        <v>1441</v>
      </c>
      <c r="F276" s="125">
        <v>1.0</v>
      </c>
      <c r="H276" s="125" t="s">
        <v>27</v>
      </c>
      <c r="I276" s="125" t="s">
        <v>992</v>
      </c>
      <c r="O276" s="125" t="s">
        <v>54</v>
      </c>
    </row>
    <row r="277" ht="15.75" customHeight="1">
      <c r="B277" s="125" t="s">
        <v>1442</v>
      </c>
      <c r="C277" s="125" t="s">
        <v>1443</v>
      </c>
      <c r="D277" s="125" t="s">
        <v>1444</v>
      </c>
      <c r="F277" s="125">
        <v>1.8</v>
      </c>
      <c r="H277" s="125" t="s">
        <v>27</v>
      </c>
      <c r="I277" s="125" t="s">
        <v>1102</v>
      </c>
      <c r="O277" s="125" t="s">
        <v>54</v>
      </c>
    </row>
    <row r="278" ht="15.75" customHeight="1">
      <c r="B278" s="125" t="s">
        <v>284</v>
      </c>
      <c r="C278" s="125" t="s">
        <v>582</v>
      </c>
      <c r="D278" s="125" t="s">
        <v>1445</v>
      </c>
      <c r="F278" s="125">
        <v>4.0</v>
      </c>
      <c r="H278" s="125" t="s">
        <v>28</v>
      </c>
      <c r="K278" s="125" t="s">
        <v>210</v>
      </c>
      <c r="O278" s="125" t="s">
        <v>54</v>
      </c>
    </row>
    <row r="279" ht="15.75" customHeight="1">
      <c r="B279" s="125" t="s">
        <v>1446</v>
      </c>
      <c r="C279" s="125" t="s">
        <v>1447</v>
      </c>
      <c r="D279" s="125" t="s">
        <v>1448</v>
      </c>
      <c r="F279" s="125">
        <v>4.0</v>
      </c>
      <c r="H279" s="125" t="s">
        <v>28</v>
      </c>
      <c r="K279" s="125" t="s">
        <v>1151</v>
      </c>
      <c r="O279" s="125" t="s">
        <v>54</v>
      </c>
    </row>
    <row r="280" ht="15.75" customHeight="1">
      <c r="B280" s="125" t="s">
        <v>1449</v>
      </c>
      <c r="C280" s="125" t="s">
        <v>866</v>
      </c>
      <c r="D280" s="125" t="s">
        <v>1450</v>
      </c>
      <c r="F280" s="125">
        <v>1.0</v>
      </c>
      <c r="H280" s="125" t="s">
        <v>28</v>
      </c>
      <c r="K280" s="125" t="s">
        <v>1151</v>
      </c>
      <c r="O280" s="125" t="s">
        <v>54</v>
      </c>
    </row>
    <row r="281" ht="15.75" customHeight="1">
      <c r="B281" s="125" t="s">
        <v>1451</v>
      </c>
      <c r="C281" s="125" t="s">
        <v>1452</v>
      </c>
      <c r="D281" s="125" t="s">
        <v>1450</v>
      </c>
      <c r="F281" s="125">
        <v>1.0</v>
      </c>
      <c r="H281" s="125" t="s">
        <v>28</v>
      </c>
      <c r="K281" s="125" t="s">
        <v>1151</v>
      </c>
      <c r="O281" s="125" t="s">
        <v>54</v>
      </c>
    </row>
    <row r="282" ht="15.75" customHeight="1">
      <c r="B282" s="125" t="s">
        <v>1453</v>
      </c>
      <c r="C282" s="125" t="s">
        <v>866</v>
      </c>
      <c r="D282" s="125" t="s">
        <v>1454</v>
      </c>
      <c r="F282" s="125">
        <v>1.0</v>
      </c>
      <c r="H282" s="125" t="s">
        <v>28</v>
      </c>
      <c r="K282" s="125" t="s">
        <v>1151</v>
      </c>
      <c r="O282" s="125" t="s">
        <v>54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C$282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1455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272</v>
      </c>
      <c r="C11" s="50">
        <f t="shared" si="1"/>
        <v>115</v>
      </c>
      <c r="D11" s="51">
        <f t="shared" si="1"/>
        <v>0</v>
      </c>
      <c r="E11" s="51">
        <f t="shared" si="1"/>
        <v>296.7</v>
      </c>
      <c r="F11" s="51">
        <f t="shared" si="1"/>
        <v>0</v>
      </c>
      <c r="G11" s="51">
        <f t="shared" si="1"/>
        <v>23.1</v>
      </c>
      <c r="H11" s="52">
        <f t="shared" si="1"/>
        <v>0</v>
      </c>
      <c r="I11" s="53">
        <f t="shared" si="1"/>
        <v>80.4</v>
      </c>
      <c r="J11" s="51">
        <f t="shared" si="1"/>
        <v>0</v>
      </c>
      <c r="K11" s="51">
        <f t="shared" si="1"/>
        <v>222.1</v>
      </c>
      <c r="L11" s="51">
        <f t="shared" si="1"/>
        <v>0</v>
      </c>
      <c r="M11" s="54">
        <f t="shared" si="1"/>
        <v>18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320.5</v>
      </c>
      <c r="R11" s="50">
        <f t="shared" si="1"/>
        <v>195.4</v>
      </c>
      <c r="S11" s="51">
        <f t="shared" si="1"/>
        <v>0</v>
      </c>
      <c r="T11" s="51">
        <f t="shared" si="1"/>
        <v>518.8</v>
      </c>
      <c r="U11" s="51">
        <f t="shared" si="1"/>
        <v>0</v>
      </c>
      <c r="V11" s="51">
        <f t="shared" si="1"/>
        <v>41.1</v>
      </c>
      <c r="W11" s="52">
        <f t="shared" si="1"/>
        <v>755.3</v>
      </c>
      <c r="X11" s="56"/>
      <c r="Y11" s="57"/>
      <c r="Z11" s="57"/>
    </row>
    <row r="12" ht="14.25" customHeight="1">
      <c r="A12" s="58" t="s">
        <v>20</v>
      </c>
      <c r="B12" s="79">
        <v>11.0</v>
      </c>
      <c r="C12" s="88">
        <v>2.0</v>
      </c>
      <c r="D12" s="80"/>
      <c r="E12" s="85">
        <v>5.0</v>
      </c>
      <c r="F12" s="80"/>
      <c r="G12" s="85">
        <v>2.0</v>
      </c>
      <c r="H12" s="59"/>
      <c r="I12" s="87">
        <v>3.0</v>
      </c>
      <c r="J12" s="80"/>
      <c r="K12" s="85">
        <v>5.0</v>
      </c>
      <c r="L12" s="80"/>
      <c r="M12" s="86">
        <v>2.0</v>
      </c>
      <c r="N12" s="62"/>
      <c r="O12" s="80"/>
      <c r="P12" s="59"/>
      <c r="Q12" s="61">
        <f t="shared" ref="Q12:Q22" si="4">SUM(I12:P12)</f>
        <v>10</v>
      </c>
      <c r="R12" s="62">
        <f t="shared" ref="R12:S12" si="2">C12+I12</f>
        <v>5</v>
      </c>
      <c r="S12" s="80">
        <f t="shared" si="2"/>
        <v>0</v>
      </c>
      <c r="T12" s="80">
        <f t="shared" ref="T12:V12" si="3">E12+K12+N12</f>
        <v>10</v>
      </c>
      <c r="U12" s="80">
        <f t="shared" si="3"/>
        <v>0</v>
      </c>
      <c r="V12" s="80">
        <f t="shared" si="3"/>
        <v>4</v>
      </c>
      <c r="W12" s="59">
        <f t="shared" ref="W12:W22" si="7">SUM(R12:V12)</f>
        <v>19</v>
      </c>
      <c r="X12" s="64"/>
    </row>
    <row r="13" ht="14.25" customHeight="1">
      <c r="A13" s="58" t="s">
        <v>21</v>
      </c>
      <c r="B13" s="79">
        <v>20.0</v>
      </c>
      <c r="C13" s="88">
        <v>10.5</v>
      </c>
      <c r="D13" s="80"/>
      <c r="E13" s="85">
        <v>24.9</v>
      </c>
      <c r="F13" s="80"/>
      <c r="G13" s="85">
        <v>10.3</v>
      </c>
      <c r="H13" s="59"/>
      <c r="I13" s="87">
        <v>0.0</v>
      </c>
      <c r="J13" s="80"/>
      <c r="K13" s="85">
        <v>0.0</v>
      </c>
      <c r="L13" s="80"/>
      <c r="M13" s="86">
        <v>0.0</v>
      </c>
      <c r="N13" s="62"/>
      <c r="O13" s="80"/>
      <c r="P13" s="59"/>
      <c r="Q13" s="61">
        <f t="shared" si="4"/>
        <v>0</v>
      </c>
      <c r="R13" s="62">
        <f t="shared" ref="R13:S13" si="5">C13+I13</f>
        <v>10.5</v>
      </c>
      <c r="S13" s="80">
        <f t="shared" si="5"/>
        <v>0</v>
      </c>
      <c r="T13" s="80">
        <f t="shared" ref="T13:V13" si="6">E13+K13+N13</f>
        <v>24.9</v>
      </c>
      <c r="U13" s="80">
        <f t="shared" si="6"/>
        <v>0</v>
      </c>
      <c r="V13" s="80">
        <f t="shared" si="6"/>
        <v>10.3</v>
      </c>
      <c r="W13" s="59">
        <f t="shared" si="7"/>
        <v>45.7</v>
      </c>
      <c r="X13" s="64"/>
    </row>
    <row r="14" ht="14.25" customHeight="1">
      <c r="A14" s="58" t="s">
        <v>22</v>
      </c>
      <c r="B14" s="79">
        <v>43.0</v>
      </c>
      <c r="C14" s="88">
        <v>28.8</v>
      </c>
      <c r="D14" s="80"/>
      <c r="E14" s="85">
        <v>67.4</v>
      </c>
      <c r="F14" s="80"/>
      <c r="G14" s="80"/>
      <c r="H14" s="59"/>
      <c r="I14" s="87">
        <v>12.0</v>
      </c>
      <c r="J14" s="80"/>
      <c r="K14" s="85">
        <v>22.6</v>
      </c>
      <c r="L14" s="80"/>
      <c r="M14" s="83"/>
      <c r="N14" s="62"/>
      <c r="O14" s="80"/>
      <c r="P14" s="59"/>
      <c r="Q14" s="61">
        <f t="shared" si="4"/>
        <v>34.6</v>
      </c>
      <c r="R14" s="62">
        <f t="shared" ref="R14:S14" si="8">C14+I14</f>
        <v>40.8</v>
      </c>
      <c r="S14" s="80">
        <f t="shared" si="8"/>
        <v>0</v>
      </c>
      <c r="T14" s="80">
        <f t="shared" ref="T14:V14" si="9">E14+K14+N14</f>
        <v>90</v>
      </c>
      <c r="U14" s="80">
        <f t="shared" si="9"/>
        <v>0</v>
      </c>
      <c r="V14" s="80">
        <f t="shared" si="9"/>
        <v>0</v>
      </c>
      <c r="W14" s="59">
        <f t="shared" si="7"/>
        <v>130.8</v>
      </c>
      <c r="X14" s="64"/>
    </row>
    <row r="15" ht="14.25" customHeight="1">
      <c r="A15" s="58" t="s">
        <v>23</v>
      </c>
      <c r="B15" s="79">
        <v>54.0</v>
      </c>
      <c r="C15" s="88">
        <v>3.0</v>
      </c>
      <c r="D15" s="80"/>
      <c r="E15" s="85">
        <v>24.5</v>
      </c>
      <c r="F15" s="80"/>
      <c r="G15" s="85">
        <v>2.8</v>
      </c>
      <c r="H15" s="59"/>
      <c r="I15" s="87">
        <v>13.4</v>
      </c>
      <c r="J15" s="80"/>
      <c r="K15" s="85">
        <v>101.3</v>
      </c>
      <c r="L15" s="80"/>
      <c r="M15" s="86">
        <v>16.0</v>
      </c>
      <c r="N15" s="62"/>
      <c r="O15" s="80"/>
      <c r="P15" s="59"/>
      <c r="Q15" s="61">
        <f t="shared" si="4"/>
        <v>130.7</v>
      </c>
      <c r="R15" s="62">
        <f t="shared" ref="R15:S15" si="10">C15+I15</f>
        <v>16.4</v>
      </c>
      <c r="S15" s="80">
        <f t="shared" si="10"/>
        <v>0</v>
      </c>
      <c r="T15" s="80">
        <f t="shared" ref="T15:V15" si="11">E15+K15+N15</f>
        <v>125.8</v>
      </c>
      <c r="U15" s="80">
        <f t="shared" si="11"/>
        <v>0</v>
      </c>
      <c r="V15" s="80">
        <f t="shared" si="11"/>
        <v>18.8</v>
      </c>
      <c r="W15" s="59">
        <f t="shared" si="7"/>
        <v>161</v>
      </c>
      <c r="X15" s="64"/>
    </row>
    <row r="16" ht="14.25" customHeight="1">
      <c r="A16" s="58" t="s">
        <v>24</v>
      </c>
      <c r="B16" s="79">
        <v>11.0</v>
      </c>
      <c r="C16" s="88">
        <v>7.0</v>
      </c>
      <c r="D16" s="80"/>
      <c r="E16" s="85">
        <v>8.5</v>
      </c>
      <c r="F16" s="80"/>
      <c r="G16" s="85">
        <v>6.0</v>
      </c>
      <c r="H16" s="59"/>
      <c r="I16" s="60"/>
      <c r="J16" s="80"/>
      <c r="K16" s="85">
        <v>9.0</v>
      </c>
      <c r="L16" s="80"/>
      <c r="M16" s="83"/>
      <c r="N16" s="62"/>
      <c r="O16" s="80"/>
      <c r="P16" s="59"/>
      <c r="Q16" s="61">
        <f t="shared" si="4"/>
        <v>9</v>
      </c>
      <c r="R16" s="62">
        <f t="shared" ref="R16:S16" si="12">C16+I16</f>
        <v>7</v>
      </c>
      <c r="S16" s="80">
        <f t="shared" si="12"/>
        <v>0</v>
      </c>
      <c r="T16" s="80">
        <f t="shared" ref="T16:V16" si="13">E16+K16+N16</f>
        <v>17.5</v>
      </c>
      <c r="U16" s="80">
        <f t="shared" si="13"/>
        <v>0</v>
      </c>
      <c r="V16" s="80">
        <f t="shared" si="13"/>
        <v>6</v>
      </c>
      <c r="W16" s="59">
        <f t="shared" si="7"/>
        <v>30.5</v>
      </c>
      <c r="X16" s="64"/>
    </row>
    <row r="17" ht="14.25" customHeight="1">
      <c r="A17" s="58" t="s">
        <v>25</v>
      </c>
      <c r="B17" s="79">
        <v>24.0</v>
      </c>
      <c r="C17" s="88">
        <v>10.3</v>
      </c>
      <c r="D17" s="80"/>
      <c r="E17" s="85">
        <v>34.5</v>
      </c>
      <c r="F17" s="80"/>
      <c r="G17" s="85">
        <v>2.0</v>
      </c>
      <c r="H17" s="59"/>
      <c r="I17" s="87">
        <v>14.0</v>
      </c>
      <c r="J17" s="80"/>
      <c r="K17" s="85">
        <v>6.0</v>
      </c>
      <c r="L17" s="80"/>
      <c r="M17" s="83"/>
      <c r="N17" s="62"/>
      <c r="O17" s="80"/>
      <c r="P17" s="59"/>
      <c r="Q17" s="61">
        <f t="shared" si="4"/>
        <v>20</v>
      </c>
      <c r="R17" s="62">
        <f t="shared" ref="R17:S17" si="14">C17+I17</f>
        <v>24.3</v>
      </c>
      <c r="S17" s="80">
        <f t="shared" si="14"/>
        <v>0</v>
      </c>
      <c r="T17" s="80">
        <f t="shared" ref="T17:V17" si="15">E17+K17+N17</f>
        <v>40.5</v>
      </c>
      <c r="U17" s="80">
        <f t="shared" si="15"/>
        <v>0</v>
      </c>
      <c r="V17" s="80">
        <f t="shared" si="15"/>
        <v>2</v>
      </c>
      <c r="W17" s="59">
        <f t="shared" si="7"/>
        <v>66.8</v>
      </c>
      <c r="X17" s="64"/>
    </row>
    <row r="18" ht="14.25" customHeight="1">
      <c r="A18" s="58" t="s">
        <v>26</v>
      </c>
      <c r="B18" s="79">
        <v>0.0</v>
      </c>
      <c r="C18" s="88">
        <v>0.0</v>
      </c>
      <c r="D18" s="80"/>
      <c r="E18" s="85">
        <v>0.0</v>
      </c>
      <c r="F18" s="80"/>
      <c r="G18" s="85">
        <v>0.0</v>
      </c>
      <c r="H18" s="59"/>
      <c r="I18" s="87">
        <v>0.0</v>
      </c>
      <c r="J18" s="80"/>
      <c r="K18" s="85">
        <v>0.0</v>
      </c>
      <c r="L18" s="80"/>
      <c r="M18" s="86">
        <v>0.0</v>
      </c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20.0</v>
      </c>
      <c r="C19" s="88">
        <v>13.0</v>
      </c>
      <c r="D19" s="80"/>
      <c r="E19" s="85">
        <v>24.0</v>
      </c>
      <c r="F19" s="80"/>
      <c r="G19" s="80"/>
      <c r="H19" s="59"/>
      <c r="I19" s="87">
        <v>10.0</v>
      </c>
      <c r="J19" s="80"/>
      <c r="K19" s="85">
        <v>11.0</v>
      </c>
      <c r="L19" s="80"/>
      <c r="M19" s="83"/>
      <c r="N19" s="62"/>
      <c r="O19" s="80"/>
      <c r="P19" s="59"/>
      <c r="Q19" s="61">
        <f t="shared" si="4"/>
        <v>21</v>
      </c>
      <c r="R19" s="62">
        <f t="shared" ref="R19:S19" si="18">C19+I19</f>
        <v>23</v>
      </c>
      <c r="S19" s="80">
        <f t="shared" si="18"/>
        <v>0</v>
      </c>
      <c r="T19" s="80">
        <f t="shared" ref="T19:V19" si="19">E19+K19+N19</f>
        <v>35</v>
      </c>
      <c r="U19" s="80">
        <f t="shared" si="19"/>
        <v>0</v>
      </c>
      <c r="V19" s="80">
        <f t="shared" si="19"/>
        <v>0</v>
      </c>
      <c r="W19" s="59">
        <f t="shared" si="7"/>
        <v>58</v>
      </c>
      <c r="X19" s="64"/>
    </row>
    <row r="20" ht="14.25" customHeight="1">
      <c r="A20" s="58" t="s">
        <v>28</v>
      </c>
      <c r="B20" s="79">
        <v>42.0</v>
      </c>
      <c r="C20" s="88">
        <v>36.4</v>
      </c>
      <c r="D20" s="80"/>
      <c r="E20" s="85">
        <v>91.9</v>
      </c>
      <c r="F20" s="80"/>
      <c r="G20" s="80"/>
      <c r="H20" s="59"/>
      <c r="I20" s="87">
        <v>4.0</v>
      </c>
      <c r="J20" s="80"/>
      <c r="K20" s="85">
        <v>5.7</v>
      </c>
      <c r="L20" s="80"/>
      <c r="M20" s="83"/>
      <c r="N20" s="62"/>
      <c r="O20" s="80"/>
      <c r="P20" s="59"/>
      <c r="Q20" s="61">
        <f t="shared" si="4"/>
        <v>9.7</v>
      </c>
      <c r="R20" s="62">
        <f t="shared" ref="R20:S20" si="20">C20+I20</f>
        <v>40.4</v>
      </c>
      <c r="S20" s="80">
        <f t="shared" si="20"/>
        <v>0</v>
      </c>
      <c r="T20" s="80">
        <f t="shared" ref="T20:V20" si="21">E20+K20+N20</f>
        <v>97.6</v>
      </c>
      <c r="U20" s="80">
        <f t="shared" si="21"/>
        <v>0</v>
      </c>
      <c r="V20" s="80">
        <f t="shared" si="21"/>
        <v>0</v>
      </c>
      <c r="W20" s="59">
        <f t="shared" si="7"/>
        <v>138</v>
      </c>
      <c r="X20" s="64"/>
    </row>
    <row r="21" ht="14.25" customHeight="1">
      <c r="A21" s="58" t="s">
        <v>29</v>
      </c>
      <c r="B21" s="79">
        <v>19.0</v>
      </c>
      <c r="C21" s="62"/>
      <c r="D21" s="80"/>
      <c r="E21" s="85">
        <v>2.0</v>
      </c>
      <c r="F21" s="80"/>
      <c r="G21" s="80"/>
      <c r="H21" s="59"/>
      <c r="I21" s="87">
        <v>12.0</v>
      </c>
      <c r="J21" s="80"/>
      <c r="K21" s="85">
        <v>35.5</v>
      </c>
      <c r="L21" s="80"/>
      <c r="M21" s="83"/>
      <c r="N21" s="62"/>
      <c r="O21" s="80"/>
      <c r="P21" s="59"/>
      <c r="Q21" s="61">
        <f t="shared" si="4"/>
        <v>47.5</v>
      </c>
      <c r="R21" s="62">
        <f t="shared" ref="R21:S21" si="22">C21+I21</f>
        <v>12</v>
      </c>
      <c r="S21" s="80">
        <f t="shared" si="22"/>
        <v>0</v>
      </c>
      <c r="T21" s="80">
        <f t="shared" ref="T21:V21" si="23">E21+K21+N21</f>
        <v>37.5</v>
      </c>
      <c r="U21" s="80">
        <f t="shared" si="23"/>
        <v>0</v>
      </c>
      <c r="V21" s="80">
        <f t="shared" si="23"/>
        <v>0</v>
      </c>
      <c r="W21" s="59">
        <f t="shared" si="7"/>
        <v>49.5</v>
      </c>
      <c r="X21" s="64"/>
    </row>
    <row r="22" ht="14.25" customHeight="1">
      <c r="A22" s="58" t="s">
        <v>30</v>
      </c>
      <c r="B22" s="79">
        <v>28.0</v>
      </c>
      <c r="C22" s="88">
        <v>4.0</v>
      </c>
      <c r="D22" s="80"/>
      <c r="E22" s="85">
        <v>14.0</v>
      </c>
      <c r="F22" s="80"/>
      <c r="G22" s="80"/>
      <c r="H22" s="59"/>
      <c r="I22" s="87">
        <v>12.0</v>
      </c>
      <c r="J22" s="80"/>
      <c r="K22" s="85">
        <v>26.0</v>
      </c>
      <c r="L22" s="80"/>
      <c r="M22" s="83"/>
      <c r="N22" s="62"/>
      <c r="O22" s="80"/>
      <c r="P22" s="59"/>
      <c r="Q22" s="61">
        <f t="shared" si="4"/>
        <v>38</v>
      </c>
      <c r="R22" s="62">
        <f t="shared" ref="R22:S22" si="24">C22+I22</f>
        <v>16</v>
      </c>
      <c r="S22" s="80">
        <f t="shared" si="24"/>
        <v>0</v>
      </c>
      <c r="T22" s="80">
        <f t="shared" ref="T22:V22" si="25">E22+K22+N22</f>
        <v>40</v>
      </c>
      <c r="U22" s="80">
        <f t="shared" si="25"/>
        <v>0</v>
      </c>
      <c r="V22" s="80">
        <f t="shared" si="25"/>
        <v>0</v>
      </c>
      <c r="W22" s="59">
        <f t="shared" si="7"/>
        <v>56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4" width="15.13"/>
    <col customWidth="1" min="5" max="5" width="6.25"/>
    <col customWidth="1" min="6" max="6" width="5.63"/>
    <col customWidth="1" min="7" max="7" width="8.75"/>
    <col customWidth="1" min="8" max="8" width="12.88"/>
    <col customWidth="1" min="9" max="14" width="10.0"/>
    <col customWidth="1" min="15" max="15" width="15.13"/>
    <col customWidth="1" min="16" max="16" width="5.38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485</v>
      </c>
      <c r="J5" s="91"/>
      <c r="K5" s="134" t="s">
        <v>486</v>
      </c>
      <c r="L5" s="91"/>
      <c r="M5" s="134" t="s">
        <v>487</v>
      </c>
      <c r="N5" s="91"/>
      <c r="O5" s="91"/>
    </row>
    <row r="6" ht="14.25" customHeight="1">
      <c r="A6" s="135" t="s">
        <v>1456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1457</v>
      </c>
      <c r="C9" s="118" t="s">
        <v>1025</v>
      </c>
      <c r="D9" s="118" t="s">
        <v>1458</v>
      </c>
      <c r="E9" s="117"/>
      <c r="F9" s="118">
        <v>1.0</v>
      </c>
      <c r="G9" s="117"/>
      <c r="H9" s="118" t="s">
        <v>20</v>
      </c>
      <c r="I9" s="137" t="s">
        <v>155</v>
      </c>
      <c r="J9" s="120"/>
      <c r="K9" s="120"/>
      <c r="L9" s="120"/>
      <c r="M9" s="120"/>
      <c r="N9" s="120"/>
      <c r="O9" s="121" t="s">
        <v>54</v>
      </c>
      <c r="P9" s="125" t="s">
        <v>189</v>
      </c>
    </row>
    <row r="10" ht="14.25" customHeight="1">
      <c r="A10" s="117"/>
      <c r="B10" s="118" t="s">
        <v>517</v>
      </c>
      <c r="C10" s="118" t="s">
        <v>491</v>
      </c>
      <c r="D10" s="118" t="s">
        <v>1459</v>
      </c>
      <c r="E10" s="117"/>
      <c r="F10" s="118">
        <v>1.0</v>
      </c>
      <c r="G10" s="117"/>
      <c r="H10" s="118" t="s">
        <v>20</v>
      </c>
      <c r="I10" s="137" t="s">
        <v>155</v>
      </c>
      <c r="J10" s="120"/>
      <c r="K10" s="120"/>
      <c r="L10" s="120"/>
      <c r="M10" s="120"/>
      <c r="N10" s="120"/>
      <c r="O10" s="121" t="s">
        <v>74</v>
      </c>
      <c r="P10" s="125" t="s">
        <v>189</v>
      </c>
    </row>
    <row r="11" ht="14.25" customHeight="1">
      <c r="A11" s="117" t="s">
        <v>19</v>
      </c>
      <c r="B11" s="118" t="s">
        <v>181</v>
      </c>
      <c r="C11" s="118" t="s">
        <v>1460</v>
      </c>
      <c r="D11" s="118" t="s">
        <v>774</v>
      </c>
      <c r="E11" s="117"/>
      <c r="F11" s="118">
        <v>2.0</v>
      </c>
      <c r="G11" s="117"/>
      <c r="H11" s="118" t="s">
        <v>20</v>
      </c>
      <c r="I11" s="137" t="s">
        <v>172</v>
      </c>
      <c r="J11" s="120"/>
      <c r="K11" s="120"/>
      <c r="L11" s="120"/>
      <c r="M11" s="120"/>
      <c r="N11" s="120"/>
      <c r="O11" s="121" t="s">
        <v>54</v>
      </c>
      <c r="P11" s="125" t="s">
        <v>189</v>
      </c>
    </row>
    <row r="12" ht="14.25" customHeight="1">
      <c r="A12" s="117" t="s">
        <v>20</v>
      </c>
      <c r="B12" s="118" t="s">
        <v>1461</v>
      </c>
      <c r="C12" s="118" t="s">
        <v>1148</v>
      </c>
      <c r="D12" s="118" t="s">
        <v>774</v>
      </c>
      <c r="E12" s="117"/>
      <c r="F12" s="118">
        <v>2.0</v>
      </c>
      <c r="G12" s="117"/>
      <c r="H12" s="118" t="s">
        <v>20</v>
      </c>
      <c r="I12" s="137" t="s">
        <v>172</v>
      </c>
      <c r="J12" s="120"/>
      <c r="K12" s="120"/>
      <c r="L12" s="120"/>
      <c r="M12" s="120"/>
      <c r="N12" s="120"/>
      <c r="O12" s="121" t="s">
        <v>74</v>
      </c>
      <c r="P12" s="125" t="s">
        <v>189</v>
      </c>
    </row>
    <row r="13" ht="14.25" customHeight="1">
      <c r="A13" s="117" t="s">
        <v>21</v>
      </c>
      <c r="B13" s="118" t="s">
        <v>115</v>
      </c>
      <c r="C13" s="118" t="s">
        <v>541</v>
      </c>
      <c r="D13" s="118" t="s">
        <v>980</v>
      </c>
      <c r="E13" s="117"/>
      <c r="F13" s="118">
        <v>1.0</v>
      </c>
      <c r="G13" s="117"/>
      <c r="H13" s="118" t="s">
        <v>20</v>
      </c>
      <c r="I13" s="137" t="s">
        <v>1462</v>
      </c>
      <c r="J13" s="120"/>
      <c r="K13" s="120"/>
      <c r="L13" s="120"/>
      <c r="M13" s="120"/>
      <c r="N13" s="120"/>
      <c r="O13" s="121" t="s">
        <v>74</v>
      </c>
      <c r="P13" s="125" t="s">
        <v>188</v>
      </c>
    </row>
    <row r="14" ht="14.25" customHeight="1">
      <c r="A14" s="117" t="s">
        <v>22</v>
      </c>
      <c r="B14" s="118" t="s">
        <v>264</v>
      </c>
      <c r="C14" s="118" t="s">
        <v>1463</v>
      </c>
      <c r="D14" s="118" t="s">
        <v>520</v>
      </c>
      <c r="E14" s="117"/>
      <c r="F14" s="118">
        <v>2.0</v>
      </c>
      <c r="G14" s="117"/>
      <c r="H14" s="118" t="s">
        <v>20</v>
      </c>
      <c r="I14" s="137" t="s">
        <v>1462</v>
      </c>
      <c r="J14" s="120"/>
      <c r="K14" s="120"/>
      <c r="L14" s="120"/>
      <c r="M14" s="120"/>
      <c r="N14" s="120"/>
      <c r="O14" s="121" t="s">
        <v>54</v>
      </c>
      <c r="P14" s="125" t="s">
        <v>188</v>
      </c>
    </row>
    <row r="15" ht="14.25" customHeight="1">
      <c r="A15" s="117" t="s">
        <v>23</v>
      </c>
      <c r="B15" s="118" t="s">
        <v>1015</v>
      </c>
      <c r="C15" s="118" t="s">
        <v>1464</v>
      </c>
      <c r="D15" s="118" t="s">
        <v>621</v>
      </c>
      <c r="E15" s="117"/>
      <c r="F15" s="118">
        <v>2.0</v>
      </c>
      <c r="G15" s="117"/>
      <c r="H15" s="118" t="s">
        <v>20</v>
      </c>
      <c r="I15" s="137" t="s">
        <v>1462</v>
      </c>
      <c r="J15" s="120"/>
      <c r="K15" s="120"/>
      <c r="L15" s="120"/>
      <c r="M15" s="120"/>
      <c r="N15" s="120"/>
      <c r="O15" s="121" t="s">
        <v>74</v>
      </c>
      <c r="P15" s="125" t="s">
        <v>188</v>
      </c>
    </row>
    <row r="16" ht="14.25" customHeight="1">
      <c r="A16" s="117" t="s">
        <v>24</v>
      </c>
      <c r="B16" s="118" t="s">
        <v>1465</v>
      </c>
      <c r="C16" s="118" t="s">
        <v>139</v>
      </c>
      <c r="D16" s="118" t="s">
        <v>1148</v>
      </c>
      <c r="E16" s="117"/>
      <c r="F16" s="118">
        <v>2.0</v>
      </c>
      <c r="G16" s="117"/>
      <c r="H16" s="118" t="s">
        <v>20</v>
      </c>
      <c r="I16" s="137" t="s">
        <v>133</v>
      </c>
      <c r="J16" s="120"/>
      <c r="K16" s="120"/>
      <c r="L16" s="120"/>
      <c r="M16" s="120"/>
      <c r="N16" s="120"/>
      <c r="O16" s="121" t="s">
        <v>54</v>
      </c>
      <c r="P16" s="125" t="s">
        <v>190</v>
      </c>
    </row>
    <row r="17" ht="14.25" customHeight="1">
      <c r="A17" s="117" t="s">
        <v>25</v>
      </c>
      <c r="B17" s="118" t="s">
        <v>663</v>
      </c>
      <c r="C17" s="118" t="s">
        <v>1466</v>
      </c>
      <c r="D17" s="118" t="s">
        <v>671</v>
      </c>
      <c r="E17" s="117"/>
      <c r="F17" s="118">
        <v>2.0</v>
      </c>
      <c r="G17" s="117"/>
      <c r="H17" s="118" t="s">
        <v>20</v>
      </c>
      <c r="I17" s="137" t="s">
        <v>133</v>
      </c>
      <c r="J17" s="120"/>
      <c r="K17" s="120"/>
      <c r="L17" s="120"/>
      <c r="M17" s="120"/>
      <c r="N17" s="120"/>
      <c r="O17" s="121" t="s">
        <v>74</v>
      </c>
      <c r="P17" s="125" t="s">
        <v>190</v>
      </c>
    </row>
    <row r="18" ht="14.25" customHeight="1">
      <c r="A18" s="117" t="s">
        <v>26</v>
      </c>
      <c r="B18" s="118" t="s">
        <v>1467</v>
      </c>
      <c r="C18" s="118" t="s">
        <v>1468</v>
      </c>
      <c r="D18" s="118" t="s">
        <v>200</v>
      </c>
      <c r="E18" s="117"/>
      <c r="F18" s="118">
        <v>2.0</v>
      </c>
      <c r="G18" s="117"/>
      <c r="H18" s="118" t="s">
        <v>20</v>
      </c>
      <c r="I18" s="137" t="s">
        <v>53</v>
      </c>
      <c r="J18" s="120"/>
      <c r="K18" s="120"/>
      <c r="L18" s="120"/>
      <c r="M18" s="120"/>
      <c r="N18" s="120"/>
      <c r="O18" s="121" t="s">
        <v>74</v>
      </c>
      <c r="P18" s="125" t="s">
        <v>189</v>
      </c>
    </row>
    <row r="19" ht="14.25" customHeight="1">
      <c r="A19" s="117" t="s">
        <v>27</v>
      </c>
      <c r="B19" s="118" t="s">
        <v>264</v>
      </c>
      <c r="C19" s="118" t="s">
        <v>1469</v>
      </c>
      <c r="D19" s="118" t="s">
        <v>1470</v>
      </c>
      <c r="E19" s="117"/>
      <c r="F19" s="118">
        <v>2.0</v>
      </c>
      <c r="G19" s="117"/>
      <c r="H19" s="118" t="s">
        <v>20</v>
      </c>
      <c r="I19" s="137" t="s">
        <v>53</v>
      </c>
      <c r="J19" s="120"/>
      <c r="K19" s="120"/>
      <c r="L19" s="120"/>
      <c r="M19" s="120"/>
      <c r="N19" s="120"/>
      <c r="O19" s="121" t="s">
        <v>54</v>
      </c>
      <c r="P19" s="125" t="s">
        <v>189</v>
      </c>
    </row>
    <row r="20" ht="14.25" customHeight="1">
      <c r="A20" s="117" t="s">
        <v>28</v>
      </c>
      <c r="B20" s="118" t="s">
        <v>455</v>
      </c>
      <c r="C20" s="118" t="s">
        <v>966</v>
      </c>
      <c r="D20" s="118" t="s">
        <v>1471</v>
      </c>
      <c r="E20" s="117"/>
      <c r="F20" s="118">
        <v>1.0</v>
      </c>
      <c r="G20" s="117"/>
      <c r="H20" s="118" t="s">
        <v>21</v>
      </c>
      <c r="I20" s="137" t="s">
        <v>53</v>
      </c>
      <c r="J20" s="120"/>
      <c r="K20" s="120"/>
      <c r="L20" s="120"/>
      <c r="M20" s="120"/>
      <c r="N20" s="120"/>
      <c r="O20" s="121" t="s">
        <v>54</v>
      </c>
      <c r="P20" s="125" t="s">
        <v>189</v>
      </c>
    </row>
    <row r="21" ht="14.25" customHeight="1">
      <c r="A21" s="122" t="s">
        <v>29</v>
      </c>
      <c r="B21" s="123" t="s">
        <v>1472</v>
      </c>
      <c r="C21" s="123" t="s">
        <v>1473</v>
      </c>
      <c r="D21" s="123" t="s">
        <v>1474</v>
      </c>
      <c r="E21" s="124"/>
      <c r="F21" s="123">
        <v>3.7</v>
      </c>
      <c r="G21" s="124"/>
      <c r="H21" s="123" t="s">
        <v>21</v>
      </c>
      <c r="I21" s="121" t="s">
        <v>133</v>
      </c>
      <c r="J21" s="120"/>
      <c r="K21" s="120"/>
      <c r="L21" s="120"/>
      <c r="M21" s="120"/>
      <c r="N21" s="120"/>
      <c r="O21" s="121" t="s">
        <v>54</v>
      </c>
      <c r="P21" s="125" t="s">
        <v>190</v>
      </c>
    </row>
    <row r="22" ht="14.25" customHeight="1">
      <c r="A22" s="122" t="s">
        <v>30</v>
      </c>
      <c r="B22" s="123" t="s">
        <v>1475</v>
      </c>
      <c r="C22" s="123" t="s">
        <v>1476</v>
      </c>
      <c r="D22" s="123" t="s">
        <v>752</v>
      </c>
      <c r="E22" s="124"/>
      <c r="F22" s="123">
        <v>3.0</v>
      </c>
      <c r="G22" s="124"/>
      <c r="H22" s="123" t="s">
        <v>21</v>
      </c>
      <c r="I22" s="121" t="s">
        <v>53</v>
      </c>
      <c r="J22" s="120"/>
      <c r="K22" s="120"/>
      <c r="L22" s="120"/>
      <c r="M22" s="120"/>
      <c r="N22" s="120"/>
      <c r="O22" s="121" t="s">
        <v>54</v>
      </c>
      <c r="P22" s="125" t="s">
        <v>189</v>
      </c>
    </row>
    <row r="23" ht="14.25" customHeight="1">
      <c r="B23" s="125" t="s">
        <v>1477</v>
      </c>
      <c r="C23" s="125" t="s">
        <v>1478</v>
      </c>
      <c r="D23" s="125" t="s">
        <v>419</v>
      </c>
      <c r="F23" s="125">
        <v>1.0</v>
      </c>
      <c r="H23" s="125" t="s">
        <v>21</v>
      </c>
      <c r="I23" s="125" t="s">
        <v>155</v>
      </c>
      <c r="O23" s="125" t="s">
        <v>54</v>
      </c>
      <c r="P23" s="125" t="s">
        <v>189</v>
      </c>
    </row>
    <row r="24" ht="14.25" customHeight="1">
      <c r="B24" s="125" t="s">
        <v>1173</v>
      </c>
      <c r="C24" s="125" t="s">
        <v>1479</v>
      </c>
      <c r="D24" s="125" t="s">
        <v>1480</v>
      </c>
      <c r="F24" s="125">
        <v>0.7</v>
      </c>
      <c r="H24" s="125" t="s">
        <v>21</v>
      </c>
      <c r="I24" s="125" t="s">
        <v>155</v>
      </c>
      <c r="O24" s="125" t="s">
        <v>54</v>
      </c>
      <c r="P24" s="125" t="s">
        <v>189</v>
      </c>
    </row>
    <row r="25" ht="14.25" customHeight="1">
      <c r="B25" s="125" t="s">
        <v>1481</v>
      </c>
      <c r="C25" s="125" t="s">
        <v>447</v>
      </c>
      <c r="D25" s="125" t="s">
        <v>1022</v>
      </c>
      <c r="F25" s="125">
        <v>0.75</v>
      </c>
      <c r="H25" s="125" t="s">
        <v>21</v>
      </c>
      <c r="I25" s="125" t="s">
        <v>133</v>
      </c>
      <c r="O25" s="125" t="s">
        <v>54</v>
      </c>
      <c r="P25" s="125" t="s">
        <v>190</v>
      </c>
    </row>
    <row r="26" ht="14.25" customHeight="1">
      <c r="A26" s="126">
        <f>-A29</f>
        <v>0</v>
      </c>
      <c r="B26" s="125" t="s">
        <v>1482</v>
      </c>
      <c r="C26" s="125" t="s">
        <v>419</v>
      </c>
      <c r="D26" s="125" t="s">
        <v>1105</v>
      </c>
      <c r="F26" s="125">
        <v>1.0</v>
      </c>
      <c r="H26" s="125" t="s">
        <v>21</v>
      </c>
      <c r="I26" s="125" t="s">
        <v>179</v>
      </c>
      <c r="O26" s="125" t="s">
        <v>54</v>
      </c>
      <c r="P26" s="125" t="s">
        <v>188</v>
      </c>
    </row>
    <row r="27" ht="14.25" customHeight="1">
      <c r="B27" s="125" t="s">
        <v>1483</v>
      </c>
      <c r="C27" s="125" t="s">
        <v>419</v>
      </c>
      <c r="D27" s="125" t="s">
        <v>1105</v>
      </c>
      <c r="F27" s="125">
        <v>1.0</v>
      </c>
      <c r="H27" s="125" t="s">
        <v>21</v>
      </c>
      <c r="I27" s="125" t="s">
        <v>179</v>
      </c>
      <c r="O27" s="125" t="s">
        <v>54</v>
      </c>
      <c r="P27" s="125" t="s">
        <v>188</v>
      </c>
    </row>
    <row r="28" ht="14.25" customHeight="1">
      <c r="B28" s="125" t="s">
        <v>733</v>
      </c>
      <c r="C28" s="125" t="s">
        <v>1484</v>
      </c>
      <c r="D28" s="125" t="s">
        <v>1485</v>
      </c>
      <c r="F28" s="125">
        <v>3.0</v>
      </c>
      <c r="H28" s="125" t="s">
        <v>21</v>
      </c>
      <c r="I28" s="125" t="s">
        <v>992</v>
      </c>
      <c r="O28" s="125" t="s">
        <v>54</v>
      </c>
      <c r="P28" s="125" t="s">
        <v>188</v>
      </c>
    </row>
    <row r="29" ht="14.25" customHeight="1">
      <c r="B29" s="125" t="s">
        <v>501</v>
      </c>
      <c r="C29" s="125" t="s">
        <v>1108</v>
      </c>
      <c r="D29" s="125" t="s">
        <v>1109</v>
      </c>
      <c r="E29" s="125" t="s">
        <v>86</v>
      </c>
      <c r="F29" s="125">
        <v>2.0</v>
      </c>
      <c r="H29" s="125" t="s">
        <v>21</v>
      </c>
      <c r="I29" s="125" t="s">
        <v>992</v>
      </c>
      <c r="O29" s="125" t="s">
        <v>54</v>
      </c>
      <c r="P29" s="125" t="s">
        <v>188</v>
      </c>
    </row>
    <row r="30" ht="14.25" customHeight="1">
      <c r="B30" s="125" t="s">
        <v>1486</v>
      </c>
      <c r="C30" s="125" t="s">
        <v>1108</v>
      </c>
      <c r="D30" s="125" t="s">
        <v>1109</v>
      </c>
      <c r="F30" s="125">
        <v>1.0</v>
      </c>
      <c r="H30" s="125" t="s">
        <v>21</v>
      </c>
      <c r="I30" s="125" t="s">
        <v>53</v>
      </c>
      <c r="O30" s="125" t="s">
        <v>54</v>
      </c>
      <c r="P30" s="125" t="s">
        <v>189</v>
      </c>
    </row>
    <row r="31" ht="14.25" customHeight="1">
      <c r="B31" s="125" t="s">
        <v>647</v>
      </c>
      <c r="C31" s="125" t="s">
        <v>419</v>
      </c>
      <c r="D31" s="125" t="s">
        <v>357</v>
      </c>
      <c r="F31" s="125">
        <v>1.7</v>
      </c>
      <c r="H31" s="125" t="s">
        <v>21</v>
      </c>
      <c r="I31" s="125" t="s">
        <v>172</v>
      </c>
      <c r="O31" s="125" t="s">
        <v>54</v>
      </c>
      <c r="P31" s="125" t="s">
        <v>189</v>
      </c>
    </row>
    <row r="32" ht="14.25" customHeight="1">
      <c r="B32" s="125" t="s">
        <v>1487</v>
      </c>
      <c r="C32" s="125" t="s">
        <v>1488</v>
      </c>
      <c r="D32" s="125" t="s">
        <v>69</v>
      </c>
      <c r="F32" s="125">
        <v>2.5</v>
      </c>
      <c r="H32" s="125" t="s">
        <v>21</v>
      </c>
      <c r="I32" s="125" t="s">
        <v>172</v>
      </c>
      <c r="O32" s="125" t="s">
        <v>54</v>
      </c>
      <c r="P32" s="125" t="s">
        <v>189</v>
      </c>
    </row>
    <row r="33" ht="14.25" customHeight="1">
      <c r="B33" s="125" t="s">
        <v>1489</v>
      </c>
      <c r="C33" s="125" t="s">
        <v>1484</v>
      </c>
      <c r="D33" s="125" t="s">
        <v>1490</v>
      </c>
      <c r="F33" s="125">
        <v>2.0</v>
      </c>
      <c r="H33" s="125" t="s">
        <v>21</v>
      </c>
      <c r="I33" s="125" t="s">
        <v>53</v>
      </c>
      <c r="O33" s="125" t="s">
        <v>54</v>
      </c>
      <c r="P33" s="125" t="s">
        <v>189</v>
      </c>
    </row>
    <row r="34" ht="14.25" customHeight="1">
      <c r="B34" s="125" t="s">
        <v>1491</v>
      </c>
      <c r="C34" s="125" t="s">
        <v>1484</v>
      </c>
      <c r="D34" s="125" t="s">
        <v>1492</v>
      </c>
      <c r="F34" s="125">
        <v>2.0</v>
      </c>
      <c r="H34" s="125" t="s">
        <v>21</v>
      </c>
      <c r="I34" s="125" t="s">
        <v>53</v>
      </c>
      <c r="O34" s="125" t="s">
        <v>54</v>
      </c>
      <c r="P34" s="125" t="s">
        <v>189</v>
      </c>
    </row>
    <row r="35" ht="14.25" customHeight="1">
      <c r="B35" s="125" t="s">
        <v>816</v>
      </c>
      <c r="C35" s="125" t="s">
        <v>1484</v>
      </c>
      <c r="D35" s="125" t="s">
        <v>1492</v>
      </c>
      <c r="F35" s="125">
        <v>7.0</v>
      </c>
      <c r="H35" s="125" t="s">
        <v>21</v>
      </c>
      <c r="I35" s="125" t="s">
        <v>155</v>
      </c>
      <c r="O35" s="125" t="s">
        <v>54</v>
      </c>
      <c r="P35" s="125" t="s">
        <v>189</v>
      </c>
    </row>
    <row r="36" ht="14.25" customHeight="1">
      <c r="B36" s="125" t="s">
        <v>204</v>
      </c>
      <c r="C36" s="125" t="s">
        <v>1493</v>
      </c>
      <c r="D36" s="125" t="s">
        <v>1494</v>
      </c>
      <c r="E36" s="125" t="s">
        <v>86</v>
      </c>
      <c r="F36" s="125">
        <v>3.8</v>
      </c>
      <c r="H36" s="125" t="s">
        <v>21</v>
      </c>
      <c r="I36" s="125" t="s">
        <v>133</v>
      </c>
      <c r="O36" s="125" t="s">
        <v>54</v>
      </c>
      <c r="P36" s="125" t="s">
        <v>190</v>
      </c>
    </row>
    <row r="37" ht="14.25" customHeight="1">
      <c r="B37" s="125" t="s">
        <v>1079</v>
      </c>
      <c r="C37" s="125" t="s">
        <v>1495</v>
      </c>
      <c r="D37" s="125" t="s">
        <v>1496</v>
      </c>
      <c r="F37" s="125">
        <v>2.0</v>
      </c>
      <c r="H37" s="125" t="s">
        <v>21</v>
      </c>
      <c r="I37" s="125" t="s">
        <v>133</v>
      </c>
      <c r="O37" s="125" t="s">
        <v>54</v>
      </c>
      <c r="P37" s="125" t="s">
        <v>190</v>
      </c>
    </row>
    <row r="38" ht="14.25" customHeight="1">
      <c r="B38" s="125" t="s">
        <v>1497</v>
      </c>
      <c r="C38" s="125" t="s">
        <v>1498</v>
      </c>
      <c r="D38" s="125" t="s">
        <v>1499</v>
      </c>
      <c r="F38" s="125">
        <v>3.5</v>
      </c>
      <c r="H38" s="125" t="s">
        <v>21</v>
      </c>
      <c r="I38" s="125" t="s">
        <v>179</v>
      </c>
      <c r="O38" s="125" t="s">
        <v>54</v>
      </c>
      <c r="P38" s="125" t="s">
        <v>188</v>
      </c>
    </row>
    <row r="39" ht="14.25" customHeight="1">
      <c r="B39" s="125" t="s">
        <v>1500</v>
      </c>
      <c r="C39" s="125" t="s">
        <v>1501</v>
      </c>
      <c r="D39" s="125" t="s">
        <v>1484</v>
      </c>
      <c r="F39" s="125">
        <v>3.0</v>
      </c>
      <c r="H39" s="125" t="s">
        <v>21</v>
      </c>
      <c r="I39" s="125" t="s">
        <v>53</v>
      </c>
      <c r="O39" s="125" t="s">
        <v>54</v>
      </c>
      <c r="P39" s="125" t="s">
        <v>189</v>
      </c>
    </row>
    <row r="40" ht="14.25" customHeight="1">
      <c r="B40" s="125" t="s">
        <v>1502</v>
      </c>
      <c r="C40" s="125" t="s">
        <v>1503</v>
      </c>
      <c r="D40" s="125" t="s">
        <v>1504</v>
      </c>
      <c r="F40" s="125">
        <v>2.0</v>
      </c>
      <c r="H40" s="125" t="s">
        <v>23</v>
      </c>
      <c r="I40" s="125" t="s">
        <v>53</v>
      </c>
      <c r="O40" s="125" t="s">
        <v>54</v>
      </c>
      <c r="P40" s="125" t="s">
        <v>189</v>
      </c>
    </row>
    <row r="41" ht="14.25" customHeight="1">
      <c r="B41" s="125" t="s">
        <v>1505</v>
      </c>
      <c r="C41" s="125" t="s">
        <v>1506</v>
      </c>
      <c r="D41" s="125" t="s">
        <v>1507</v>
      </c>
      <c r="F41" s="125">
        <v>2.7</v>
      </c>
      <c r="H41" s="125" t="s">
        <v>23</v>
      </c>
      <c r="I41" s="125" t="s">
        <v>133</v>
      </c>
      <c r="O41" s="125" t="s">
        <v>74</v>
      </c>
      <c r="P41" s="125" t="s">
        <v>190</v>
      </c>
    </row>
    <row r="42" ht="14.25" customHeight="1">
      <c r="B42" s="125" t="s">
        <v>291</v>
      </c>
      <c r="C42" s="125" t="s">
        <v>1508</v>
      </c>
      <c r="D42" s="125" t="s">
        <v>1509</v>
      </c>
      <c r="F42" s="125">
        <v>3.0</v>
      </c>
      <c r="H42" s="125" t="s">
        <v>23</v>
      </c>
      <c r="I42" s="125" t="s">
        <v>53</v>
      </c>
      <c r="O42" s="125" t="s">
        <v>54</v>
      </c>
      <c r="P42" s="125" t="s">
        <v>189</v>
      </c>
    </row>
    <row r="43" ht="14.25" customHeight="1">
      <c r="B43" s="125" t="s">
        <v>1510</v>
      </c>
      <c r="C43" s="125" t="s">
        <v>1511</v>
      </c>
      <c r="D43" s="125" t="s">
        <v>1512</v>
      </c>
      <c r="F43" s="125">
        <v>5.0</v>
      </c>
      <c r="H43" s="125" t="s">
        <v>23</v>
      </c>
      <c r="I43" s="125" t="s">
        <v>155</v>
      </c>
      <c r="O43" s="125" t="s">
        <v>54</v>
      </c>
      <c r="P43" s="125" t="s">
        <v>189</v>
      </c>
    </row>
    <row r="44" ht="14.25" customHeight="1">
      <c r="B44" s="125" t="s">
        <v>1513</v>
      </c>
      <c r="C44" s="125" t="s">
        <v>379</v>
      </c>
      <c r="D44" s="125" t="s">
        <v>279</v>
      </c>
      <c r="F44" s="125">
        <v>1.5</v>
      </c>
      <c r="H44" s="125" t="s">
        <v>23</v>
      </c>
      <c r="I44" s="125" t="s">
        <v>155</v>
      </c>
      <c r="O44" s="125" t="s">
        <v>74</v>
      </c>
      <c r="P44" s="125" t="s">
        <v>189</v>
      </c>
    </row>
    <row r="45" ht="14.25" customHeight="1">
      <c r="B45" s="125" t="s">
        <v>1514</v>
      </c>
      <c r="C45" s="125" t="s">
        <v>976</v>
      </c>
      <c r="D45" s="125" t="s">
        <v>114</v>
      </c>
      <c r="F45" s="125">
        <v>2.8</v>
      </c>
      <c r="H45" s="125" t="s">
        <v>23</v>
      </c>
      <c r="I45" s="125" t="s">
        <v>133</v>
      </c>
      <c r="O45" s="125" t="s">
        <v>54</v>
      </c>
      <c r="P45" s="125" t="s">
        <v>190</v>
      </c>
    </row>
    <row r="46" ht="14.25" customHeight="1">
      <c r="B46" s="125" t="s">
        <v>1515</v>
      </c>
      <c r="C46" s="125" t="s">
        <v>976</v>
      </c>
      <c r="D46" s="125" t="s">
        <v>114</v>
      </c>
      <c r="F46" s="125">
        <v>2.5</v>
      </c>
      <c r="H46" s="125" t="s">
        <v>23</v>
      </c>
      <c r="I46" s="125" t="s">
        <v>133</v>
      </c>
      <c r="O46" s="125" t="s">
        <v>74</v>
      </c>
      <c r="P46" s="125" t="s">
        <v>190</v>
      </c>
    </row>
    <row r="47" ht="14.25" customHeight="1">
      <c r="B47" s="125" t="s">
        <v>1516</v>
      </c>
      <c r="C47" s="125" t="s">
        <v>976</v>
      </c>
      <c r="D47" s="125" t="s">
        <v>114</v>
      </c>
      <c r="F47" s="125">
        <v>3.0</v>
      </c>
      <c r="H47" s="125" t="s">
        <v>23</v>
      </c>
      <c r="I47" s="125" t="s">
        <v>179</v>
      </c>
      <c r="O47" s="125" t="s">
        <v>54</v>
      </c>
      <c r="P47" s="125" t="s">
        <v>188</v>
      </c>
    </row>
    <row r="48" ht="14.25" customHeight="1">
      <c r="B48" s="125" t="s">
        <v>1517</v>
      </c>
      <c r="C48" s="125" t="s">
        <v>1250</v>
      </c>
      <c r="D48" s="125" t="s">
        <v>202</v>
      </c>
      <c r="F48" s="125">
        <v>1.7</v>
      </c>
      <c r="H48" s="125" t="s">
        <v>23</v>
      </c>
      <c r="I48" s="125" t="s">
        <v>179</v>
      </c>
      <c r="O48" s="125" t="s">
        <v>74</v>
      </c>
      <c r="P48" s="125" t="s">
        <v>188</v>
      </c>
    </row>
    <row r="49" ht="14.25" customHeight="1">
      <c r="B49" s="125" t="s">
        <v>1518</v>
      </c>
      <c r="C49" s="125" t="s">
        <v>1519</v>
      </c>
      <c r="D49" s="125" t="s">
        <v>1520</v>
      </c>
      <c r="F49" s="125">
        <v>1.0</v>
      </c>
      <c r="H49" s="125" t="s">
        <v>23</v>
      </c>
      <c r="I49" s="125" t="s">
        <v>53</v>
      </c>
      <c r="O49" s="125" t="s">
        <v>74</v>
      </c>
      <c r="P49" s="125" t="s">
        <v>189</v>
      </c>
    </row>
    <row r="50" ht="14.25" customHeight="1">
      <c r="B50" s="125" t="s">
        <v>64</v>
      </c>
      <c r="C50" s="125" t="s">
        <v>1521</v>
      </c>
      <c r="D50" s="125" t="s">
        <v>1448</v>
      </c>
      <c r="F50" s="125">
        <v>2.0</v>
      </c>
      <c r="H50" s="125" t="s">
        <v>23</v>
      </c>
      <c r="I50" s="125" t="s">
        <v>172</v>
      </c>
      <c r="O50" s="125" t="s">
        <v>54</v>
      </c>
      <c r="P50" s="125" t="s">
        <v>189</v>
      </c>
    </row>
    <row r="51" ht="14.25" customHeight="1">
      <c r="B51" s="125" t="s">
        <v>536</v>
      </c>
      <c r="C51" s="125" t="s">
        <v>89</v>
      </c>
      <c r="D51" s="125" t="s">
        <v>1522</v>
      </c>
      <c r="F51" s="125">
        <v>2.0</v>
      </c>
      <c r="H51" s="125" t="s">
        <v>23</v>
      </c>
      <c r="I51" s="125" t="s">
        <v>172</v>
      </c>
      <c r="O51" s="125" t="s">
        <v>74</v>
      </c>
      <c r="P51" s="125" t="s">
        <v>189</v>
      </c>
    </row>
    <row r="52" ht="14.25" customHeight="1">
      <c r="B52" s="125" t="s">
        <v>1523</v>
      </c>
      <c r="C52" s="125" t="s">
        <v>1524</v>
      </c>
      <c r="D52" s="125" t="s">
        <v>1522</v>
      </c>
      <c r="F52" s="125">
        <v>1.5</v>
      </c>
      <c r="H52" s="125" t="s">
        <v>23</v>
      </c>
      <c r="I52" s="125" t="s">
        <v>992</v>
      </c>
      <c r="O52" s="125" t="s">
        <v>74</v>
      </c>
      <c r="P52" s="125" t="s">
        <v>188</v>
      </c>
    </row>
    <row r="53" ht="14.25" customHeight="1">
      <c r="B53" s="125" t="s">
        <v>1525</v>
      </c>
      <c r="C53" s="125" t="s">
        <v>89</v>
      </c>
      <c r="D53" s="125" t="s">
        <v>1522</v>
      </c>
      <c r="F53" s="125">
        <v>3.4</v>
      </c>
      <c r="H53" s="125" t="s">
        <v>23</v>
      </c>
      <c r="I53" s="125" t="s">
        <v>53</v>
      </c>
      <c r="O53" s="125" t="s">
        <v>74</v>
      </c>
      <c r="P53" s="125" t="s">
        <v>189</v>
      </c>
    </row>
    <row r="54" ht="14.25" customHeight="1">
      <c r="B54" s="125" t="s">
        <v>1526</v>
      </c>
      <c r="C54" s="125" t="s">
        <v>1524</v>
      </c>
      <c r="D54" s="125" t="s">
        <v>1522</v>
      </c>
      <c r="F54" s="125">
        <v>3.0</v>
      </c>
      <c r="H54" s="125" t="s">
        <v>23</v>
      </c>
      <c r="I54" s="125" t="s">
        <v>155</v>
      </c>
      <c r="O54" s="125" t="s">
        <v>54</v>
      </c>
      <c r="P54" s="125" t="s">
        <v>189</v>
      </c>
    </row>
    <row r="55" ht="14.25" customHeight="1">
      <c r="B55" s="125" t="s">
        <v>1527</v>
      </c>
      <c r="C55" s="125" t="s">
        <v>84</v>
      </c>
      <c r="D55" s="125" t="s">
        <v>81</v>
      </c>
      <c r="F55" s="125">
        <v>2.0</v>
      </c>
      <c r="H55" s="125" t="s">
        <v>23</v>
      </c>
      <c r="I55" s="125" t="s">
        <v>53</v>
      </c>
      <c r="O55" s="125" t="s">
        <v>74</v>
      </c>
      <c r="P55" s="125" t="s">
        <v>189</v>
      </c>
    </row>
    <row r="56" ht="14.25" customHeight="1">
      <c r="B56" s="125" t="s">
        <v>970</v>
      </c>
      <c r="C56" s="125" t="s">
        <v>1528</v>
      </c>
      <c r="D56" s="125" t="s">
        <v>1511</v>
      </c>
      <c r="F56" s="125">
        <v>3.0</v>
      </c>
      <c r="H56" s="125" t="s">
        <v>23</v>
      </c>
      <c r="I56" s="125" t="s">
        <v>133</v>
      </c>
      <c r="O56" s="125" t="s">
        <v>74</v>
      </c>
      <c r="P56" s="125" t="s">
        <v>190</v>
      </c>
    </row>
    <row r="57" ht="14.25" customHeight="1">
      <c r="B57" s="125" t="s">
        <v>1529</v>
      </c>
      <c r="C57" s="125" t="s">
        <v>1530</v>
      </c>
      <c r="D57" s="125" t="s">
        <v>1511</v>
      </c>
      <c r="F57" s="125">
        <v>3.0</v>
      </c>
      <c r="H57" s="125" t="s">
        <v>23</v>
      </c>
      <c r="I57" s="125" t="s">
        <v>133</v>
      </c>
      <c r="O57" s="125" t="s">
        <v>74</v>
      </c>
      <c r="P57" s="125" t="s">
        <v>190</v>
      </c>
    </row>
    <row r="58" ht="14.25" customHeight="1">
      <c r="B58" s="125" t="s">
        <v>1531</v>
      </c>
      <c r="C58" s="125" t="s">
        <v>1532</v>
      </c>
      <c r="D58" s="125" t="s">
        <v>1511</v>
      </c>
      <c r="F58" s="125">
        <v>2.5</v>
      </c>
      <c r="H58" s="125" t="s">
        <v>23</v>
      </c>
      <c r="I58" s="125" t="s">
        <v>133</v>
      </c>
      <c r="O58" s="125" t="s">
        <v>74</v>
      </c>
      <c r="P58" s="125" t="s">
        <v>190</v>
      </c>
    </row>
    <row r="59" ht="14.25" customHeight="1">
      <c r="B59" s="125" t="s">
        <v>1533</v>
      </c>
      <c r="C59" s="125" t="s">
        <v>976</v>
      </c>
      <c r="D59" s="125" t="s">
        <v>85</v>
      </c>
      <c r="F59" s="125">
        <v>1.6</v>
      </c>
      <c r="H59" s="125" t="s">
        <v>23</v>
      </c>
      <c r="I59" s="125" t="s">
        <v>992</v>
      </c>
      <c r="O59" s="125" t="s">
        <v>74</v>
      </c>
      <c r="P59" s="125" t="s">
        <v>188</v>
      </c>
    </row>
    <row r="60" ht="14.25" customHeight="1">
      <c r="B60" s="125" t="s">
        <v>233</v>
      </c>
      <c r="C60" s="125" t="s">
        <v>1534</v>
      </c>
      <c r="D60" s="125" t="s">
        <v>94</v>
      </c>
      <c r="E60" s="125" t="s">
        <v>137</v>
      </c>
      <c r="F60" s="125">
        <v>2.3</v>
      </c>
      <c r="H60" s="125" t="s">
        <v>23</v>
      </c>
      <c r="I60" s="125" t="s">
        <v>133</v>
      </c>
      <c r="O60" s="125" t="s">
        <v>74</v>
      </c>
      <c r="P60" s="125" t="s">
        <v>190</v>
      </c>
    </row>
    <row r="61" ht="14.25" customHeight="1">
      <c r="B61" s="125" t="s">
        <v>1535</v>
      </c>
      <c r="C61" s="125" t="s">
        <v>1504</v>
      </c>
      <c r="D61" s="125" t="s">
        <v>94</v>
      </c>
      <c r="F61" s="125">
        <v>2.0</v>
      </c>
      <c r="H61" s="125" t="s">
        <v>23</v>
      </c>
      <c r="I61" s="125" t="s">
        <v>53</v>
      </c>
      <c r="O61" s="125" t="s">
        <v>74</v>
      </c>
      <c r="P61" s="125" t="s">
        <v>189</v>
      </c>
    </row>
    <row r="62" ht="14.25" customHeight="1">
      <c r="B62" s="125" t="s">
        <v>1536</v>
      </c>
      <c r="C62" s="125" t="s">
        <v>641</v>
      </c>
      <c r="D62" s="125" t="s">
        <v>89</v>
      </c>
      <c r="F62" s="125">
        <v>5.0</v>
      </c>
      <c r="H62" s="125" t="s">
        <v>23</v>
      </c>
      <c r="I62" s="125" t="s">
        <v>155</v>
      </c>
      <c r="O62" s="125" t="s">
        <v>74</v>
      </c>
      <c r="P62" s="125" t="s">
        <v>189</v>
      </c>
    </row>
    <row r="63" ht="14.25" customHeight="1">
      <c r="B63" s="125" t="s">
        <v>1537</v>
      </c>
      <c r="C63" s="125" t="s">
        <v>88</v>
      </c>
      <c r="D63" s="125" t="s">
        <v>89</v>
      </c>
      <c r="F63" s="125">
        <v>1.0</v>
      </c>
      <c r="H63" s="125" t="s">
        <v>23</v>
      </c>
      <c r="I63" s="125" t="s">
        <v>155</v>
      </c>
      <c r="O63" s="125" t="s">
        <v>74</v>
      </c>
      <c r="P63" s="125" t="s">
        <v>189</v>
      </c>
    </row>
    <row r="64" ht="14.25" customHeight="1">
      <c r="B64" s="125" t="s">
        <v>469</v>
      </c>
      <c r="C64" s="125" t="s">
        <v>1538</v>
      </c>
      <c r="D64" s="125" t="s">
        <v>89</v>
      </c>
      <c r="E64" s="125" t="s">
        <v>86</v>
      </c>
      <c r="F64" s="125">
        <v>5.0</v>
      </c>
      <c r="H64" s="125" t="s">
        <v>23</v>
      </c>
      <c r="I64" s="125" t="s">
        <v>155</v>
      </c>
      <c r="O64" s="125" t="s">
        <v>74</v>
      </c>
      <c r="P64" s="125" t="s">
        <v>189</v>
      </c>
    </row>
    <row r="65" ht="14.25" customHeight="1">
      <c r="B65" s="125" t="s">
        <v>1539</v>
      </c>
      <c r="C65" s="125" t="s">
        <v>1528</v>
      </c>
      <c r="D65" s="125" t="s">
        <v>89</v>
      </c>
      <c r="F65" s="125">
        <v>1.5</v>
      </c>
      <c r="H65" s="125" t="s">
        <v>23</v>
      </c>
      <c r="I65" s="125" t="s">
        <v>992</v>
      </c>
      <c r="O65" s="125" t="s">
        <v>74</v>
      </c>
      <c r="P65" s="125" t="s">
        <v>188</v>
      </c>
    </row>
    <row r="66" ht="14.25" customHeight="1">
      <c r="B66" s="125" t="s">
        <v>1540</v>
      </c>
      <c r="C66" s="125" t="s">
        <v>1541</v>
      </c>
      <c r="D66" s="125" t="s">
        <v>1542</v>
      </c>
      <c r="F66" s="125">
        <v>2.0</v>
      </c>
      <c r="H66" s="125" t="s">
        <v>23</v>
      </c>
      <c r="I66" s="125" t="s">
        <v>155</v>
      </c>
      <c r="O66" s="125" t="s">
        <v>74</v>
      </c>
      <c r="P66" s="125" t="s">
        <v>189</v>
      </c>
    </row>
    <row r="67" ht="14.25" customHeight="1">
      <c r="B67" s="125" t="s">
        <v>823</v>
      </c>
      <c r="C67" s="125" t="s">
        <v>1543</v>
      </c>
      <c r="D67" s="125" t="s">
        <v>92</v>
      </c>
      <c r="F67" s="125">
        <v>2.0</v>
      </c>
      <c r="H67" s="125" t="s">
        <v>23</v>
      </c>
      <c r="I67" s="125" t="s">
        <v>53</v>
      </c>
      <c r="O67" s="125" t="s">
        <v>74</v>
      </c>
      <c r="P67" s="125" t="s">
        <v>189</v>
      </c>
    </row>
    <row r="68" ht="14.25" customHeight="1">
      <c r="B68" s="125" t="s">
        <v>1544</v>
      </c>
      <c r="C68" s="125" t="s">
        <v>1545</v>
      </c>
      <c r="D68" s="125" t="s">
        <v>92</v>
      </c>
      <c r="F68" s="125">
        <v>3.5</v>
      </c>
      <c r="H68" s="125" t="s">
        <v>23</v>
      </c>
      <c r="I68" s="125" t="s">
        <v>53</v>
      </c>
      <c r="O68" s="125" t="s">
        <v>74</v>
      </c>
      <c r="P68" s="125" t="s">
        <v>189</v>
      </c>
    </row>
    <row r="69" ht="14.25" customHeight="1">
      <c r="B69" s="125" t="s">
        <v>1546</v>
      </c>
      <c r="C69" s="125" t="s">
        <v>1547</v>
      </c>
      <c r="D69" s="125" t="s">
        <v>1548</v>
      </c>
      <c r="F69" s="125">
        <v>3.0</v>
      </c>
      <c r="H69" s="125" t="s">
        <v>23</v>
      </c>
      <c r="I69" s="125" t="s">
        <v>53</v>
      </c>
      <c r="O69" s="125" t="s">
        <v>74</v>
      </c>
      <c r="P69" s="125" t="s">
        <v>189</v>
      </c>
    </row>
    <row r="70" ht="14.25" customHeight="1">
      <c r="B70" s="125" t="s">
        <v>1205</v>
      </c>
      <c r="C70" s="125" t="s">
        <v>1549</v>
      </c>
      <c r="D70" s="125" t="s">
        <v>1550</v>
      </c>
      <c r="F70" s="125">
        <v>2.0</v>
      </c>
      <c r="H70" s="125" t="s">
        <v>23</v>
      </c>
      <c r="I70" s="125" t="s">
        <v>155</v>
      </c>
      <c r="O70" s="125" t="s">
        <v>74</v>
      </c>
      <c r="P70" s="125" t="s">
        <v>189</v>
      </c>
    </row>
    <row r="71" ht="14.25" customHeight="1">
      <c r="B71" s="125" t="s">
        <v>1551</v>
      </c>
      <c r="C71" s="125" t="s">
        <v>1552</v>
      </c>
      <c r="D71" s="125" t="s">
        <v>84</v>
      </c>
      <c r="F71" s="125">
        <v>3.1</v>
      </c>
      <c r="H71" s="125" t="s">
        <v>23</v>
      </c>
      <c r="I71" s="125" t="s">
        <v>1462</v>
      </c>
      <c r="O71" s="125" t="s">
        <v>74</v>
      </c>
      <c r="P71" s="125" t="s">
        <v>188</v>
      </c>
    </row>
    <row r="72" ht="14.25" customHeight="1">
      <c r="B72" s="125" t="s">
        <v>1553</v>
      </c>
      <c r="C72" s="125" t="s">
        <v>84</v>
      </c>
      <c r="D72" s="125" t="s">
        <v>357</v>
      </c>
      <c r="F72" s="125">
        <v>3.0</v>
      </c>
      <c r="H72" s="125" t="s">
        <v>23</v>
      </c>
      <c r="I72" s="125" t="s">
        <v>155</v>
      </c>
      <c r="O72" s="125" t="s">
        <v>74</v>
      </c>
      <c r="P72" s="125" t="s">
        <v>189</v>
      </c>
    </row>
    <row r="73" ht="14.25" customHeight="1">
      <c r="B73" s="125" t="s">
        <v>1554</v>
      </c>
      <c r="C73" s="125" t="s">
        <v>84</v>
      </c>
      <c r="D73" s="125" t="s">
        <v>357</v>
      </c>
      <c r="F73" s="125">
        <v>10.5</v>
      </c>
      <c r="H73" s="125" t="s">
        <v>23</v>
      </c>
      <c r="I73" s="125" t="s">
        <v>53</v>
      </c>
      <c r="O73" s="125" t="s">
        <v>74</v>
      </c>
      <c r="P73" s="125" t="s">
        <v>189</v>
      </c>
    </row>
    <row r="74" ht="14.25" customHeight="1">
      <c r="B74" s="125" t="s">
        <v>1111</v>
      </c>
      <c r="C74" s="125" t="s">
        <v>1555</v>
      </c>
      <c r="D74" s="125" t="s">
        <v>1556</v>
      </c>
      <c r="F74" s="125">
        <v>9.0</v>
      </c>
      <c r="H74" s="125" t="s">
        <v>23</v>
      </c>
      <c r="I74" s="125" t="s">
        <v>53</v>
      </c>
      <c r="O74" s="125" t="s">
        <v>74</v>
      </c>
      <c r="P74" s="125" t="s">
        <v>189</v>
      </c>
    </row>
    <row r="75" ht="14.25" customHeight="1">
      <c r="B75" s="125" t="s">
        <v>169</v>
      </c>
      <c r="C75" s="125" t="s">
        <v>1557</v>
      </c>
      <c r="D75" s="125" t="s">
        <v>1558</v>
      </c>
      <c r="F75" s="125">
        <v>4.0</v>
      </c>
      <c r="H75" s="125" t="s">
        <v>23</v>
      </c>
      <c r="I75" s="125" t="s">
        <v>1462</v>
      </c>
      <c r="O75" s="125" t="s">
        <v>74</v>
      </c>
      <c r="P75" s="125" t="s">
        <v>188</v>
      </c>
    </row>
    <row r="76" ht="14.25" customHeight="1">
      <c r="B76" s="125" t="s">
        <v>1559</v>
      </c>
      <c r="C76" s="125" t="s">
        <v>1560</v>
      </c>
      <c r="D76" s="125" t="s">
        <v>1558</v>
      </c>
      <c r="F76" s="125">
        <v>5.1</v>
      </c>
      <c r="H76" s="125" t="s">
        <v>23</v>
      </c>
      <c r="I76" s="125" t="s">
        <v>155</v>
      </c>
      <c r="O76" s="125" t="s">
        <v>74</v>
      </c>
      <c r="P76" s="125" t="s">
        <v>189</v>
      </c>
    </row>
    <row r="77" ht="14.25" customHeight="1">
      <c r="B77" s="125" t="s">
        <v>930</v>
      </c>
      <c r="C77" s="125" t="s">
        <v>1561</v>
      </c>
      <c r="D77" s="125" t="s">
        <v>1562</v>
      </c>
      <c r="E77" s="125" t="s">
        <v>137</v>
      </c>
      <c r="F77" s="125">
        <v>3.0</v>
      </c>
      <c r="H77" s="125" t="s">
        <v>23</v>
      </c>
      <c r="I77" s="125" t="s">
        <v>172</v>
      </c>
      <c r="O77" s="125" t="s">
        <v>74</v>
      </c>
      <c r="P77" s="125" t="s">
        <v>189</v>
      </c>
    </row>
    <row r="78" ht="14.25" customHeight="1">
      <c r="B78" s="125" t="s">
        <v>1563</v>
      </c>
      <c r="C78" s="125" t="s">
        <v>1564</v>
      </c>
      <c r="D78" s="125" t="s">
        <v>1562</v>
      </c>
      <c r="F78" s="125">
        <v>2.2</v>
      </c>
      <c r="H78" s="125" t="s">
        <v>23</v>
      </c>
      <c r="I78" s="125" t="s">
        <v>155</v>
      </c>
      <c r="O78" s="125" t="s">
        <v>74</v>
      </c>
      <c r="P78" s="125" t="s">
        <v>189</v>
      </c>
    </row>
    <row r="79" ht="14.25" customHeight="1">
      <c r="B79" s="125" t="s">
        <v>1565</v>
      </c>
      <c r="C79" s="125" t="s">
        <v>1566</v>
      </c>
      <c r="D79" s="125" t="s">
        <v>1567</v>
      </c>
      <c r="F79" s="125">
        <v>4.3</v>
      </c>
      <c r="H79" s="125" t="s">
        <v>23</v>
      </c>
      <c r="I79" s="125" t="s">
        <v>155</v>
      </c>
      <c r="O79" s="125" t="s">
        <v>74</v>
      </c>
      <c r="P79" s="125" t="s">
        <v>189</v>
      </c>
    </row>
    <row r="80" ht="14.25" customHeight="1">
      <c r="B80" s="125" t="s">
        <v>1568</v>
      </c>
      <c r="C80" s="125" t="s">
        <v>1330</v>
      </c>
      <c r="D80" s="125" t="s">
        <v>1569</v>
      </c>
      <c r="F80" s="125">
        <v>4.0</v>
      </c>
      <c r="H80" s="125" t="s">
        <v>23</v>
      </c>
      <c r="I80" s="125" t="s">
        <v>155</v>
      </c>
      <c r="O80" s="125" t="s">
        <v>74</v>
      </c>
      <c r="P80" s="125" t="s">
        <v>189</v>
      </c>
    </row>
    <row r="81" ht="14.25" customHeight="1">
      <c r="B81" s="125" t="s">
        <v>1570</v>
      </c>
      <c r="C81" s="125" t="s">
        <v>1571</v>
      </c>
      <c r="D81" s="125" t="s">
        <v>1572</v>
      </c>
      <c r="F81" s="125">
        <v>2.25</v>
      </c>
      <c r="H81" s="125" t="s">
        <v>23</v>
      </c>
      <c r="I81" s="125" t="s">
        <v>53</v>
      </c>
      <c r="O81" s="125" t="s">
        <v>74</v>
      </c>
      <c r="P81" s="125" t="s">
        <v>189</v>
      </c>
    </row>
    <row r="82" ht="14.25" customHeight="1">
      <c r="B82" s="125" t="s">
        <v>1573</v>
      </c>
      <c r="C82" s="125" t="s">
        <v>1574</v>
      </c>
      <c r="D82" s="125" t="s">
        <v>1575</v>
      </c>
      <c r="F82" s="125">
        <v>2.0</v>
      </c>
      <c r="H82" s="125" t="s">
        <v>23</v>
      </c>
      <c r="I82" s="125" t="s">
        <v>53</v>
      </c>
      <c r="O82" s="125" t="s">
        <v>54</v>
      </c>
      <c r="P82" s="125" t="s">
        <v>189</v>
      </c>
    </row>
    <row r="83" ht="14.25" customHeight="1">
      <c r="B83" s="125" t="s">
        <v>1576</v>
      </c>
      <c r="C83" s="125" t="s">
        <v>1522</v>
      </c>
      <c r="D83" s="125" t="s">
        <v>1575</v>
      </c>
      <c r="F83" s="125">
        <v>7.5</v>
      </c>
      <c r="H83" s="125" t="s">
        <v>23</v>
      </c>
      <c r="I83" s="125" t="s">
        <v>172</v>
      </c>
      <c r="O83" s="125" t="s">
        <v>54</v>
      </c>
      <c r="P83" s="125" t="s">
        <v>189</v>
      </c>
    </row>
    <row r="84" ht="14.25" customHeight="1">
      <c r="B84" s="125" t="s">
        <v>1577</v>
      </c>
      <c r="C84" s="125" t="s">
        <v>117</v>
      </c>
      <c r="D84" s="125" t="s">
        <v>95</v>
      </c>
      <c r="F84" s="125">
        <v>2.0</v>
      </c>
      <c r="H84" s="125" t="s">
        <v>23</v>
      </c>
      <c r="I84" s="125" t="s">
        <v>172</v>
      </c>
      <c r="O84" s="125" t="s">
        <v>74</v>
      </c>
      <c r="P84" s="125" t="s">
        <v>189</v>
      </c>
    </row>
    <row r="85" ht="14.25" customHeight="1">
      <c r="B85" s="125" t="s">
        <v>1578</v>
      </c>
      <c r="C85" s="125" t="s">
        <v>89</v>
      </c>
      <c r="D85" s="125" t="s">
        <v>95</v>
      </c>
      <c r="F85" s="125">
        <v>2.5</v>
      </c>
      <c r="H85" s="125" t="s">
        <v>23</v>
      </c>
      <c r="I85" s="125" t="s">
        <v>172</v>
      </c>
      <c r="O85" s="125" t="s">
        <v>74</v>
      </c>
      <c r="P85" s="125" t="s">
        <v>189</v>
      </c>
    </row>
    <row r="86" ht="14.25" customHeight="1">
      <c r="B86" s="125" t="s">
        <v>1579</v>
      </c>
      <c r="C86" s="125" t="s">
        <v>329</v>
      </c>
      <c r="D86" s="125" t="s">
        <v>95</v>
      </c>
      <c r="F86" s="125">
        <v>2.0</v>
      </c>
      <c r="H86" s="125" t="s">
        <v>23</v>
      </c>
      <c r="I86" s="125" t="s">
        <v>53</v>
      </c>
      <c r="O86" s="125" t="s">
        <v>74</v>
      </c>
      <c r="P86" s="125" t="s">
        <v>189</v>
      </c>
    </row>
    <row r="87" ht="14.25" customHeight="1">
      <c r="B87" s="125" t="s">
        <v>1580</v>
      </c>
      <c r="C87" s="125" t="s">
        <v>117</v>
      </c>
      <c r="D87" s="125" t="s">
        <v>95</v>
      </c>
      <c r="F87" s="125">
        <v>3.0</v>
      </c>
      <c r="H87" s="125" t="s">
        <v>23</v>
      </c>
      <c r="I87" s="125" t="s">
        <v>53</v>
      </c>
      <c r="O87" s="125" t="s">
        <v>74</v>
      </c>
      <c r="P87" s="125" t="s">
        <v>189</v>
      </c>
    </row>
    <row r="88" ht="14.25" customHeight="1">
      <c r="B88" s="125" t="s">
        <v>1581</v>
      </c>
      <c r="C88" s="125" t="s">
        <v>1582</v>
      </c>
      <c r="D88" s="125" t="s">
        <v>1583</v>
      </c>
      <c r="F88" s="125">
        <v>2.0</v>
      </c>
      <c r="H88" s="125" t="s">
        <v>23</v>
      </c>
      <c r="I88" s="125" t="s">
        <v>53</v>
      </c>
      <c r="O88" s="125" t="s">
        <v>74</v>
      </c>
      <c r="P88" s="125" t="s">
        <v>189</v>
      </c>
    </row>
    <row r="89" ht="14.25" customHeight="1">
      <c r="B89" s="125" t="s">
        <v>1584</v>
      </c>
      <c r="C89" s="125" t="s">
        <v>1585</v>
      </c>
      <c r="D89" s="125" t="s">
        <v>1586</v>
      </c>
      <c r="F89" s="125">
        <v>2.0</v>
      </c>
      <c r="H89" s="125" t="s">
        <v>23</v>
      </c>
      <c r="I89" s="125" t="s">
        <v>172</v>
      </c>
      <c r="O89" s="125" t="s">
        <v>74</v>
      </c>
      <c r="P89" s="125" t="s">
        <v>189</v>
      </c>
    </row>
    <row r="90" ht="14.25" customHeight="1">
      <c r="B90" s="125" t="s">
        <v>1587</v>
      </c>
      <c r="C90" s="125" t="s">
        <v>1588</v>
      </c>
      <c r="D90" s="125" t="s">
        <v>454</v>
      </c>
      <c r="F90" s="125">
        <v>2.0</v>
      </c>
      <c r="H90" s="125" t="s">
        <v>23</v>
      </c>
      <c r="I90" s="125" t="s">
        <v>172</v>
      </c>
      <c r="O90" s="125" t="s">
        <v>74</v>
      </c>
      <c r="P90" s="125" t="s">
        <v>189</v>
      </c>
    </row>
    <row r="91" ht="14.25" customHeight="1">
      <c r="B91" s="125" t="s">
        <v>1589</v>
      </c>
      <c r="C91" s="125" t="s">
        <v>1590</v>
      </c>
      <c r="D91" s="125" t="s">
        <v>1591</v>
      </c>
      <c r="F91" s="125">
        <v>3.0</v>
      </c>
      <c r="H91" s="125" t="s">
        <v>23</v>
      </c>
      <c r="I91" s="125" t="s">
        <v>172</v>
      </c>
      <c r="O91" s="125" t="s">
        <v>74</v>
      </c>
      <c r="P91" s="125" t="s">
        <v>189</v>
      </c>
    </row>
    <row r="92" ht="14.25" customHeight="1">
      <c r="B92" s="125" t="s">
        <v>1592</v>
      </c>
      <c r="C92" s="125" t="s">
        <v>478</v>
      </c>
      <c r="D92" s="125" t="s">
        <v>1593</v>
      </c>
      <c r="F92" s="125">
        <v>2.0</v>
      </c>
      <c r="H92" s="125" t="s">
        <v>23</v>
      </c>
      <c r="I92" s="125" t="s">
        <v>172</v>
      </c>
      <c r="O92" s="125" t="s">
        <v>74</v>
      </c>
      <c r="P92" s="125" t="s">
        <v>189</v>
      </c>
    </row>
    <row r="93" ht="14.25" customHeight="1">
      <c r="B93" s="125" t="s">
        <v>1594</v>
      </c>
      <c r="C93" s="125" t="s">
        <v>1595</v>
      </c>
      <c r="D93" s="125" t="s">
        <v>1596</v>
      </c>
      <c r="F93" s="125">
        <v>2.0</v>
      </c>
      <c r="H93" s="125" t="s">
        <v>23</v>
      </c>
      <c r="I93" s="125" t="s">
        <v>53</v>
      </c>
      <c r="O93" s="125" t="s">
        <v>74</v>
      </c>
      <c r="P93" s="125" t="s">
        <v>189</v>
      </c>
    </row>
    <row r="94" ht="14.25" customHeight="1">
      <c r="B94" s="125" t="s">
        <v>1597</v>
      </c>
      <c r="C94" s="125" t="s">
        <v>562</v>
      </c>
      <c r="D94" s="125" t="s">
        <v>1598</v>
      </c>
      <c r="F94" s="125">
        <v>3.0</v>
      </c>
      <c r="H94" s="125" t="s">
        <v>22</v>
      </c>
      <c r="I94" s="125" t="s">
        <v>172</v>
      </c>
      <c r="O94" s="125" t="s">
        <v>54</v>
      </c>
      <c r="P94" s="125" t="s">
        <v>189</v>
      </c>
    </row>
    <row r="95" ht="14.25" customHeight="1">
      <c r="B95" s="125" t="s">
        <v>1599</v>
      </c>
      <c r="C95" s="125" t="s">
        <v>256</v>
      </c>
      <c r="D95" s="125" t="s">
        <v>1600</v>
      </c>
      <c r="F95" s="125">
        <v>1.0</v>
      </c>
      <c r="H95" s="125" t="s">
        <v>22</v>
      </c>
      <c r="I95" s="125" t="s">
        <v>172</v>
      </c>
      <c r="O95" s="125" t="s">
        <v>74</v>
      </c>
      <c r="P95" s="125" t="s">
        <v>189</v>
      </c>
    </row>
    <row r="96" ht="14.25" customHeight="1">
      <c r="B96" s="125" t="s">
        <v>1601</v>
      </c>
      <c r="C96" s="125" t="s">
        <v>1602</v>
      </c>
      <c r="D96" s="125" t="s">
        <v>559</v>
      </c>
      <c r="F96" s="125">
        <v>2.6</v>
      </c>
      <c r="H96" s="125" t="s">
        <v>22</v>
      </c>
      <c r="I96" s="125" t="s">
        <v>172</v>
      </c>
      <c r="O96" s="125" t="s">
        <v>54</v>
      </c>
      <c r="P96" s="125" t="s">
        <v>189</v>
      </c>
    </row>
    <row r="97" ht="14.25" customHeight="1">
      <c r="B97" s="125" t="s">
        <v>1603</v>
      </c>
      <c r="C97" s="125" t="s">
        <v>1604</v>
      </c>
      <c r="D97" s="125" t="s">
        <v>1605</v>
      </c>
      <c r="F97" s="125">
        <v>3.0</v>
      </c>
      <c r="H97" s="125" t="s">
        <v>22</v>
      </c>
      <c r="I97" s="125" t="s">
        <v>172</v>
      </c>
      <c r="O97" s="125" t="s">
        <v>74</v>
      </c>
      <c r="P97" s="125" t="s">
        <v>189</v>
      </c>
    </row>
    <row r="98" ht="14.25" customHeight="1">
      <c r="B98" s="125" t="s">
        <v>1606</v>
      </c>
      <c r="C98" s="125" t="s">
        <v>1604</v>
      </c>
      <c r="D98" s="125" t="s">
        <v>1605</v>
      </c>
      <c r="F98" s="125">
        <v>2.0</v>
      </c>
      <c r="H98" s="125" t="s">
        <v>22</v>
      </c>
      <c r="I98" s="125" t="s">
        <v>155</v>
      </c>
      <c r="O98" s="125" t="s">
        <v>54</v>
      </c>
      <c r="P98" s="125" t="s">
        <v>189</v>
      </c>
    </row>
    <row r="99" ht="14.25" customHeight="1">
      <c r="B99" s="125" t="s">
        <v>1607</v>
      </c>
      <c r="C99" s="125" t="s">
        <v>1608</v>
      </c>
      <c r="D99" s="125" t="s">
        <v>1605</v>
      </c>
      <c r="F99" s="125">
        <v>3.0</v>
      </c>
      <c r="H99" s="125" t="s">
        <v>22</v>
      </c>
      <c r="I99" s="125" t="s">
        <v>155</v>
      </c>
      <c r="O99" s="125" t="s">
        <v>74</v>
      </c>
      <c r="P99" s="125" t="s">
        <v>189</v>
      </c>
    </row>
    <row r="100" ht="14.25" customHeight="1">
      <c r="B100" s="125" t="s">
        <v>695</v>
      </c>
      <c r="C100" s="125" t="s">
        <v>588</v>
      </c>
      <c r="D100" s="125" t="s">
        <v>1609</v>
      </c>
      <c r="F100" s="125">
        <v>1.8</v>
      </c>
      <c r="H100" s="125" t="s">
        <v>22</v>
      </c>
      <c r="I100" s="125" t="s">
        <v>53</v>
      </c>
      <c r="O100" s="125" t="s">
        <v>54</v>
      </c>
      <c r="P100" s="125" t="s">
        <v>189</v>
      </c>
    </row>
    <row r="101" ht="14.25" customHeight="1">
      <c r="B101" s="125" t="s">
        <v>1610</v>
      </c>
      <c r="C101" s="125" t="s">
        <v>254</v>
      </c>
      <c r="D101" s="125" t="s">
        <v>1611</v>
      </c>
      <c r="F101" s="125">
        <v>1.6</v>
      </c>
      <c r="H101" s="125" t="s">
        <v>22</v>
      </c>
      <c r="I101" s="125" t="s">
        <v>155</v>
      </c>
      <c r="O101" s="125" t="s">
        <v>74</v>
      </c>
      <c r="P101" s="125" t="s">
        <v>189</v>
      </c>
    </row>
    <row r="102" ht="14.25" customHeight="1">
      <c r="B102" s="125" t="s">
        <v>519</v>
      </c>
      <c r="C102" s="125" t="s">
        <v>1612</v>
      </c>
      <c r="D102" s="125" t="s">
        <v>1613</v>
      </c>
      <c r="E102" s="125" t="s">
        <v>86</v>
      </c>
      <c r="F102" s="125">
        <v>2.0</v>
      </c>
      <c r="H102" s="125" t="s">
        <v>22</v>
      </c>
      <c r="I102" s="125" t="s">
        <v>1462</v>
      </c>
      <c r="O102" s="125" t="s">
        <v>54</v>
      </c>
      <c r="P102" s="125" t="s">
        <v>188</v>
      </c>
    </row>
    <row r="103" ht="14.25" customHeight="1">
      <c r="B103" s="125" t="s">
        <v>519</v>
      </c>
      <c r="C103" s="125" t="s">
        <v>1614</v>
      </c>
      <c r="D103" s="125" t="s">
        <v>1613</v>
      </c>
      <c r="F103" s="125">
        <v>2.0</v>
      </c>
      <c r="H103" s="125" t="s">
        <v>22</v>
      </c>
      <c r="I103" s="125" t="s">
        <v>1462</v>
      </c>
      <c r="O103" s="125" t="s">
        <v>54</v>
      </c>
      <c r="P103" s="125" t="s">
        <v>188</v>
      </c>
    </row>
    <row r="104" ht="14.25" customHeight="1">
      <c r="B104" s="125" t="s">
        <v>672</v>
      </c>
      <c r="C104" s="125" t="s">
        <v>1238</v>
      </c>
      <c r="D104" s="125" t="s">
        <v>1189</v>
      </c>
      <c r="F104" s="125">
        <v>2.0</v>
      </c>
      <c r="H104" s="125" t="s">
        <v>22</v>
      </c>
      <c r="I104" s="125" t="s">
        <v>53</v>
      </c>
      <c r="O104" s="125" t="s">
        <v>54</v>
      </c>
      <c r="P104" s="125" t="s">
        <v>189</v>
      </c>
    </row>
    <row r="105" ht="14.25" customHeight="1">
      <c r="B105" s="125" t="s">
        <v>1188</v>
      </c>
      <c r="C105" s="125" t="s">
        <v>357</v>
      </c>
      <c r="D105" s="125" t="s">
        <v>1615</v>
      </c>
      <c r="F105" s="125">
        <v>3.0</v>
      </c>
      <c r="H105" s="125" t="s">
        <v>22</v>
      </c>
      <c r="I105" s="125" t="s">
        <v>172</v>
      </c>
      <c r="O105" s="125" t="s">
        <v>74</v>
      </c>
      <c r="P105" s="125" t="s">
        <v>189</v>
      </c>
    </row>
    <row r="106" ht="14.25" customHeight="1">
      <c r="B106" s="125" t="s">
        <v>319</v>
      </c>
      <c r="C106" s="125" t="s">
        <v>1616</v>
      </c>
      <c r="D106" s="125" t="s">
        <v>1615</v>
      </c>
      <c r="F106" s="125">
        <v>3.0</v>
      </c>
      <c r="H106" s="125" t="s">
        <v>22</v>
      </c>
      <c r="I106" s="125" t="s">
        <v>155</v>
      </c>
      <c r="O106" s="125" t="s">
        <v>74</v>
      </c>
      <c r="P106" s="125" t="s">
        <v>189</v>
      </c>
    </row>
    <row r="107" ht="14.25" customHeight="1">
      <c r="B107" s="125" t="s">
        <v>1617</v>
      </c>
      <c r="C107" s="125" t="s">
        <v>1618</v>
      </c>
      <c r="D107" s="125" t="s">
        <v>1619</v>
      </c>
      <c r="F107" s="125">
        <v>3.0</v>
      </c>
      <c r="H107" s="125" t="s">
        <v>22</v>
      </c>
      <c r="I107" s="125" t="s">
        <v>172</v>
      </c>
      <c r="O107" s="125" t="s">
        <v>54</v>
      </c>
      <c r="P107" s="125" t="s">
        <v>189</v>
      </c>
    </row>
    <row r="108" ht="14.25" customHeight="1">
      <c r="B108" s="125" t="s">
        <v>1620</v>
      </c>
      <c r="C108" s="125" t="s">
        <v>1618</v>
      </c>
      <c r="D108" s="125" t="s">
        <v>1619</v>
      </c>
      <c r="F108" s="125">
        <v>5.0</v>
      </c>
      <c r="H108" s="125" t="s">
        <v>22</v>
      </c>
      <c r="I108" s="125" t="s">
        <v>53</v>
      </c>
      <c r="O108" s="125" t="s">
        <v>54</v>
      </c>
      <c r="P108" s="125" t="s">
        <v>189</v>
      </c>
    </row>
    <row r="109" ht="14.25" customHeight="1">
      <c r="B109" s="125" t="s">
        <v>284</v>
      </c>
      <c r="C109" s="125" t="s">
        <v>567</v>
      </c>
      <c r="D109" s="125" t="s">
        <v>562</v>
      </c>
      <c r="F109" s="125">
        <v>3.0</v>
      </c>
      <c r="H109" s="125" t="s">
        <v>22</v>
      </c>
      <c r="I109" s="125" t="s">
        <v>172</v>
      </c>
      <c r="O109" s="125" t="s">
        <v>54</v>
      </c>
      <c r="P109" s="125" t="s">
        <v>189</v>
      </c>
    </row>
    <row r="110" ht="14.25" customHeight="1">
      <c r="B110" s="125" t="s">
        <v>233</v>
      </c>
      <c r="C110" s="125" t="s">
        <v>117</v>
      </c>
      <c r="D110" s="125" t="s">
        <v>1167</v>
      </c>
      <c r="F110" s="125">
        <v>2.0</v>
      </c>
      <c r="H110" s="125" t="s">
        <v>22</v>
      </c>
      <c r="I110" s="125" t="s">
        <v>53</v>
      </c>
      <c r="O110" s="125" t="s">
        <v>54</v>
      </c>
      <c r="P110" s="125" t="s">
        <v>189</v>
      </c>
    </row>
    <row r="111" ht="14.25" customHeight="1">
      <c r="B111" s="125" t="s">
        <v>510</v>
      </c>
      <c r="C111" s="125" t="s">
        <v>1223</v>
      </c>
      <c r="D111" s="125" t="s">
        <v>1224</v>
      </c>
      <c r="F111" s="125">
        <v>2.0</v>
      </c>
      <c r="H111" s="125" t="s">
        <v>22</v>
      </c>
      <c r="I111" s="125" t="s">
        <v>53</v>
      </c>
      <c r="O111" s="125" t="s">
        <v>54</v>
      </c>
      <c r="P111" s="125" t="s">
        <v>189</v>
      </c>
    </row>
    <row r="112" ht="14.25" customHeight="1">
      <c r="B112" s="125" t="s">
        <v>1103</v>
      </c>
      <c r="C112" s="125" t="s">
        <v>1621</v>
      </c>
      <c r="D112" s="125" t="s">
        <v>1091</v>
      </c>
      <c r="F112" s="125">
        <v>2.0</v>
      </c>
      <c r="H112" s="125" t="s">
        <v>22</v>
      </c>
      <c r="I112" s="125" t="s">
        <v>53</v>
      </c>
      <c r="O112" s="125" t="s">
        <v>54</v>
      </c>
      <c r="P112" s="125" t="s">
        <v>189</v>
      </c>
    </row>
    <row r="113" ht="14.25" customHeight="1">
      <c r="B113" s="125" t="s">
        <v>1074</v>
      </c>
      <c r="C113" s="125" t="s">
        <v>435</v>
      </c>
      <c r="D113" s="125" t="s">
        <v>565</v>
      </c>
      <c r="F113" s="125">
        <v>5.0</v>
      </c>
      <c r="H113" s="125" t="s">
        <v>22</v>
      </c>
      <c r="I113" s="125" t="s">
        <v>53</v>
      </c>
      <c r="O113" s="125" t="s">
        <v>54</v>
      </c>
      <c r="P113" s="125" t="s">
        <v>189</v>
      </c>
    </row>
    <row r="114" ht="14.25" customHeight="1">
      <c r="B114" s="125" t="s">
        <v>1622</v>
      </c>
      <c r="C114" s="125" t="s">
        <v>1623</v>
      </c>
      <c r="D114" s="125" t="s">
        <v>1624</v>
      </c>
      <c r="F114" s="125">
        <v>2.0</v>
      </c>
      <c r="H114" s="125" t="s">
        <v>22</v>
      </c>
      <c r="I114" s="125" t="s">
        <v>53</v>
      </c>
      <c r="O114" s="125" t="s">
        <v>74</v>
      </c>
      <c r="P114" s="125" t="s">
        <v>189</v>
      </c>
    </row>
    <row r="115" ht="14.25" customHeight="1">
      <c r="B115" s="125" t="s">
        <v>1625</v>
      </c>
      <c r="C115" s="125" t="s">
        <v>1626</v>
      </c>
      <c r="D115" s="125" t="s">
        <v>1627</v>
      </c>
      <c r="F115" s="125">
        <v>2.0</v>
      </c>
      <c r="H115" s="125" t="s">
        <v>22</v>
      </c>
      <c r="I115" s="125" t="s">
        <v>53</v>
      </c>
      <c r="O115" s="125" t="s">
        <v>54</v>
      </c>
      <c r="P115" s="125" t="s">
        <v>189</v>
      </c>
    </row>
    <row r="116" ht="14.25" customHeight="1">
      <c r="B116" s="125" t="s">
        <v>323</v>
      </c>
      <c r="C116" s="125" t="s">
        <v>576</v>
      </c>
      <c r="D116" s="125" t="s">
        <v>1628</v>
      </c>
      <c r="F116" s="125">
        <v>2.0</v>
      </c>
      <c r="H116" s="125" t="s">
        <v>22</v>
      </c>
      <c r="I116" s="125" t="s">
        <v>53</v>
      </c>
      <c r="O116" s="125" t="s">
        <v>54</v>
      </c>
      <c r="P116" s="125" t="s">
        <v>189</v>
      </c>
    </row>
    <row r="117" ht="14.25" customHeight="1">
      <c r="B117" s="125" t="s">
        <v>1054</v>
      </c>
      <c r="C117" s="125" t="s">
        <v>435</v>
      </c>
      <c r="D117" s="125" t="s">
        <v>1629</v>
      </c>
      <c r="F117" s="125">
        <v>5.0</v>
      </c>
      <c r="H117" s="125" t="s">
        <v>22</v>
      </c>
      <c r="I117" s="125" t="s">
        <v>179</v>
      </c>
      <c r="O117" s="125" t="s">
        <v>74</v>
      </c>
      <c r="P117" s="125" t="s">
        <v>188</v>
      </c>
    </row>
    <row r="118" ht="14.25" customHeight="1">
      <c r="B118" s="125" t="s">
        <v>1630</v>
      </c>
      <c r="C118" s="125" t="s">
        <v>1243</v>
      </c>
      <c r="D118" s="125" t="s">
        <v>507</v>
      </c>
      <c r="F118" s="125">
        <v>8.3</v>
      </c>
      <c r="H118" s="125" t="s">
        <v>22</v>
      </c>
      <c r="I118" s="125" t="s">
        <v>179</v>
      </c>
      <c r="O118" s="125" t="s">
        <v>54</v>
      </c>
      <c r="P118" s="125" t="s">
        <v>188</v>
      </c>
    </row>
    <row r="119" ht="14.25" customHeight="1">
      <c r="B119" s="125" t="s">
        <v>1631</v>
      </c>
      <c r="C119" s="125" t="s">
        <v>254</v>
      </c>
      <c r="D119" s="125" t="s">
        <v>154</v>
      </c>
      <c r="F119" s="125">
        <v>2.0</v>
      </c>
      <c r="H119" s="125" t="s">
        <v>22</v>
      </c>
      <c r="I119" s="125" t="s">
        <v>172</v>
      </c>
      <c r="O119" s="125" t="s">
        <v>54</v>
      </c>
      <c r="P119" s="125" t="s">
        <v>189</v>
      </c>
    </row>
    <row r="120" ht="14.25" customHeight="1">
      <c r="B120" s="125" t="s">
        <v>1446</v>
      </c>
      <c r="C120" s="125" t="s">
        <v>117</v>
      </c>
      <c r="D120" s="125" t="s">
        <v>1056</v>
      </c>
      <c r="F120" s="125">
        <v>2.0</v>
      </c>
      <c r="H120" s="125" t="s">
        <v>22</v>
      </c>
      <c r="I120" s="125" t="s">
        <v>172</v>
      </c>
      <c r="O120" s="125" t="s">
        <v>74</v>
      </c>
      <c r="P120" s="125" t="s">
        <v>189</v>
      </c>
    </row>
    <row r="121" ht="14.25" customHeight="1">
      <c r="B121" s="125" t="s">
        <v>1632</v>
      </c>
      <c r="C121" s="125" t="s">
        <v>1633</v>
      </c>
      <c r="D121" s="125" t="s">
        <v>435</v>
      </c>
      <c r="F121" s="125">
        <v>10.0</v>
      </c>
      <c r="H121" s="125" t="s">
        <v>22</v>
      </c>
      <c r="I121" s="125" t="s">
        <v>172</v>
      </c>
      <c r="O121" s="125" t="s">
        <v>54</v>
      </c>
      <c r="P121" s="125" t="s">
        <v>189</v>
      </c>
    </row>
    <row r="122" ht="14.25" customHeight="1">
      <c r="B122" s="125" t="s">
        <v>1634</v>
      </c>
      <c r="C122" s="125" t="s">
        <v>1635</v>
      </c>
      <c r="D122" s="125" t="s">
        <v>435</v>
      </c>
      <c r="F122" s="125">
        <v>5.0</v>
      </c>
      <c r="H122" s="125" t="s">
        <v>22</v>
      </c>
      <c r="I122" s="125" t="s">
        <v>179</v>
      </c>
      <c r="O122" s="125" t="s">
        <v>74</v>
      </c>
      <c r="P122" s="125" t="s">
        <v>188</v>
      </c>
    </row>
    <row r="123" ht="14.25" customHeight="1">
      <c r="B123" s="125" t="s">
        <v>1331</v>
      </c>
      <c r="C123" s="125" t="s">
        <v>1635</v>
      </c>
      <c r="D123" s="125" t="s">
        <v>435</v>
      </c>
      <c r="F123" s="125">
        <v>5.0</v>
      </c>
      <c r="H123" s="125" t="s">
        <v>22</v>
      </c>
      <c r="I123" s="125" t="s">
        <v>179</v>
      </c>
      <c r="O123" s="125" t="s">
        <v>54</v>
      </c>
      <c r="P123" s="125" t="s">
        <v>188</v>
      </c>
    </row>
    <row r="124" ht="14.25" customHeight="1">
      <c r="B124" s="125" t="s">
        <v>1636</v>
      </c>
      <c r="C124" s="125" t="s">
        <v>886</v>
      </c>
      <c r="D124" s="125" t="s">
        <v>570</v>
      </c>
      <c r="F124" s="125">
        <v>2.0</v>
      </c>
      <c r="H124" s="125" t="s">
        <v>22</v>
      </c>
      <c r="I124" s="125" t="s">
        <v>172</v>
      </c>
      <c r="O124" s="125" t="s">
        <v>54</v>
      </c>
      <c r="P124" s="125" t="s">
        <v>189</v>
      </c>
    </row>
    <row r="125" ht="14.25" customHeight="1">
      <c r="B125" s="125" t="s">
        <v>1637</v>
      </c>
      <c r="C125" s="125" t="s">
        <v>1638</v>
      </c>
      <c r="D125" s="125" t="s">
        <v>1639</v>
      </c>
      <c r="F125" s="125">
        <v>2.0</v>
      </c>
      <c r="H125" s="125" t="s">
        <v>22</v>
      </c>
      <c r="I125" s="125" t="s">
        <v>155</v>
      </c>
      <c r="O125" s="125" t="s">
        <v>74</v>
      </c>
      <c r="P125" s="125" t="s">
        <v>189</v>
      </c>
    </row>
    <row r="126" ht="14.25" customHeight="1">
      <c r="B126" s="125" t="s">
        <v>1640</v>
      </c>
      <c r="C126" s="125" t="s">
        <v>559</v>
      </c>
      <c r="D126" s="125" t="s">
        <v>1569</v>
      </c>
      <c r="F126" s="125">
        <v>5.0</v>
      </c>
      <c r="H126" s="125" t="s">
        <v>22</v>
      </c>
      <c r="I126" s="125" t="s">
        <v>155</v>
      </c>
      <c r="O126" s="125" t="s">
        <v>54</v>
      </c>
      <c r="P126" s="125" t="s">
        <v>189</v>
      </c>
    </row>
    <row r="127" ht="14.25" customHeight="1">
      <c r="B127" s="125" t="s">
        <v>1641</v>
      </c>
      <c r="C127" s="125" t="s">
        <v>1642</v>
      </c>
      <c r="D127" s="125" t="s">
        <v>779</v>
      </c>
      <c r="F127" s="125">
        <v>2.0</v>
      </c>
      <c r="H127" s="125" t="s">
        <v>22</v>
      </c>
      <c r="I127" s="125" t="s">
        <v>172</v>
      </c>
      <c r="O127" s="125" t="s">
        <v>74</v>
      </c>
      <c r="P127" s="125" t="s">
        <v>189</v>
      </c>
    </row>
    <row r="128" ht="14.25" customHeight="1">
      <c r="B128" s="125" t="s">
        <v>711</v>
      </c>
      <c r="C128" s="125" t="s">
        <v>1643</v>
      </c>
      <c r="D128" s="125" t="s">
        <v>1644</v>
      </c>
      <c r="E128" s="125" t="s">
        <v>86</v>
      </c>
      <c r="F128" s="125">
        <v>2.0</v>
      </c>
      <c r="H128" s="125" t="s">
        <v>22</v>
      </c>
      <c r="I128" s="125" t="s">
        <v>172</v>
      </c>
      <c r="O128" s="125" t="s">
        <v>54</v>
      </c>
      <c r="P128" s="125" t="s">
        <v>189</v>
      </c>
    </row>
    <row r="129" ht="14.25" customHeight="1">
      <c r="B129" s="125" t="s">
        <v>1645</v>
      </c>
      <c r="C129" s="125" t="s">
        <v>1646</v>
      </c>
      <c r="D129" s="125" t="s">
        <v>1647</v>
      </c>
      <c r="F129" s="125">
        <v>2.0</v>
      </c>
      <c r="H129" s="125" t="s">
        <v>22</v>
      </c>
      <c r="I129" s="125" t="s">
        <v>172</v>
      </c>
      <c r="O129" s="125" t="s">
        <v>54</v>
      </c>
      <c r="P129" s="125" t="s">
        <v>189</v>
      </c>
    </row>
    <row r="130" ht="14.25" customHeight="1">
      <c r="B130" s="125" t="s">
        <v>1525</v>
      </c>
      <c r="C130" s="125" t="s">
        <v>1648</v>
      </c>
      <c r="D130" s="125" t="s">
        <v>1647</v>
      </c>
      <c r="F130" s="125">
        <v>2.0</v>
      </c>
      <c r="H130" s="125" t="s">
        <v>22</v>
      </c>
      <c r="I130" s="125" t="s">
        <v>179</v>
      </c>
      <c r="O130" s="125" t="s">
        <v>54</v>
      </c>
      <c r="P130" s="125" t="s">
        <v>188</v>
      </c>
    </row>
    <row r="131" ht="14.25" customHeight="1">
      <c r="B131" s="125" t="s">
        <v>1649</v>
      </c>
      <c r="C131" s="125" t="s">
        <v>1650</v>
      </c>
      <c r="D131" s="125" t="s">
        <v>1651</v>
      </c>
      <c r="F131" s="125">
        <v>2.0</v>
      </c>
      <c r="H131" s="125" t="s">
        <v>22</v>
      </c>
      <c r="I131" s="125" t="s">
        <v>179</v>
      </c>
      <c r="O131" s="125" t="s">
        <v>74</v>
      </c>
      <c r="P131" s="125" t="s">
        <v>188</v>
      </c>
    </row>
    <row r="132" ht="14.25" customHeight="1">
      <c r="B132" s="125" t="s">
        <v>1449</v>
      </c>
      <c r="C132" s="125" t="s">
        <v>157</v>
      </c>
      <c r="D132" s="125" t="s">
        <v>571</v>
      </c>
      <c r="F132" s="125">
        <v>2.0</v>
      </c>
      <c r="H132" s="125" t="s">
        <v>22</v>
      </c>
      <c r="I132" s="125" t="s">
        <v>992</v>
      </c>
      <c r="O132" s="125" t="s">
        <v>54</v>
      </c>
      <c r="P132" s="125" t="s">
        <v>188</v>
      </c>
    </row>
    <row r="133" ht="14.25" customHeight="1">
      <c r="B133" s="125" t="s">
        <v>1065</v>
      </c>
      <c r="C133" s="125" t="s">
        <v>1652</v>
      </c>
      <c r="D133" s="125" t="s">
        <v>1223</v>
      </c>
      <c r="F133" s="125">
        <v>5.5</v>
      </c>
      <c r="H133" s="125" t="s">
        <v>22</v>
      </c>
      <c r="I133" s="125" t="s">
        <v>992</v>
      </c>
      <c r="O133" s="125" t="s">
        <v>54</v>
      </c>
      <c r="P133" s="125" t="s">
        <v>188</v>
      </c>
    </row>
    <row r="134" ht="14.25" customHeight="1">
      <c r="B134" s="125" t="s">
        <v>1653</v>
      </c>
      <c r="C134" s="125" t="s">
        <v>1654</v>
      </c>
      <c r="D134" s="125" t="s">
        <v>1655</v>
      </c>
      <c r="F134" s="125">
        <v>2.0</v>
      </c>
      <c r="H134" s="125" t="s">
        <v>22</v>
      </c>
      <c r="I134" s="125" t="s">
        <v>992</v>
      </c>
      <c r="O134" s="125" t="s">
        <v>54</v>
      </c>
      <c r="P134" s="125" t="s">
        <v>188</v>
      </c>
    </row>
    <row r="135" ht="14.25" customHeight="1">
      <c r="B135" s="125" t="s">
        <v>1656</v>
      </c>
      <c r="C135" s="125" t="s">
        <v>1277</v>
      </c>
      <c r="D135" s="125" t="s">
        <v>1655</v>
      </c>
      <c r="F135" s="125">
        <v>2.0</v>
      </c>
      <c r="H135" s="125" t="s">
        <v>22</v>
      </c>
      <c r="I135" s="125" t="s">
        <v>172</v>
      </c>
      <c r="O135" s="125" t="s">
        <v>54</v>
      </c>
      <c r="P135" s="125" t="s">
        <v>189</v>
      </c>
    </row>
    <row r="136" ht="14.25" customHeight="1">
      <c r="B136" s="125" t="s">
        <v>1657</v>
      </c>
      <c r="C136" s="125" t="s">
        <v>1658</v>
      </c>
      <c r="D136" s="125" t="s">
        <v>1260</v>
      </c>
      <c r="E136" s="125" t="s">
        <v>86</v>
      </c>
      <c r="F136" s="125">
        <v>5.0</v>
      </c>
      <c r="H136" s="125" t="s">
        <v>22</v>
      </c>
      <c r="I136" s="125" t="s">
        <v>172</v>
      </c>
      <c r="O136" s="125" t="s">
        <v>54</v>
      </c>
      <c r="P136" s="125" t="s">
        <v>189</v>
      </c>
    </row>
    <row r="137" ht="14.25" customHeight="1">
      <c r="B137" s="125" t="s">
        <v>695</v>
      </c>
      <c r="C137" s="125" t="s">
        <v>1659</v>
      </c>
      <c r="D137" s="125" t="s">
        <v>1660</v>
      </c>
      <c r="F137" s="125">
        <v>4.5</v>
      </c>
      <c r="H137" s="125" t="s">
        <v>24</v>
      </c>
      <c r="I137" s="125" t="s">
        <v>155</v>
      </c>
      <c r="O137" s="125" t="s">
        <v>54</v>
      </c>
      <c r="P137" s="125" t="s">
        <v>189</v>
      </c>
    </row>
    <row r="138" ht="14.25" customHeight="1">
      <c r="B138" s="125" t="s">
        <v>563</v>
      </c>
      <c r="C138" s="125" t="s">
        <v>1661</v>
      </c>
      <c r="D138" s="125" t="s">
        <v>1662</v>
      </c>
      <c r="F138" s="125">
        <v>5.0</v>
      </c>
      <c r="H138" s="125" t="s">
        <v>24</v>
      </c>
      <c r="I138" s="125" t="s">
        <v>992</v>
      </c>
      <c r="O138" s="125" t="s">
        <v>54</v>
      </c>
      <c r="P138" s="125" t="s">
        <v>188</v>
      </c>
    </row>
    <row r="139" ht="14.25" customHeight="1">
      <c r="B139" s="125" t="s">
        <v>1663</v>
      </c>
      <c r="C139" s="125" t="s">
        <v>1197</v>
      </c>
      <c r="D139" s="125" t="s">
        <v>1664</v>
      </c>
      <c r="F139" s="125">
        <v>2.0</v>
      </c>
      <c r="H139" s="125" t="s">
        <v>24</v>
      </c>
      <c r="I139" s="125" t="s">
        <v>133</v>
      </c>
      <c r="O139" s="125" t="s">
        <v>54</v>
      </c>
      <c r="P139" s="125" t="s">
        <v>190</v>
      </c>
    </row>
    <row r="140" ht="14.25" customHeight="1">
      <c r="B140" s="125" t="s">
        <v>1665</v>
      </c>
      <c r="C140" s="125" t="s">
        <v>1666</v>
      </c>
      <c r="D140" s="125" t="s">
        <v>1667</v>
      </c>
      <c r="F140" s="125">
        <v>2.0</v>
      </c>
      <c r="H140" s="125" t="s">
        <v>24</v>
      </c>
      <c r="I140" s="125" t="s">
        <v>155</v>
      </c>
      <c r="O140" s="125" t="s">
        <v>54</v>
      </c>
      <c r="P140" s="125" t="s">
        <v>189</v>
      </c>
    </row>
    <row r="141" ht="14.25" customHeight="1">
      <c r="B141" s="125" t="s">
        <v>357</v>
      </c>
      <c r="C141" s="125" t="s">
        <v>1668</v>
      </c>
      <c r="D141" s="125" t="s">
        <v>596</v>
      </c>
      <c r="F141" s="125">
        <v>2.0</v>
      </c>
      <c r="H141" s="125" t="s">
        <v>24</v>
      </c>
      <c r="I141" s="125" t="s">
        <v>183</v>
      </c>
      <c r="O141" s="125" t="s">
        <v>54</v>
      </c>
      <c r="P141" s="125" t="s">
        <v>190</v>
      </c>
    </row>
    <row r="142" ht="14.25" customHeight="1">
      <c r="B142" s="125" t="s">
        <v>1669</v>
      </c>
      <c r="C142" s="125" t="s">
        <v>181</v>
      </c>
      <c r="D142" s="125" t="s">
        <v>1670</v>
      </c>
      <c r="F142" s="125">
        <v>2.0</v>
      </c>
      <c r="H142" s="125" t="s">
        <v>24</v>
      </c>
      <c r="I142" s="125" t="s">
        <v>155</v>
      </c>
      <c r="O142" s="125" t="s">
        <v>74</v>
      </c>
      <c r="P142" s="125" t="s">
        <v>189</v>
      </c>
    </row>
    <row r="143" ht="14.25" customHeight="1">
      <c r="B143" s="125" t="s">
        <v>1050</v>
      </c>
      <c r="C143" s="125" t="s">
        <v>1671</v>
      </c>
      <c r="D143" s="125" t="s">
        <v>1672</v>
      </c>
      <c r="F143" s="125">
        <v>2.0</v>
      </c>
      <c r="H143" s="125" t="s">
        <v>24</v>
      </c>
      <c r="I143" s="125" t="s">
        <v>53</v>
      </c>
      <c r="O143" s="125" t="s">
        <v>74</v>
      </c>
      <c r="P143" s="125" t="s">
        <v>189</v>
      </c>
    </row>
    <row r="144" ht="14.25" customHeight="1">
      <c r="B144" s="125" t="s">
        <v>1673</v>
      </c>
      <c r="C144" s="125" t="s">
        <v>1674</v>
      </c>
      <c r="D144" s="125" t="s">
        <v>1675</v>
      </c>
      <c r="F144" s="125">
        <v>2.0</v>
      </c>
      <c r="H144" s="125" t="s">
        <v>24</v>
      </c>
      <c r="I144" s="125" t="s">
        <v>183</v>
      </c>
      <c r="O144" s="125" t="s">
        <v>54</v>
      </c>
      <c r="P144" s="125" t="s">
        <v>190</v>
      </c>
    </row>
    <row r="145" ht="14.25" customHeight="1">
      <c r="B145" s="125" t="s">
        <v>1676</v>
      </c>
      <c r="C145" s="125" t="s">
        <v>1677</v>
      </c>
      <c r="D145" s="125" t="s">
        <v>1678</v>
      </c>
      <c r="F145" s="125">
        <v>2.0</v>
      </c>
      <c r="H145" s="125" t="s">
        <v>24</v>
      </c>
      <c r="I145" s="125" t="s">
        <v>992</v>
      </c>
      <c r="O145" s="125" t="s">
        <v>54</v>
      </c>
      <c r="P145" s="125" t="s">
        <v>188</v>
      </c>
    </row>
    <row r="146" ht="14.25" customHeight="1">
      <c r="B146" s="125" t="s">
        <v>1679</v>
      </c>
      <c r="C146" s="125" t="s">
        <v>1680</v>
      </c>
      <c r="D146" s="125" t="s">
        <v>1681</v>
      </c>
      <c r="F146" s="125">
        <v>2.0</v>
      </c>
      <c r="H146" s="125" t="s">
        <v>24</v>
      </c>
      <c r="I146" s="125" t="s">
        <v>53</v>
      </c>
      <c r="O146" s="125" t="s">
        <v>54</v>
      </c>
      <c r="P146" s="125" t="s">
        <v>189</v>
      </c>
    </row>
    <row r="147" ht="14.25" customHeight="1">
      <c r="B147" s="125" t="s">
        <v>1682</v>
      </c>
      <c r="C147" s="125" t="s">
        <v>1181</v>
      </c>
      <c r="D147" s="125" t="s">
        <v>181</v>
      </c>
      <c r="F147" s="125">
        <v>5.0</v>
      </c>
      <c r="H147" s="125" t="s">
        <v>24</v>
      </c>
      <c r="I147" s="125" t="s">
        <v>155</v>
      </c>
      <c r="O147" s="125" t="s">
        <v>74</v>
      </c>
      <c r="P147" s="125" t="s">
        <v>189</v>
      </c>
    </row>
    <row r="148" ht="14.25" customHeight="1">
      <c r="B148" s="125" t="s">
        <v>1682</v>
      </c>
      <c r="C148" s="125" t="s">
        <v>1421</v>
      </c>
      <c r="D148" s="125" t="s">
        <v>614</v>
      </c>
      <c r="F148" s="125">
        <v>5.0</v>
      </c>
      <c r="H148" s="125" t="s">
        <v>25</v>
      </c>
      <c r="I148" s="125" t="s">
        <v>992</v>
      </c>
      <c r="O148" s="125" t="s">
        <v>74</v>
      </c>
      <c r="P148" s="125" t="s">
        <v>188</v>
      </c>
    </row>
    <row r="149" ht="14.25" customHeight="1">
      <c r="B149" s="125" t="s">
        <v>1682</v>
      </c>
      <c r="C149" s="125" t="s">
        <v>1421</v>
      </c>
      <c r="D149" s="125" t="s">
        <v>614</v>
      </c>
      <c r="F149" s="125">
        <v>5.0</v>
      </c>
      <c r="H149" s="125" t="s">
        <v>25</v>
      </c>
      <c r="I149" s="125" t="s">
        <v>992</v>
      </c>
      <c r="O149" s="125" t="s">
        <v>74</v>
      </c>
      <c r="P149" s="125" t="s">
        <v>188</v>
      </c>
    </row>
    <row r="150" ht="14.25" customHeight="1">
      <c r="B150" s="125" t="s">
        <v>1683</v>
      </c>
      <c r="C150" s="125" t="s">
        <v>285</v>
      </c>
      <c r="D150" s="125" t="s">
        <v>114</v>
      </c>
      <c r="E150" s="125" t="s">
        <v>86</v>
      </c>
      <c r="F150" s="125">
        <v>2.0</v>
      </c>
      <c r="H150" s="125" t="s">
        <v>25</v>
      </c>
      <c r="I150" s="125" t="s">
        <v>53</v>
      </c>
      <c r="O150" s="125" t="s">
        <v>54</v>
      </c>
      <c r="P150" s="125" t="s">
        <v>189</v>
      </c>
    </row>
    <row r="151" ht="14.25" customHeight="1">
      <c r="B151" s="125" t="s">
        <v>1684</v>
      </c>
      <c r="C151" s="125" t="s">
        <v>1685</v>
      </c>
      <c r="D151" s="125" t="s">
        <v>1686</v>
      </c>
      <c r="F151" s="125">
        <v>2.0</v>
      </c>
      <c r="H151" s="125" t="s">
        <v>25</v>
      </c>
      <c r="I151" s="125" t="s">
        <v>183</v>
      </c>
      <c r="O151" s="125" t="s">
        <v>54</v>
      </c>
      <c r="P151" s="125" t="s">
        <v>190</v>
      </c>
    </row>
    <row r="152" ht="14.25" customHeight="1">
      <c r="B152" s="125" t="s">
        <v>1687</v>
      </c>
      <c r="C152" s="125" t="s">
        <v>1688</v>
      </c>
      <c r="D152" s="125" t="s">
        <v>1686</v>
      </c>
      <c r="F152" s="125">
        <v>2.0</v>
      </c>
      <c r="H152" s="125" t="s">
        <v>25</v>
      </c>
      <c r="I152" s="125" t="s">
        <v>992</v>
      </c>
      <c r="O152" s="125" t="s">
        <v>54</v>
      </c>
      <c r="P152" s="125" t="s">
        <v>188</v>
      </c>
    </row>
    <row r="153" ht="14.25" customHeight="1">
      <c r="B153" s="125" t="s">
        <v>791</v>
      </c>
      <c r="C153" s="125" t="s">
        <v>1689</v>
      </c>
      <c r="D153" s="125" t="s">
        <v>1686</v>
      </c>
      <c r="F153" s="125">
        <v>2.0</v>
      </c>
      <c r="H153" s="125" t="s">
        <v>25</v>
      </c>
      <c r="I153" s="125" t="s">
        <v>155</v>
      </c>
      <c r="O153" s="125" t="s">
        <v>54</v>
      </c>
      <c r="P153" s="125" t="s">
        <v>189</v>
      </c>
    </row>
    <row r="154" ht="14.25" customHeight="1">
      <c r="B154" s="125" t="s">
        <v>1690</v>
      </c>
      <c r="C154" s="125" t="s">
        <v>1688</v>
      </c>
      <c r="D154" s="125" t="s">
        <v>1686</v>
      </c>
      <c r="F154" s="125">
        <v>2.0</v>
      </c>
      <c r="H154" s="125" t="s">
        <v>25</v>
      </c>
      <c r="I154" s="125" t="s">
        <v>53</v>
      </c>
      <c r="O154" s="125" t="s">
        <v>54</v>
      </c>
      <c r="P154" s="125" t="s">
        <v>189</v>
      </c>
    </row>
    <row r="155" ht="14.25" customHeight="1">
      <c r="B155" s="125" t="s">
        <v>1691</v>
      </c>
      <c r="C155" s="125" t="s">
        <v>1384</v>
      </c>
      <c r="D155" s="125" t="s">
        <v>287</v>
      </c>
      <c r="F155" s="125">
        <v>5.0</v>
      </c>
      <c r="H155" s="125" t="s">
        <v>25</v>
      </c>
      <c r="I155" s="125" t="s">
        <v>155</v>
      </c>
      <c r="O155" s="125" t="s">
        <v>54</v>
      </c>
      <c r="P155" s="125" t="s">
        <v>189</v>
      </c>
    </row>
    <row r="156" ht="14.25" customHeight="1">
      <c r="B156" s="125" t="s">
        <v>444</v>
      </c>
      <c r="C156" s="125" t="s">
        <v>445</v>
      </c>
      <c r="D156" s="125" t="s">
        <v>81</v>
      </c>
      <c r="F156" s="125">
        <v>2.0</v>
      </c>
      <c r="H156" s="125" t="s">
        <v>25</v>
      </c>
      <c r="I156" s="125" t="s">
        <v>53</v>
      </c>
      <c r="O156" s="125" t="s">
        <v>74</v>
      </c>
      <c r="P156" s="125" t="s">
        <v>189</v>
      </c>
    </row>
    <row r="157" ht="14.25" customHeight="1">
      <c r="B157" s="125" t="s">
        <v>1692</v>
      </c>
      <c r="C157" s="125" t="s">
        <v>1693</v>
      </c>
      <c r="D157" s="125" t="s">
        <v>293</v>
      </c>
      <c r="F157" s="125">
        <v>2.0</v>
      </c>
      <c r="H157" s="125" t="s">
        <v>25</v>
      </c>
      <c r="I157" s="125" t="s">
        <v>155</v>
      </c>
      <c r="O157" s="125" t="s">
        <v>54</v>
      </c>
      <c r="P157" s="125" t="s">
        <v>189</v>
      </c>
    </row>
    <row r="158" ht="14.25" customHeight="1">
      <c r="B158" s="125" t="s">
        <v>865</v>
      </c>
      <c r="C158" s="125" t="s">
        <v>1694</v>
      </c>
      <c r="D158" s="125" t="s">
        <v>622</v>
      </c>
      <c r="F158" s="125">
        <v>2.0</v>
      </c>
      <c r="H158" s="125" t="s">
        <v>25</v>
      </c>
      <c r="I158" s="125" t="s">
        <v>53</v>
      </c>
      <c r="O158" s="125" t="s">
        <v>54</v>
      </c>
      <c r="P158" s="125" t="s">
        <v>189</v>
      </c>
    </row>
    <row r="159" ht="14.25" customHeight="1">
      <c r="B159" s="125" t="s">
        <v>728</v>
      </c>
      <c r="C159" s="125" t="s">
        <v>1018</v>
      </c>
      <c r="D159" s="125" t="s">
        <v>1238</v>
      </c>
      <c r="F159" s="125">
        <v>2.0</v>
      </c>
      <c r="H159" s="125" t="s">
        <v>25</v>
      </c>
      <c r="I159" s="125" t="s">
        <v>53</v>
      </c>
      <c r="O159" s="125" t="s">
        <v>54</v>
      </c>
      <c r="P159" s="125" t="s">
        <v>189</v>
      </c>
    </row>
    <row r="160" ht="14.25" customHeight="1">
      <c r="B160" s="125" t="s">
        <v>308</v>
      </c>
      <c r="C160" s="125" t="s">
        <v>1300</v>
      </c>
      <c r="D160" s="125" t="s">
        <v>1695</v>
      </c>
      <c r="E160" s="125" t="s">
        <v>137</v>
      </c>
      <c r="F160" s="125">
        <v>2.0</v>
      </c>
      <c r="H160" s="125" t="s">
        <v>25</v>
      </c>
      <c r="I160" s="125" t="s">
        <v>155</v>
      </c>
      <c r="O160" s="125" t="s">
        <v>74</v>
      </c>
      <c r="P160" s="125" t="s">
        <v>189</v>
      </c>
    </row>
    <row r="161" ht="14.25" customHeight="1">
      <c r="B161" s="125" t="s">
        <v>1696</v>
      </c>
      <c r="C161" s="125" t="s">
        <v>1697</v>
      </c>
      <c r="D161" s="125" t="s">
        <v>1698</v>
      </c>
      <c r="F161" s="125">
        <v>7.04</v>
      </c>
      <c r="H161" s="125" t="s">
        <v>25</v>
      </c>
      <c r="I161" s="125" t="s">
        <v>155</v>
      </c>
      <c r="O161" s="125" t="s">
        <v>54</v>
      </c>
      <c r="P161" s="125" t="s">
        <v>189</v>
      </c>
    </row>
    <row r="162" ht="14.25" customHeight="1">
      <c r="B162" s="125" t="s">
        <v>1699</v>
      </c>
      <c r="C162" s="125" t="s">
        <v>624</v>
      </c>
      <c r="D162" s="125" t="s">
        <v>300</v>
      </c>
      <c r="F162" s="125">
        <v>2.0</v>
      </c>
      <c r="H162" s="125" t="s">
        <v>25</v>
      </c>
      <c r="I162" s="125" t="s">
        <v>155</v>
      </c>
      <c r="O162" s="125" t="s">
        <v>54</v>
      </c>
      <c r="P162" s="125" t="s">
        <v>189</v>
      </c>
    </row>
    <row r="163" ht="14.25" customHeight="1">
      <c r="B163" s="125" t="s">
        <v>1200</v>
      </c>
      <c r="C163" s="125" t="s">
        <v>1700</v>
      </c>
      <c r="D163" s="125" t="s">
        <v>817</v>
      </c>
      <c r="F163" s="125">
        <v>2.0</v>
      </c>
      <c r="H163" s="125" t="s">
        <v>25</v>
      </c>
      <c r="I163" s="125" t="s">
        <v>53</v>
      </c>
      <c r="O163" s="125" t="s">
        <v>54</v>
      </c>
      <c r="P163" s="125" t="s">
        <v>189</v>
      </c>
    </row>
    <row r="164" ht="14.25" customHeight="1">
      <c r="B164" s="125" t="s">
        <v>989</v>
      </c>
      <c r="C164" s="125" t="s">
        <v>312</v>
      </c>
      <c r="D164" s="125" t="s">
        <v>1701</v>
      </c>
      <c r="F164" s="125">
        <v>2.0</v>
      </c>
      <c r="H164" s="125" t="s">
        <v>25</v>
      </c>
      <c r="I164" s="125" t="s">
        <v>53</v>
      </c>
      <c r="O164" s="125" t="s">
        <v>74</v>
      </c>
      <c r="P164" s="125" t="s">
        <v>189</v>
      </c>
    </row>
    <row r="165" ht="14.25" customHeight="1">
      <c r="B165" s="125" t="s">
        <v>1702</v>
      </c>
      <c r="C165" s="125" t="s">
        <v>628</v>
      </c>
      <c r="D165" s="125" t="s">
        <v>629</v>
      </c>
      <c r="F165" s="125">
        <v>2.0</v>
      </c>
      <c r="H165" s="125" t="s">
        <v>25</v>
      </c>
      <c r="I165" s="125" t="s">
        <v>179</v>
      </c>
      <c r="O165" s="125" t="s">
        <v>54</v>
      </c>
      <c r="P165" s="125" t="s">
        <v>188</v>
      </c>
    </row>
    <row r="166" ht="14.25" customHeight="1">
      <c r="B166" s="125" t="s">
        <v>1703</v>
      </c>
      <c r="C166" s="125" t="s">
        <v>1704</v>
      </c>
      <c r="D166" s="125" t="s">
        <v>820</v>
      </c>
      <c r="F166" s="125">
        <v>2.0</v>
      </c>
      <c r="H166" s="125" t="s">
        <v>25</v>
      </c>
      <c r="I166" s="125" t="s">
        <v>179</v>
      </c>
      <c r="O166" s="125" t="s">
        <v>54</v>
      </c>
      <c r="P166" s="125" t="s">
        <v>188</v>
      </c>
    </row>
    <row r="167" ht="14.25" customHeight="1">
      <c r="B167" s="125" t="s">
        <v>1703</v>
      </c>
      <c r="C167" s="125" t="s">
        <v>1704</v>
      </c>
      <c r="D167" s="125" t="s">
        <v>820</v>
      </c>
      <c r="F167" s="125">
        <v>2.0</v>
      </c>
      <c r="H167" s="125" t="s">
        <v>25</v>
      </c>
      <c r="I167" s="125" t="s">
        <v>53</v>
      </c>
      <c r="O167" s="125" t="s">
        <v>54</v>
      </c>
      <c r="P167" s="125" t="s">
        <v>189</v>
      </c>
    </row>
    <row r="168" ht="14.25" customHeight="1">
      <c r="B168" s="125" t="s">
        <v>1705</v>
      </c>
      <c r="C168" s="125" t="s">
        <v>1706</v>
      </c>
      <c r="D168" s="125" t="s">
        <v>570</v>
      </c>
      <c r="F168" s="125">
        <v>4.5</v>
      </c>
      <c r="H168" s="125" t="s">
        <v>25</v>
      </c>
      <c r="I168" s="125" t="s">
        <v>155</v>
      </c>
      <c r="O168" s="125" t="s">
        <v>54</v>
      </c>
      <c r="P168" s="125" t="s">
        <v>189</v>
      </c>
    </row>
    <row r="169" ht="14.25" customHeight="1">
      <c r="B169" s="125" t="s">
        <v>294</v>
      </c>
      <c r="C169" s="125" t="s">
        <v>1707</v>
      </c>
      <c r="D169" s="125" t="s">
        <v>1708</v>
      </c>
      <c r="F169" s="125">
        <v>2.0</v>
      </c>
      <c r="H169" s="125" t="s">
        <v>25</v>
      </c>
      <c r="I169" s="125" t="s">
        <v>992</v>
      </c>
      <c r="O169" s="125" t="s">
        <v>74</v>
      </c>
      <c r="P169" s="125" t="s">
        <v>188</v>
      </c>
    </row>
    <row r="170" ht="14.25" customHeight="1">
      <c r="B170" s="125" t="s">
        <v>368</v>
      </c>
      <c r="C170" s="125" t="s">
        <v>245</v>
      </c>
      <c r="D170" s="125" t="s">
        <v>1709</v>
      </c>
      <c r="F170" s="125">
        <v>2.0</v>
      </c>
      <c r="H170" s="125" t="s">
        <v>25</v>
      </c>
      <c r="I170" s="125" t="s">
        <v>992</v>
      </c>
      <c r="O170" s="125" t="s">
        <v>74</v>
      </c>
      <c r="P170" s="125" t="s">
        <v>188</v>
      </c>
    </row>
    <row r="171" ht="14.25" customHeight="1">
      <c r="B171" s="125" t="s">
        <v>204</v>
      </c>
      <c r="C171" s="125" t="s">
        <v>1710</v>
      </c>
      <c r="D171" s="125" t="s">
        <v>558</v>
      </c>
      <c r="F171" s="125">
        <v>4.3</v>
      </c>
      <c r="H171" s="125" t="s">
        <v>25</v>
      </c>
      <c r="I171" s="125" t="s">
        <v>992</v>
      </c>
      <c r="O171" s="125" t="s">
        <v>54</v>
      </c>
      <c r="P171" s="125" t="s">
        <v>188</v>
      </c>
    </row>
    <row r="172" ht="14.25" customHeight="1">
      <c r="B172" s="125" t="s">
        <v>1711</v>
      </c>
      <c r="C172" s="125" t="s">
        <v>1712</v>
      </c>
      <c r="D172" s="125" t="s">
        <v>1713</v>
      </c>
      <c r="F172" s="125">
        <v>5.0</v>
      </c>
      <c r="H172" s="125" t="s">
        <v>27</v>
      </c>
      <c r="I172" s="125" t="s">
        <v>53</v>
      </c>
      <c r="O172" s="125" t="s">
        <v>74</v>
      </c>
      <c r="P172" s="125" t="s">
        <v>189</v>
      </c>
    </row>
    <row r="173" ht="14.25" customHeight="1">
      <c r="B173" s="125" t="s">
        <v>581</v>
      </c>
      <c r="C173" s="125" t="s">
        <v>1714</v>
      </c>
      <c r="D173" s="125" t="s">
        <v>796</v>
      </c>
      <c r="F173" s="125">
        <v>2.0</v>
      </c>
      <c r="H173" s="125" t="s">
        <v>27</v>
      </c>
      <c r="I173" s="125" t="s">
        <v>155</v>
      </c>
      <c r="O173" s="125" t="s">
        <v>54</v>
      </c>
      <c r="P173" s="125" t="s">
        <v>189</v>
      </c>
    </row>
    <row r="174" ht="14.25" customHeight="1">
      <c r="B174" s="125" t="s">
        <v>1715</v>
      </c>
      <c r="C174" s="125" t="s">
        <v>1716</v>
      </c>
      <c r="D174" s="125" t="s">
        <v>729</v>
      </c>
      <c r="F174" s="125">
        <v>2.0</v>
      </c>
      <c r="H174" s="125" t="s">
        <v>27</v>
      </c>
      <c r="I174" s="125" t="s">
        <v>155</v>
      </c>
      <c r="O174" s="125" t="s">
        <v>54</v>
      </c>
      <c r="P174" s="125" t="s">
        <v>189</v>
      </c>
    </row>
    <row r="175" ht="14.25" customHeight="1">
      <c r="B175" s="125" t="s">
        <v>803</v>
      </c>
      <c r="C175" s="125" t="s">
        <v>1717</v>
      </c>
      <c r="D175" s="125" t="s">
        <v>801</v>
      </c>
      <c r="F175" s="125">
        <v>2.0</v>
      </c>
      <c r="H175" s="125" t="s">
        <v>27</v>
      </c>
      <c r="I175" s="125" t="s">
        <v>992</v>
      </c>
      <c r="O175" s="125" t="s">
        <v>54</v>
      </c>
      <c r="P175" s="125" t="s">
        <v>188</v>
      </c>
    </row>
    <row r="176" ht="14.25" customHeight="1">
      <c r="B176" s="125" t="s">
        <v>105</v>
      </c>
      <c r="C176" s="125" t="s">
        <v>1718</v>
      </c>
      <c r="D176" s="125" t="s">
        <v>1719</v>
      </c>
      <c r="F176" s="125">
        <v>2.0</v>
      </c>
      <c r="H176" s="125" t="s">
        <v>27</v>
      </c>
      <c r="I176" s="125" t="s">
        <v>53</v>
      </c>
      <c r="O176" s="125" t="s">
        <v>54</v>
      </c>
      <c r="P176" s="125" t="s">
        <v>189</v>
      </c>
    </row>
    <row r="177" ht="14.25" customHeight="1">
      <c r="B177" s="125" t="s">
        <v>184</v>
      </c>
      <c r="C177" s="125" t="s">
        <v>1720</v>
      </c>
      <c r="D177" s="125" t="s">
        <v>1721</v>
      </c>
      <c r="F177" s="125">
        <v>2.0</v>
      </c>
      <c r="H177" s="125" t="s">
        <v>27</v>
      </c>
      <c r="I177" s="125" t="s">
        <v>155</v>
      </c>
      <c r="O177" s="125" t="s">
        <v>74</v>
      </c>
      <c r="P177" s="125" t="s">
        <v>189</v>
      </c>
    </row>
    <row r="178" ht="14.25" customHeight="1">
      <c r="B178" s="125" t="s">
        <v>181</v>
      </c>
      <c r="C178" s="125" t="s">
        <v>1722</v>
      </c>
      <c r="D178" s="125" t="s">
        <v>777</v>
      </c>
      <c r="F178" s="125">
        <v>2.0</v>
      </c>
      <c r="H178" s="125" t="s">
        <v>27</v>
      </c>
      <c r="I178" s="125" t="s">
        <v>53</v>
      </c>
      <c r="O178" s="125" t="s">
        <v>74</v>
      </c>
      <c r="P178" s="125" t="s">
        <v>189</v>
      </c>
    </row>
    <row r="179" ht="14.25" customHeight="1">
      <c r="B179" s="125" t="s">
        <v>1723</v>
      </c>
      <c r="C179" s="125" t="s">
        <v>1724</v>
      </c>
      <c r="D179" s="125" t="s">
        <v>679</v>
      </c>
      <c r="F179" s="125">
        <v>2.0</v>
      </c>
      <c r="H179" s="125" t="s">
        <v>27</v>
      </c>
      <c r="I179" s="125" t="s">
        <v>992</v>
      </c>
      <c r="O179" s="125" t="s">
        <v>54</v>
      </c>
      <c r="P179" s="125" t="s">
        <v>188</v>
      </c>
    </row>
    <row r="180" ht="14.25" customHeight="1">
      <c r="B180" s="125" t="s">
        <v>1725</v>
      </c>
      <c r="C180" s="125" t="s">
        <v>795</v>
      </c>
      <c r="D180" s="125" t="s">
        <v>845</v>
      </c>
      <c r="F180" s="125">
        <v>5.0</v>
      </c>
      <c r="H180" s="125" t="s">
        <v>27</v>
      </c>
      <c r="I180" s="125" t="s">
        <v>53</v>
      </c>
      <c r="O180" s="125" t="s">
        <v>54</v>
      </c>
      <c r="P180" s="125" t="s">
        <v>189</v>
      </c>
    </row>
    <row r="181" ht="14.25" customHeight="1">
      <c r="B181" s="125" t="s">
        <v>844</v>
      </c>
      <c r="C181" s="125" t="s">
        <v>886</v>
      </c>
      <c r="D181" s="125" t="s">
        <v>725</v>
      </c>
      <c r="F181" s="125">
        <v>5.0</v>
      </c>
      <c r="H181" s="125" t="s">
        <v>27</v>
      </c>
      <c r="I181" s="125" t="s">
        <v>179</v>
      </c>
      <c r="O181" s="125" t="s">
        <v>74</v>
      </c>
      <c r="P181" s="125" t="s">
        <v>188</v>
      </c>
    </row>
    <row r="182" ht="14.25" customHeight="1">
      <c r="B182" s="125" t="s">
        <v>1726</v>
      </c>
      <c r="C182" s="125" t="s">
        <v>1149</v>
      </c>
      <c r="D182" s="125" t="s">
        <v>1727</v>
      </c>
      <c r="F182" s="125">
        <v>2.0</v>
      </c>
      <c r="H182" s="125" t="s">
        <v>27</v>
      </c>
      <c r="I182" s="125" t="s">
        <v>179</v>
      </c>
      <c r="O182" s="125" t="s">
        <v>54</v>
      </c>
      <c r="P182" s="125" t="s">
        <v>188</v>
      </c>
    </row>
    <row r="183" ht="14.25" customHeight="1">
      <c r="B183" s="125" t="s">
        <v>141</v>
      </c>
      <c r="C183" s="125" t="s">
        <v>1728</v>
      </c>
      <c r="D183" s="125" t="s">
        <v>323</v>
      </c>
      <c r="F183" s="125">
        <v>2.0</v>
      </c>
      <c r="H183" s="125" t="s">
        <v>27</v>
      </c>
      <c r="I183" s="125" t="s">
        <v>53</v>
      </c>
      <c r="O183" s="125" t="s">
        <v>54</v>
      </c>
      <c r="P183" s="125" t="s">
        <v>189</v>
      </c>
    </row>
    <row r="184" ht="14.25" customHeight="1">
      <c r="B184" s="125" t="s">
        <v>826</v>
      </c>
      <c r="C184" s="125" t="s">
        <v>1729</v>
      </c>
      <c r="D184" s="125" t="s">
        <v>687</v>
      </c>
      <c r="F184" s="125">
        <v>2.0</v>
      </c>
      <c r="H184" s="125" t="s">
        <v>27</v>
      </c>
      <c r="I184" s="125" t="s">
        <v>53</v>
      </c>
      <c r="O184" s="125" t="s">
        <v>54</v>
      </c>
      <c r="P184" s="125" t="s">
        <v>189</v>
      </c>
    </row>
    <row r="185" ht="14.25" customHeight="1">
      <c r="B185" s="125" t="s">
        <v>595</v>
      </c>
      <c r="C185" s="125" t="s">
        <v>1730</v>
      </c>
      <c r="D185" s="125" t="s">
        <v>1731</v>
      </c>
      <c r="F185" s="125">
        <v>2.0</v>
      </c>
      <c r="H185" s="125" t="s">
        <v>27</v>
      </c>
      <c r="I185" s="125" t="s">
        <v>53</v>
      </c>
      <c r="O185" s="125" t="s">
        <v>54</v>
      </c>
      <c r="P185" s="125" t="s">
        <v>189</v>
      </c>
    </row>
    <row r="186" ht="14.25" customHeight="1">
      <c r="B186" s="125" t="s">
        <v>1732</v>
      </c>
      <c r="C186" s="125" t="s">
        <v>838</v>
      </c>
      <c r="D186" s="125" t="s">
        <v>1733</v>
      </c>
      <c r="F186" s="125">
        <v>2.0</v>
      </c>
      <c r="H186" s="125" t="s">
        <v>27</v>
      </c>
      <c r="I186" s="125" t="s">
        <v>992</v>
      </c>
      <c r="O186" s="125" t="s">
        <v>54</v>
      </c>
      <c r="P186" s="125" t="s">
        <v>188</v>
      </c>
    </row>
    <row r="187" ht="14.25" customHeight="1">
      <c r="B187" s="125" t="s">
        <v>1732</v>
      </c>
      <c r="C187" s="125" t="s">
        <v>838</v>
      </c>
      <c r="D187" s="125" t="s">
        <v>1733</v>
      </c>
      <c r="F187" s="125">
        <v>2.0</v>
      </c>
      <c r="H187" s="125" t="s">
        <v>27</v>
      </c>
      <c r="I187" s="125" t="s">
        <v>53</v>
      </c>
      <c r="O187" s="125" t="s">
        <v>54</v>
      </c>
      <c r="P187" s="125" t="s">
        <v>189</v>
      </c>
    </row>
    <row r="188" ht="14.25" customHeight="1">
      <c r="B188" s="125" t="s">
        <v>1734</v>
      </c>
      <c r="C188" s="125" t="s">
        <v>808</v>
      </c>
      <c r="D188" s="125" t="s">
        <v>1735</v>
      </c>
      <c r="F188" s="125">
        <v>5.0</v>
      </c>
      <c r="H188" s="125" t="s">
        <v>27</v>
      </c>
      <c r="I188" s="125" t="s">
        <v>53</v>
      </c>
      <c r="O188" s="125" t="s">
        <v>54</v>
      </c>
      <c r="P188" s="125" t="s">
        <v>189</v>
      </c>
    </row>
    <row r="189" ht="14.25" customHeight="1">
      <c r="B189" s="125" t="s">
        <v>1736</v>
      </c>
      <c r="C189" s="125" t="s">
        <v>1737</v>
      </c>
      <c r="D189" s="125" t="s">
        <v>779</v>
      </c>
      <c r="F189" s="125">
        <v>2.0</v>
      </c>
      <c r="H189" s="125" t="s">
        <v>27</v>
      </c>
      <c r="I189" s="125" t="s">
        <v>53</v>
      </c>
      <c r="O189" s="125" t="s">
        <v>74</v>
      </c>
      <c r="P189" s="125" t="s">
        <v>189</v>
      </c>
    </row>
    <row r="190" ht="14.25" customHeight="1">
      <c r="B190" s="125" t="s">
        <v>1738</v>
      </c>
      <c r="C190" s="125" t="s">
        <v>1739</v>
      </c>
      <c r="D190" s="125" t="s">
        <v>1740</v>
      </c>
      <c r="F190" s="125">
        <v>5.0</v>
      </c>
      <c r="H190" s="125" t="s">
        <v>27</v>
      </c>
      <c r="I190" s="125" t="s">
        <v>179</v>
      </c>
      <c r="O190" s="125" t="s">
        <v>54</v>
      </c>
      <c r="P190" s="125" t="s">
        <v>188</v>
      </c>
    </row>
    <row r="191" ht="14.25" customHeight="1">
      <c r="B191" s="125" t="s">
        <v>1741</v>
      </c>
      <c r="C191" s="125" t="s">
        <v>1742</v>
      </c>
      <c r="D191" s="125" t="s">
        <v>1743</v>
      </c>
      <c r="F191" s="125">
        <v>5.0</v>
      </c>
      <c r="H191" s="125" t="s">
        <v>27</v>
      </c>
      <c r="I191" s="125" t="s">
        <v>179</v>
      </c>
      <c r="O191" s="125" t="s">
        <v>74</v>
      </c>
      <c r="P191" s="125" t="s">
        <v>188</v>
      </c>
    </row>
    <row r="192" ht="14.25" customHeight="1">
      <c r="B192" s="125" t="s">
        <v>1744</v>
      </c>
      <c r="C192" s="125" t="s">
        <v>1745</v>
      </c>
      <c r="D192" s="125" t="s">
        <v>1746</v>
      </c>
      <c r="F192" s="125">
        <v>4.8</v>
      </c>
      <c r="H192" s="125" t="s">
        <v>28</v>
      </c>
      <c r="I192" s="125" t="s">
        <v>53</v>
      </c>
      <c r="O192" s="125" t="s">
        <v>54</v>
      </c>
      <c r="P192" s="125" t="s">
        <v>189</v>
      </c>
    </row>
    <row r="193" ht="15.75" customHeight="1">
      <c r="B193" s="125" t="s">
        <v>1747</v>
      </c>
      <c r="C193" s="125" t="s">
        <v>1748</v>
      </c>
      <c r="D193" s="125" t="s">
        <v>1749</v>
      </c>
      <c r="F193" s="125">
        <v>10.9</v>
      </c>
      <c r="H193" s="125" t="s">
        <v>28</v>
      </c>
      <c r="I193" s="125" t="s">
        <v>992</v>
      </c>
      <c r="O193" s="125" t="s">
        <v>54</v>
      </c>
      <c r="P193" s="125" t="s">
        <v>188</v>
      </c>
    </row>
    <row r="194" ht="15.75" customHeight="1">
      <c r="B194" s="125" t="s">
        <v>1750</v>
      </c>
      <c r="C194" s="125" t="s">
        <v>1751</v>
      </c>
      <c r="D194" s="125" t="s">
        <v>1752</v>
      </c>
      <c r="F194" s="125">
        <v>2.0</v>
      </c>
      <c r="H194" s="125" t="s">
        <v>28</v>
      </c>
      <c r="I194" s="125" t="s">
        <v>53</v>
      </c>
      <c r="O194" s="125" t="s">
        <v>54</v>
      </c>
      <c r="P194" s="125" t="s">
        <v>189</v>
      </c>
    </row>
    <row r="195" ht="15.75" customHeight="1">
      <c r="B195" s="125" t="s">
        <v>308</v>
      </c>
      <c r="C195" s="125" t="s">
        <v>1748</v>
      </c>
      <c r="D195" s="125" t="s">
        <v>1753</v>
      </c>
      <c r="F195" s="125">
        <v>2.0</v>
      </c>
      <c r="H195" s="125" t="s">
        <v>28</v>
      </c>
      <c r="I195" s="125" t="s">
        <v>53</v>
      </c>
      <c r="O195" s="125" t="s">
        <v>54</v>
      </c>
      <c r="P195" s="125" t="s">
        <v>189</v>
      </c>
    </row>
    <row r="196" ht="15.75" customHeight="1">
      <c r="B196" s="125" t="s">
        <v>1754</v>
      </c>
      <c r="C196" s="125" t="s">
        <v>1755</v>
      </c>
      <c r="D196" s="125" t="s">
        <v>1756</v>
      </c>
      <c r="F196" s="125">
        <v>2.0</v>
      </c>
      <c r="H196" s="125" t="s">
        <v>28</v>
      </c>
      <c r="I196" s="125" t="s">
        <v>992</v>
      </c>
      <c r="O196" s="125" t="s">
        <v>54</v>
      </c>
      <c r="P196" s="125" t="s">
        <v>188</v>
      </c>
    </row>
    <row r="197" ht="15.75" customHeight="1">
      <c r="B197" s="125" t="s">
        <v>1192</v>
      </c>
      <c r="C197" s="125" t="s">
        <v>1757</v>
      </c>
      <c r="D197" s="125" t="s">
        <v>752</v>
      </c>
      <c r="F197" s="125">
        <v>2.0</v>
      </c>
      <c r="H197" s="125" t="s">
        <v>28</v>
      </c>
      <c r="I197" s="125" t="s">
        <v>53</v>
      </c>
      <c r="O197" s="125" t="s">
        <v>54</v>
      </c>
      <c r="P197" s="125" t="s">
        <v>189</v>
      </c>
    </row>
    <row r="198" ht="15.75" customHeight="1">
      <c r="B198" s="125" t="s">
        <v>670</v>
      </c>
      <c r="C198" s="125" t="s">
        <v>1758</v>
      </c>
      <c r="D198" s="125" t="s">
        <v>1090</v>
      </c>
      <c r="F198" s="125">
        <v>2.0</v>
      </c>
      <c r="H198" s="125" t="s">
        <v>28</v>
      </c>
      <c r="I198" s="125" t="s">
        <v>53</v>
      </c>
      <c r="O198" s="125" t="s">
        <v>54</v>
      </c>
      <c r="P198" s="125" t="s">
        <v>189</v>
      </c>
    </row>
    <row r="199" ht="15.75" customHeight="1">
      <c r="B199" s="125" t="s">
        <v>1434</v>
      </c>
      <c r="C199" s="125" t="s">
        <v>1759</v>
      </c>
      <c r="D199" s="125" t="s">
        <v>1613</v>
      </c>
      <c r="F199" s="125">
        <v>4.8</v>
      </c>
      <c r="H199" s="125" t="s">
        <v>28</v>
      </c>
      <c r="I199" s="125" t="s">
        <v>53</v>
      </c>
      <c r="O199" s="125" t="s">
        <v>54</v>
      </c>
      <c r="P199" s="125" t="s">
        <v>189</v>
      </c>
    </row>
    <row r="200" ht="15.75" customHeight="1">
      <c r="B200" s="125" t="s">
        <v>1760</v>
      </c>
      <c r="C200" s="125" t="s">
        <v>1761</v>
      </c>
      <c r="D200" s="125" t="s">
        <v>1762</v>
      </c>
      <c r="F200" s="125">
        <v>2.0</v>
      </c>
      <c r="H200" s="125" t="s">
        <v>28</v>
      </c>
      <c r="I200" s="125" t="s">
        <v>53</v>
      </c>
      <c r="O200" s="125" t="s">
        <v>54</v>
      </c>
      <c r="P200" s="125" t="s">
        <v>189</v>
      </c>
    </row>
    <row r="201" ht="15.75" customHeight="1">
      <c r="B201" s="125" t="s">
        <v>1763</v>
      </c>
      <c r="C201" s="125" t="s">
        <v>324</v>
      </c>
      <c r="D201" s="125" t="s">
        <v>1762</v>
      </c>
      <c r="F201" s="125">
        <v>2.0</v>
      </c>
      <c r="H201" s="125" t="s">
        <v>28</v>
      </c>
      <c r="I201" s="125" t="s">
        <v>179</v>
      </c>
      <c r="O201" s="125" t="s">
        <v>54</v>
      </c>
      <c r="P201" s="125" t="s">
        <v>188</v>
      </c>
    </row>
    <row r="202" ht="15.75" customHeight="1">
      <c r="B202" s="125" t="s">
        <v>1764</v>
      </c>
      <c r="C202" s="125" t="s">
        <v>1765</v>
      </c>
      <c r="D202" s="125" t="s">
        <v>1755</v>
      </c>
      <c r="F202" s="125">
        <v>2.0</v>
      </c>
      <c r="H202" s="125" t="s">
        <v>28</v>
      </c>
      <c r="I202" s="125" t="s">
        <v>179</v>
      </c>
      <c r="O202" s="125" t="s">
        <v>54</v>
      </c>
      <c r="P202" s="125" t="s">
        <v>188</v>
      </c>
    </row>
    <row r="203" ht="15.75" customHeight="1">
      <c r="B203" s="125" t="s">
        <v>1554</v>
      </c>
      <c r="C203" s="125" t="s">
        <v>866</v>
      </c>
      <c r="D203" s="125" t="s">
        <v>380</v>
      </c>
      <c r="E203" s="125" t="s">
        <v>1766</v>
      </c>
      <c r="F203" s="125">
        <v>5.5</v>
      </c>
      <c r="H203" s="125" t="s">
        <v>28</v>
      </c>
      <c r="I203" s="125" t="s">
        <v>179</v>
      </c>
      <c r="O203" s="125" t="s">
        <v>54</v>
      </c>
      <c r="P203" s="125" t="s">
        <v>188</v>
      </c>
    </row>
    <row r="204" ht="15.75" customHeight="1">
      <c r="B204" s="125" t="s">
        <v>1767</v>
      </c>
      <c r="C204" s="125" t="s">
        <v>866</v>
      </c>
      <c r="D204" s="125" t="s">
        <v>380</v>
      </c>
      <c r="F204" s="125">
        <v>2.0</v>
      </c>
      <c r="H204" s="125" t="s">
        <v>28</v>
      </c>
      <c r="I204" s="125" t="s">
        <v>992</v>
      </c>
      <c r="O204" s="125" t="s">
        <v>74</v>
      </c>
      <c r="P204" s="125" t="s">
        <v>188</v>
      </c>
    </row>
    <row r="205" ht="15.75" customHeight="1">
      <c r="B205" s="125" t="s">
        <v>1768</v>
      </c>
      <c r="C205" s="125" t="s">
        <v>1769</v>
      </c>
      <c r="D205" s="125" t="s">
        <v>1770</v>
      </c>
      <c r="F205" s="125">
        <v>2.0</v>
      </c>
      <c r="H205" s="125" t="s">
        <v>28</v>
      </c>
      <c r="I205" s="125" t="s">
        <v>53</v>
      </c>
      <c r="O205" s="125" t="s">
        <v>54</v>
      </c>
      <c r="P205" s="125" t="s">
        <v>189</v>
      </c>
    </row>
    <row r="206" ht="15.75" customHeight="1">
      <c r="B206" s="125" t="s">
        <v>1161</v>
      </c>
      <c r="C206" s="125" t="s">
        <v>346</v>
      </c>
      <c r="D206" s="125" t="s">
        <v>1770</v>
      </c>
      <c r="F206" s="125">
        <v>2.0</v>
      </c>
      <c r="H206" s="125" t="s">
        <v>28</v>
      </c>
      <c r="I206" s="125" t="s">
        <v>172</v>
      </c>
      <c r="O206" s="125" t="s">
        <v>54</v>
      </c>
      <c r="P206" s="125" t="s">
        <v>189</v>
      </c>
    </row>
    <row r="207" ht="15.75" customHeight="1">
      <c r="B207" s="125" t="s">
        <v>1161</v>
      </c>
      <c r="C207" s="125" t="s">
        <v>1771</v>
      </c>
      <c r="D207" s="125" t="s">
        <v>1772</v>
      </c>
      <c r="F207" s="125">
        <v>2.0</v>
      </c>
      <c r="H207" s="125" t="s">
        <v>28</v>
      </c>
      <c r="I207" s="125" t="s">
        <v>172</v>
      </c>
      <c r="O207" s="125" t="s">
        <v>54</v>
      </c>
      <c r="P207" s="125" t="s">
        <v>189</v>
      </c>
    </row>
    <row r="208" ht="15.75" customHeight="1">
      <c r="B208" s="125" t="s">
        <v>550</v>
      </c>
      <c r="C208" s="125" t="s">
        <v>1773</v>
      </c>
      <c r="D208" s="125" t="s">
        <v>1774</v>
      </c>
      <c r="F208" s="125">
        <v>4.8</v>
      </c>
      <c r="H208" s="125" t="s">
        <v>28</v>
      </c>
      <c r="I208" s="125" t="s">
        <v>53</v>
      </c>
      <c r="O208" s="125" t="s">
        <v>54</v>
      </c>
      <c r="P208" s="125" t="s">
        <v>189</v>
      </c>
    </row>
    <row r="209" ht="15.75" customHeight="1">
      <c r="B209" s="125" t="s">
        <v>1775</v>
      </c>
      <c r="C209" s="125" t="s">
        <v>1776</v>
      </c>
      <c r="D209" s="125" t="s">
        <v>1777</v>
      </c>
      <c r="F209" s="125">
        <v>2.0</v>
      </c>
      <c r="H209" s="125" t="s">
        <v>28</v>
      </c>
      <c r="I209" s="125" t="s">
        <v>179</v>
      </c>
      <c r="O209" s="125" t="s">
        <v>54</v>
      </c>
      <c r="P209" s="125" t="s">
        <v>188</v>
      </c>
    </row>
    <row r="210" ht="15.75" customHeight="1">
      <c r="B210" s="125" t="s">
        <v>1778</v>
      </c>
      <c r="C210" s="125" t="s">
        <v>1779</v>
      </c>
      <c r="D210" s="125" t="s">
        <v>85</v>
      </c>
      <c r="F210" s="125">
        <v>2.0</v>
      </c>
      <c r="H210" s="125" t="s">
        <v>28</v>
      </c>
      <c r="I210" s="125" t="s">
        <v>179</v>
      </c>
      <c r="O210" s="125" t="s">
        <v>74</v>
      </c>
      <c r="P210" s="125" t="s">
        <v>188</v>
      </c>
    </row>
    <row r="211" ht="15.75" customHeight="1">
      <c r="B211" s="125" t="s">
        <v>618</v>
      </c>
      <c r="C211" s="125" t="s">
        <v>1250</v>
      </c>
      <c r="D211" s="125" t="s">
        <v>1780</v>
      </c>
      <c r="F211" s="125">
        <v>4.5</v>
      </c>
      <c r="H211" s="125" t="s">
        <v>28</v>
      </c>
      <c r="I211" s="125" t="s">
        <v>172</v>
      </c>
      <c r="O211" s="125" t="s">
        <v>54</v>
      </c>
      <c r="P211" s="125" t="s">
        <v>189</v>
      </c>
    </row>
    <row r="212" ht="15.75" customHeight="1">
      <c r="B212" s="125" t="s">
        <v>393</v>
      </c>
      <c r="C212" s="125" t="s">
        <v>538</v>
      </c>
      <c r="D212" s="125" t="s">
        <v>1781</v>
      </c>
      <c r="F212" s="125">
        <v>5.7</v>
      </c>
      <c r="H212" s="125" t="s">
        <v>28</v>
      </c>
      <c r="I212" s="125" t="s">
        <v>172</v>
      </c>
      <c r="O212" s="125" t="s">
        <v>74</v>
      </c>
      <c r="P212" s="125" t="s">
        <v>189</v>
      </c>
    </row>
    <row r="213" ht="15.75" customHeight="1">
      <c r="B213" s="125" t="s">
        <v>1782</v>
      </c>
      <c r="C213" s="125" t="s">
        <v>1783</v>
      </c>
      <c r="D213" s="125" t="s">
        <v>1784</v>
      </c>
      <c r="F213" s="125">
        <v>4.5</v>
      </c>
      <c r="H213" s="125" t="s">
        <v>28</v>
      </c>
      <c r="I213" s="125" t="s">
        <v>172</v>
      </c>
      <c r="O213" s="125" t="s">
        <v>54</v>
      </c>
      <c r="P213" s="125" t="s">
        <v>189</v>
      </c>
    </row>
    <row r="214" ht="15.75" customHeight="1">
      <c r="B214" s="125" t="s">
        <v>510</v>
      </c>
      <c r="C214" s="125" t="s">
        <v>1785</v>
      </c>
      <c r="D214" s="125" t="s">
        <v>1786</v>
      </c>
      <c r="F214" s="125">
        <v>5.0</v>
      </c>
      <c r="H214" s="125" t="s">
        <v>28</v>
      </c>
      <c r="I214" s="125" t="s">
        <v>155</v>
      </c>
      <c r="O214" s="125" t="s">
        <v>54</v>
      </c>
      <c r="P214" s="125" t="s">
        <v>189</v>
      </c>
    </row>
    <row r="215" ht="15.75" customHeight="1">
      <c r="B215" s="125" t="s">
        <v>608</v>
      </c>
      <c r="C215" s="125" t="s">
        <v>558</v>
      </c>
      <c r="D215" s="125" t="s">
        <v>1787</v>
      </c>
      <c r="F215" s="125">
        <v>5.0</v>
      </c>
      <c r="H215" s="125" t="s">
        <v>28</v>
      </c>
      <c r="I215" s="125" t="s">
        <v>155</v>
      </c>
      <c r="O215" s="125" t="s">
        <v>54</v>
      </c>
      <c r="P215" s="125" t="s">
        <v>189</v>
      </c>
    </row>
    <row r="216" ht="15.75" customHeight="1">
      <c r="B216" s="125" t="s">
        <v>1788</v>
      </c>
      <c r="C216" s="125" t="s">
        <v>1789</v>
      </c>
      <c r="D216" s="125" t="s">
        <v>944</v>
      </c>
      <c r="F216" s="125">
        <v>5.0</v>
      </c>
      <c r="H216" s="125" t="s">
        <v>28</v>
      </c>
      <c r="I216" s="125" t="s">
        <v>53</v>
      </c>
      <c r="O216" s="125" t="s">
        <v>54</v>
      </c>
      <c r="P216" s="125" t="s">
        <v>189</v>
      </c>
    </row>
    <row r="217" ht="15.75" customHeight="1">
      <c r="B217" s="125" t="s">
        <v>1122</v>
      </c>
      <c r="C217" s="125" t="s">
        <v>936</v>
      </c>
      <c r="D217" s="125" t="s">
        <v>334</v>
      </c>
      <c r="F217" s="125">
        <v>4.5</v>
      </c>
      <c r="H217" s="125" t="s">
        <v>28</v>
      </c>
      <c r="I217" s="125" t="s">
        <v>172</v>
      </c>
      <c r="O217" s="125" t="s">
        <v>54</v>
      </c>
      <c r="P217" s="125" t="s">
        <v>189</v>
      </c>
    </row>
    <row r="218" ht="15.75" customHeight="1">
      <c r="B218" s="125" t="s">
        <v>1790</v>
      </c>
      <c r="C218" s="125" t="s">
        <v>1555</v>
      </c>
      <c r="D218" s="125" t="s">
        <v>146</v>
      </c>
      <c r="F218" s="125">
        <v>8.25</v>
      </c>
      <c r="H218" s="125" t="s">
        <v>28</v>
      </c>
      <c r="I218" s="125" t="s">
        <v>172</v>
      </c>
      <c r="O218" s="125" t="s">
        <v>54</v>
      </c>
      <c r="P218" s="125" t="s">
        <v>189</v>
      </c>
    </row>
    <row r="219" ht="15.75" customHeight="1">
      <c r="B219" s="125" t="s">
        <v>501</v>
      </c>
      <c r="C219" s="125" t="s">
        <v>1791</v>
      </c>
      <c r="D219" s="125" t="s">
        <v>1792</v>
      </c>
      <c r="F219" s="125">
        <v>5.0</v>
      </c>
      <c r="H219" s="125" t="s">
        <v>28</v>
      </c>
      <c r="I219" s="125" t="s">
        <v>172</v>
      </c>
      <c r="O219" s="125" t="s">
        <v>54</v>
      </c>
      <c r="P219" s="125" t="s">
        <v>189</v>
      </c>
    </row>
    <row r="220" ht="15.75" customHeight="1">
      <c r="B220" s="125" t="s">
        <v>1793</v>
      </c>
      <c r="C220" s="125" t="s">
        <v>1794</v>
      </c>
      <c r="D220" s="125" t="s">
        <v>1672</v>
      </c>
      <c r="F220" s="125">
        <v>5.7</v>
      </c>
      <c r="H220" s="125" t="s">
        <v>28</v>
      </c>
      <c r="I220" s="125" t="s">
        <v>172</v>
      </c>
      <c r="O220" s="125" t="s">
        <v>54</v>
      </c>
      <c r="P220" s="125" t="s">
        <v>189</v>
      </c>
    </row>
    <row r="221" ht="15.75" customHeight="1">
      <c r="B221" s="125" t="s">
        <v>1795</v>
      </c>
      <c r="C221" s="125" t="s">
        <v>1796</v>
      </c>
      <c r="D221" s="125" t="s">
        <v>1797</v>
      </c>
      <c r="F221" s="125">
        <v>2.0</v>
      </c>
      <c r="H221" s="125" t="s">
        <v>28</v>
      </c>
      <c r="I221" s="125" t="s">
        <v>172</v>
      </c>
      <c r="O221" s="125" t="s">
        <v>54</v>
      </c>
      <c r="P221" s="125" t="s">
        <v>189</v>
      </c>
    </row>
    <row r="222" ht="15.75" customHeight="1">
      <c r="B222" s="125" t="s">
        <v>1798</v>
      </c>
      <c r="C222" s="125" t="s">
        <v>1799</v>
      </c>
      <c r="D222" s="125" t="s">
        <v>1800</v>
      </c>
      <c r="F222" s="125">
        <v>2.0</v>
      </c>
      <c r="H222" s="125" t="s">
        <v>28</v>
      </c>
      <c r="I222" s="125" t="s">
        <v>155</v>
      </c>
      <c r="O222" s="125" t="s">
        <v>54</v>
      </c>
      <c r="P222" s="125" t="s">
        <v>189</v>
      </c>
    </row>
    <row r="223" ht="15.75" customHeight="1">
      <c r="B223" s="125" t="s">
        <v>233</v>
      </c>
      <c r="C223" s="125" t="s">
        <v>1801</v>
      </c>
      <c r="D223" s="125" t="s">
        <v>1800</v>
      </c>
      <c r="E223" s="125" t="s">
        <v>137</v>
      </c>
      <c r="F223" s="125">
        <v>2.0</v>
      </c>
      <c r="H223" s="125" t="s">
        <v>28</v>
      </c>
      <c r="I223" s="125" t="s">
        <v>155</v>
      </c>
      <c r="O223" s="125" t="s">
        <v>54</v>
      </c>
      <c r="P223" s="125" t="s">
        <v>189</v>
      </c>
    </row>
    <row r="224" ht="15.75" customHeight="1">
      <c r="B224" s="125" t="s">
        <v>1802</v>
      </c>
      <c r="C224" s="125" t="s">
        <v>1803</v>
      </c>
      <c r="D224" s="125" t="s">
        <v>1804</v>
      </c>
      <c r="F224" s="125">
        <v>2.0</v>
      </c>
      <c r="H224" s="125" t="s">
        <v>28</v>
      </c>
      <c r="I224" s="125" t="s">
        <v>155</v>
      </c>
      <c r="O224" s="125" t="s">
        <v>54</v>
      </c>
      <c r="P224" s="125" t="s">
        <v>189</v>
      </c>
    </row>
    <row r="225" ht="15.75" customHeight="1">
      <c r="B225" s="125" t="s">
        <v>1805</v>
      </c>
      <c r="C225" s="125" t="s">
        <v>464</v>
      </c>
      <c r="D225" s="125" t="s">
        <v>1806</v>
      </c>
      <c r="F225" s="125">
        <v>2.0</v>
      </c>
      <c r="H225" s="125" t="s">
        <v>28</v>
      </c>
      <c r="I225" s="125" t="s">
        <v>155</v>
      </c>
      <c r="O225" s="125" t="s">
        <v>54</v>
      </c>
      <c r="P225" s="125" t="s">
        <v>189</v>
      </c>
    </row>
    <row r="226" ht="15.75" customHeight="1">
      <c r="B226" s="125" t="s">
        <v>1807</v>
      </c>
      <c r="C226" s="125" t="s">
        <v>1808</v>
      </c>
      <c r="D226" s="125" t="s">
        <v>1809</v>
      </c>
      <c r="F226" s="125">
        <v>2.0</v>
      </c>
      <c r="H226" s="125" t="s">
        <v>28</v>
      </c>
      <c r="I226" s="125" t="s">
        <v>172</v>
      </c>
      <c r="O226" s="125" t="s">
        <v>54</v>
      </c>
      <c r="P226" s="125" t="s">
        <v>189</v>
      </c>
    </row>
    <row r="227" ht="15.75" customHeight="1">
      <c r="B227" s="125" t="s">
        <v>949</v>
      </c>
      <c r="C227" s="125" t="s">
        <v>1810</v>
      </c>
      <c r="D227" s="125" t="s">
        <v>329</v>
      </c>
      <c r="F227" s="125">
        <v>2.0</v>
      </c>
      <c r="H227" s="125" t="s">
        <v>28</v>
      </c>
      <c r="I227" s="125" t="s">
        <v>172</v>
      </c>
      <c r="O227" s="125" t="s">
        <v>54</v>
      </c>
      <c r="P227" s="125" t="s">
        <v>189</v>
      </c>
    </row>
    <row r="228" ht="15.75" customHeight="1">
      <c r="B228" s="125" t="s">
        <v>1483</v>
      </c>
      <c r="C228" s="125" t="s">
        <v>1811</v>
      </c>
      <c r="D228" s="125" t="s">
        <v>1812</v>
      </c>
      <c r="F228" s="125">
        <v>2.0</v>
      </c>
      <c r="H228" s="125" t="s">
        <v>28</v>
      </c>
      <c r="I228" s="125" t="s">
        <v>179</v>
      </c>
      <c r="O228" s="125" t="s">
        <v>54</v>
      </c>
      <c r="P228" s="125" t="s">
        <v>188</v>
      </c>
    </row>
    <row r="229" ht="15.75" customHeight="1">
      <c r="B229" s="125" t="s">
        <v>165</v>
      </c>
      <c r="C229" s="125" t="s">
        <v>1813</v>
      </c>
      <c r="D229" s="125" t="s">
        <v>1493</v>
      </c>
      <c r="F229" s="125">
        <v>2.0</v>
      </c>
      <c r="H229" s="125" t="s">
        <v>28</v>
      </c>
      <c r="I229" s="125" t="s">
        <v>179</v>
      </c>
      <c r="O229" s="125" t="s">
        <v>54</v>
      </c>
      <c r="P229" s="125" t="s">
        <v>188</v>
      </c>
    </row>
    <row r="230" ht="15.75" customHeight="1">
      <c r="B230" s="125" t="s">
        <v>1814</v>
      </c>
      <c r="C230" s="125" t="s">
        <v>1815</v>
      </c>
      <c r="D230" s="125" t="s">
        <v>1816</v>
      </c>
      <c r="F230" s="125">
        <v>2.0</v>
      </c>
      <c r="H230" s="125" t="s">
        <v>28</v>
      </c>
      <c r="I230" s="125" t="s">
        <v>179</v>
      </c>
      <c r="O230" s="125" t="s">
        <v>54</v>
      </c>
      <c r="P230" s="125" t="s">
        <v>188</v>
      </c>
    </row>
    <row r="231" ht="15.75" customHeight="1">
      <c r="B231" s="125" t="s">
        <v>1817</v>
      </c>
      <c r="C231" s="125" t="s">
        <v>1818</v>
      </c>
      <c r="D231" s="125" t="s">
        <v>186</v>
      </c>
      <c r="F231" s="125">
        <v>2.0</v>
      </c>
      <c r="H231" s="125" t="s">
        <v>28</v>
      </c>
      <c r="I231" s="125" t="s">
        <v>179</v>
      </c>
      <c r="O231" s="125" t="s">
        <v>54</v>
      </c>
      <c r="P231" s="125" t="s">
        <v>188</v>
      </c>
    </row>
    <row r="232" ht="15.75" customHeight="1">
      <c r="B232" s="125" t="s">
        <v>1819</v>
      </c>
      <c r="C232" s="125" t="s">
        <v>1820</v>
      </c>
      <c r="D232" s="125" t="s">
        <v>1821</v>
      </c>
      <c r="F232" s="125">
        <v>2.0</v>
      </c>
      <c r="H232" s="125" t="s">
        <v>28</v>
      </c>
      <c r="I232" s="125" t="s">
        <v>179</v>
      </c>
      <c r="O232" s="125" t="s">
        <v>54</v>
      </c>
      <c r="P232" s="125" t="s">
        <v>188</v>
      </c>
    </row>
    <row r="233" ht="15.75" customHeight="1">
      <c r="B233" s="125" t="s">
        <v>1357</v>
      </c>
      <c r="C233" s="125" t="s">
        <v>1822</v>
      </c>
      <c r="D233" s="125" t="s">
        <v>1821</v>
      </c>
      <c r="F233" s="125">
        <v>2.0</v>
      </c>
      <c r="H233" s="125" t="s">
        <v>28</v>
      </c>
      <c r="I233" s="125" t="s">
        <v>179</v>
      </c>
      <c r="O233" s="125" t="s">
        <v>54</v>
      </c>
      <c r="P233" s="125" t="s">
        <v>188</v>
      </c>
    </row>
    <row r="234" ht="15.75" customHeight="1">
      <c r="B234" s="125" t="s">
        <v>1823</v>
      </c>
      <c r="C234" s="125" t="s">
        <v>1824</v>
      </c>
      <c r="D234" s="125" t="s">
        <v>1825</v>
      </c>
      <c r="F234" s="125">
        <v>5.0</v>
      </c>
      <c r="H234" s="125" t="s">
        <v>29</v>
      </c>
      <c r="I234" s="125" t="s">
        <v>172</v>
      </c>
      <c r="O234" s="125" t="s">
        <v>74</v>
      </c>
      <c r="P234" s="125" t="s">
        <v>189</v>
      </c>
    </row>
    <row r="235" ht="15.75" customHeight="1">
      <c r="B235" s="125" t="s">
        <v>1826</v>
      </c>
      <c r="C235" s="125" t="s">
        <v>1827</v>
      </c>
      <c r="D235" s="125" t="s">
        <v>1828</v>
      </c>
      <c r="F235" s="125">
        <v>2.0</v>
      </c>
      <c r="H235" s="125" t="s">
        <v>29</v>
      </c>
      <c r="I235" s="125" t="s">
        <v>155</v>
      </c>
      <c r="O235" s="125" t="s">
        <v>74</v>
      </c>
      <c r="P235" s="125" t="s">
        <v>189</v>
      </c>
    </row>
    <row r="236" ht="15.75" customHeight="1">
      <c r="B236" s="125" t="s">
        <v>1829</v>
      </c>
      <c r="C236" s="125" t="s">
        <v>597</v>
      </c>
      <c r="D236" s="125" t="s">
        <v>1830</v>
      </c>
      <c r="F236" s="125">
        <v>2.0</v>
      </c>
      <c r="H236" s="125" t="s">
        <v>29</v>
      </c>
      <c r="I236" s="125" t="s">
        <v>155</v>
      </c>
      <c r="O236" s="125" t="s">
        <v>74</v>
      </c>
      <c r="P236" s="125" t="s">
        <v>189</v>
      </c>
    </row>
    <row r="237" ht="15.75" customHeight="1">
      <c r="B237" s="125" t="s">
        <v>1831</v>
      </c>
      <c r="C237" s="125" t="s">
        <v>1832</v>
      </c>
      <c r="D237" s="125" t="s">
        <v>1833</v>
      </c>
      <c r="F237" s="125">
        <v>2.0</v>
      </c>
      <c r="H237" s="125" t="s">
        <v>29</v>
      </c>
      <c r="I237" s="125" t="s">
        <v>172</v>
      </c>
      <c r="O237" s="125" t="s">
        <v>74</v>
      </c>
      <c r="P237" s="125" t="s">
        <v>189</v>
      </c>
    </row>
    <row r="238" ht="15.75" customHeight="1">
      <c r="B238" s="125" t="s">
        <v>1834</v>
      </c>
      <c r="C238" s="125" t="s">
        <v>1835</v>
      </c>
      <c r="D238" s="125" t="s">
        <v>944</v>
      </c>
      <c r="F238" s="125">
        <v>2.0</v>
      </c>
      <c r="H238" s="125" t="s">
        <v>29</v>
      </c>
      <c r="I238" s="125" t="s">
        <v>155</v>
      </c>
      <c r="O238" s="125" t="s">
        <v>74</v>
      </c>
      <c r="P238" s="125" t="s">
        <v>189</v>
      </c>
    </row>
    <row r="239" ht="15.75" customHeight="1">
      <c r="B239" s="125" t="s">
        <v>1836</v>
      </c>
      <c r="C239" s="125" t="s">
        <v>1837</v>
      </c>
      <c r="D239" s="125" t="s">
        <v>1838</v>
      </c>
      <c r="F239" s="125">
        <v>2.0</v>
      </c>
      <c r="H239" s="125" t="s">
        <v>29</v>
      </c>
      <c r="I239" s="125" t="s">
        <v>172</v>
      </c>
      <c r="O239" s="125" t="s">
        <v>54</v>
      </c>
      <c r="P239" s="125" t="s">
        <v>189</v>
      </c>
    </row>
    <row r="240" ht="15.75" customHeight="1">
      <c r="B240" s="125" t="s">
        <v>1839</v>
      </c>
      <c r="C240" s="125" t="s">
        <v>820</v>
      </c>
      <c r="D240" s="125" t="s">
        <v>1840</v>
      </c>
      <c r="F240" s="125">
        <v>2.0</v>
      </c>
      <c r="H240" s="125" t="s">
        <v>29</v>
      </c>
      <c r="I240" s="125" t="s">
        <v>992</v>
      </c>
      <c r="O240" s="125" t="s">
        <v>74</v>
      </c>
      <c r="P240" s="125" t="s">
        <v>188</v>
      </c>
    </row>
    <row r="241" ht="15.75" customHeight="1">
      <c r="B241" s="125" t="s">
        <v>1841</v>
      </c>
      <c r="C241" s="125" t="s">
        <v>1842</v>
      </c>
      <c r="D241" s="125" t="s">
        <v>1840</v>
      </c>
      <c r="F241" s="125">
        <v>2.0</v>
      </c>
      <c r="H241" s="125" t="s">
        <v>29</v>
      </c>
      <c r="I241" s="125" t="s">
        <v>155</v>
      </c>
      <c r="O241" s="125" t="s">
        <v>74</v>
      </c>
      <c r="P241" s="125" t="s">
        <v>189</v>
      </c>
    </row>
    <row r="242" ht="15.75" customHeight="1">
      <c r="B242" s="125" t="s">
        <v>1703</v>
      </c>
      <c r="C242" s="125" t="s">
        <v>1843</v>
      </c>
      <c r="D242" s="125" t="s">
        <v>1844</v>
      </c>
      <c r="F242" s="125">
        <v>5.0</v>
      </c>
      <c r="H242" s="125" t="s">
        <v>29</v>
      </c>
      <c r="I242" s="125" t="s">
        <v>992</v>
      </c>
      <c r="O242" s="125" t="s">
        <v>74</v>
      </c>
      <c r="P242" s="125" t="s">
        <v>188</v>
      </c>
    </row>
    <row r="243" ht="15.75" customHeight="1">
      <c r="B243" s="125" t="s">
        <v>1845</v>
      </c>
      <c r="C243" s="125" t="s">
        <v>1846</v>
      </c>
      <c r="D243" s="125" t="s">
        <v>350</v>
      </c>
      <c r="F243" s="125">
        <v>2.0</v>
      </c>
      <c r="H243" s="125" t="s">
        <v>29</v>
      </c>
      <c r="I243" s="125" t="s">
        <v>155</v>
      </c>
      <c r="O243" s="125" t="s">
        <v>74</v>
      </c>
      <c r="P243" s="125" t="s">
        <v>189</v>
      </c>
    </row>
    <row r="244" ht="15.75" customHeight="1">
      <c r="B244" s="125" t="s">
        <v>1847</v>
      </c>
      <c r="C244" s="125" t="s">
        <v>1848</v>
      </c>
      <c r="D244" s="125" t="s">
        <v>1849</v>
      </c>
      <c r="E244" s="125" t="s">
        <v>1850</v>
      </c>
      <c r="F244" s="125">
        <v>2.0</v>
      </c>
      <c r="H244" s="125" t="s">
        <v>29</v>
      </c>
      <c r="I244" s="125" t="s">
        <v>155</v>
      </c>
      <c r="O244" s="125" t="s">
        <v>74</v>
      </c>
      <c r="P244" s="125" t="s">
        <v>189</v>
      </c>
    </row>
    <row r="245" ht="15.75" customHeight="1">
      <c r="B245" s="125" t="s">
        <v>1851</v>
      </c>
      <c r="C245" s="125" t="s">
        <v>1852</v>
      </c>
      <c r="D245" s="125" t="s">
        <v>1853</v>
      </c>
      <c r="F245" s="125">
        <v>2.0</v>
      </c>
      <c r="H245" s="125" t="s">
        <v>29</v>
      </c>
      <c r="I245" s="125" t="s">
        <v>172</v>
      </c>
      <c r="O245" s="125" t="s">
        <v>74</v>
      </c>
      <c r="P245" s="125" t="s">
        <v>189</v>
      </c>
    </row>
    <row r="246" ht="15.75" customHeight="1">
      <c r="B246" s="125" t="s">
        <v>975</v>
      </c>
      <c r="C246" s="125" t="s">
        <v>1854</v>
      </c>
      <c r="D246" s="125" t="s">
        <v>1835</v>
      </c>
      <c r="F246" s="125">
        <v>2.0</v>
      </c>
      <c r="H246" s="125" t="s">
        <v>29</v>
      </c>
      <c r="I246" s="125" t="s">
        <v>172</v>
      </c>
      <c r="O246" s="125" t="s">
        <v>74</v>
      </c>
      <c r="P246" s="125" t="s">
        <v>189</v>
      </c>
    </row>
    <row r="247" ht="15.75" customHeight="1">
      <c r="B247" s="125" t="s">
        <v>1855</v>
      </c>
      <c r="C247" s="125" t="s">
        <v>585</v>
      </c>
      <c r="D247" s="125" t="s">
        <v>1856</v>
      </c>
      <c r="F247" s="125">
        <v>2.0</v>
      </c>
      <c r="H247" s="125" t="s">
        <v>29</v>
      </c>
      <c r="I247" s="125" t="s">
        <v>172</v>
      </c>
      <c r="O247" s="125" t="s">
        <v>74</v>
      </c>
      <c r="P247" s="125" t="s">
        <v>189</v>
      </c>
    </row>
    <row r="248" ht="15.75" customHeight="1">
      <c r="B248" s="125" t="s">
        <v>1313</v>
      </c>
      <c r="C248" s="125" t="s">
        <v>1857</v>
      </c>
      <c r="D248" s="125" t="s">
        <v>644</v>
      </c>
      <c r="F248" s="125">
        <v>4.5</v>
      </c>
      <c r="H248" s="125" t="s">
        <v>29</v>
      </c>
      <c r="I248" s="125" t="s">
        <v>155</v>
      </c>
      <c r="O248" s="125" t="s">
        <v>74</v>
      </c>
      <c r="P248" s="125" t="s">
        <v>189</v>
      </c>
    </row>
    <row r="249" ht="15.75" customHeight="1">
      <c r="B249" s="125" t="s">
        <v>1858</v>
      </c>
      <c r="C249" s="125" t="s">
        <v>1859</v>
      </c>
      <c r="D249" s="125" t="s">
        <v>1860</v>
      </c>
      <c r="F249" s="125">
        <v>2.0</v>
      </c>
      <c r="H249" s="125" t="s">
        <v>29</v>
      </c>
      <c r="I249" s="125" t="s">
        <v>155</v>
      </c>
      <c r="O249" s="125" t="s">
        <v>74</v>
      </c>
      <c r="P249" s="125" t="s">
        <v>189</v>
      </c>
    </row>
    <row r="250" ht="15.75" customHeight="1">
      <c r="B250" s="125" t="s">
        <v>1861</v>
      </c>
      <c r="C250" s="125" t="s">
        <v>998</v>
      </c>
      <c r="D250" s="125" t="s">
        <v>1862</v>
      </c>
      <c r="F250" s="125">
        <v>5.0</v>
      </c>
      <c r="H250" s="125" t="s">
        <v>29</v>
      </c>
      <c r="I250" s="125" t="s">
        <v>992</v>
      </c>
      <c r="O250" s="125" t="s">
        <v>74</v>
      </c>
      <c r="P250" s="125" t="s">
        <v>188</v>
      </c>
    </row>
    <row r="251" ht="15.75" customHeight="1">
      <c r="B251" s="125" t="s">
        <v>214</v>
      </c>
      <c r="C251" s="125" t="s">
        <v>1863</v>
      </c>
      <c r="D251" s="125" t="s">
        <v>1864</v>
      </c>
      <c r="F251" s="125">
        <v>2.0</v>
      </c>
      <c r="H251" s="125" t="s">
        <v>29</v>
      </c>
      <c r="I251" s="125" t="s">
        <v>172</v>
      </c>
      <c r="O251" s="125" t="s">
        <v>74</v>
      </c>
      <c r="P251" s="125" t="s">
        <v>189</v>
      </c>
    </row>
    <row r="252" ht="15.75" customHeight="1">
      <c r="B252" s="125" t="s">
        <v>1865</v>
      </c>
      <c r="C252" s="125" t="s">
        <v>1866</v>
      </c>
      <c r="D252" s="125" t="s">
        <v>88</v>
      </c>
      <c r="F252" s="125">
        <v>2.0</v>
      </c>
      <c r="H252" s="125" t="s">
        <v>29</v>
      </c>
      <c r="I252" s="125" t="s">
        <v>172</v>
      </c>
      <c r="O252" s="125" t="s">
        <v>74</v>
      </c>
      <c r="P252" s="125" t="s">
        <v>189</v>
      </c>
    </row>
    <row r="253" ht="15.75" customHeight="1">
      <c r="B253" s="125" t="s">
        <v>1867</v>
      </c>
      <c r="C253" s="125" t="s">
        <v>1868</v>
      </c>
      <c r="D253" s="125" t="s">
        <v>398</v>
      </c>
      <c r="F253" s="125">
        <v>2.0</v>
      </c>
      <c r="H253" s="125" t="s">
        <v>30</v>
      </c>
      <c r="I253" s="125" t="s">
        <v>992</v>
      </c>
      <c r="O253" s="125" t="s">
        <v>74</v>
      </c>
      <c r="P253" s="125" t="s">
        <v>188</v>
      </c>
    </row>
    <row r="254" ht="15.75" customHeight="1">
      <c r="B254" s="125" t="s">
        <v>989</v>
      </c>
      <c r="C254" s="125" t="s">
        <v>1869</v>
      </c>
      <c r="D254" s="125" t="s">
        <v>1870</v>
      </c>
      <c r="F254" s="125">
        <v>2.0</v>
      </c>
      <c r="H254" s="125" t="s">
        <v>30</v>
      </c>
      <c r="I254" s="125" t="s">
        <v>172</v>
      </c>
      <c r="O254" s="125" t="s">
        <v>74</v>
      </c>
      <c r="P254" s="125" t="s">
        <v>189</v>
      </c>
    </row>
    <row r="255" ht="15.75" customHeight="1">
      <c r="B255" s="125" t="s">
        <v>1871</v>
      </c>
      <c r="C255" s="125" t="s">
        <v>782</v>
      </c>
      <c r="D255" s="125" t="s">
        <v>1872</v>
      </c>
      <c r="F255" s="125">
        <v>2.0</v>
      </c>
      <c r="H255" s="125" t="s">
        <v>30</v>
      </c>
      <c r="I255" s="125" t="s">
        <v>172</v>
      </c>
      <c r="O255" s="125" t="s">
        <v>74</v>
      </c>
      <c r="P255" s="125" t="s">
        <v>189</v>
      </c>
    </row>
    <row r="256" ht="15.75" customHeight="1">
      <c r="B256" s="125" t="s">
        <v>1873</v>
      </c>
      <c r="C256" s="125" t="s">
        <v>1874</v>
      </c>
      <c r="D256" s="125" t="s">
        <v>1875</v>
      </c>
      <c r="F256" s="125">
        <v>2.0</v>
      </c>
      <c r="H256" s="125" t="s">
        <v>30</v>
      </c>
      <c r="I256" s="125" t="s">
        <v>155</v>
      </c>
      <c r="O256" s="125" t="s">
        <v>54</v>
      </c>
      <c r="P256" s="125" t="s">
        <v>189</v>
      </c>
    </row>
    <row r="257" ht="15.75" customHeight="1">
      <c r="B257" s="125" t="s">
        <v>420</v>
      </c>
      <c r="C257" s="125" t="s">
        <v>1876</v>
      </c>
      <c r="D257" s="125" t="s">
        <v>1877</v>
      </c>
      <c r="F257" s="125">
        <v>2.0</v>
      </c>
      <c r="H257" s="125" t="s">
        <v>30</v>
      </c>
      <c r="I257" s="125" t="s">
        <v>155</v>
      </c>
      <c r="O257" s="125" t="s">
        <v>54</v>
      </c>
      <c r="P257" s="125" t="s">
        <v>189</v>
      </c>
    </row>
    <row r="258" ht="15.75" customHeight="1">
      <c r="B258" s="125" t="s">
        <v>954</v>
      </c>
      <c r="C258" s="125" t="s">
        <v>1878</v>
      </c>
      <c r="D258" s="125" t="s">
        <v>941</v>
      </c>
      <c r="F258" s="125">
        <v>2.0</v>
      </c>
      <c r="H258" s="125" t="s">
        <v>30</v>
      </c>
      <c r="I258" s="125" t="s">
        <v>172</v>
      </c>
      <c r="O258" s="125" t="s">
        <v>54</v>
      </c>
      <c r="P258" s="125" t="s">
        <v>189</v>
      </c>
    </row>
    <row r="259" ht="15.75" customHeight="1">
      <c r="B259" s="125" t="s">
        <v>927</v>
      </c>
      <c r="C259" s="125" t="s">
        <v>1879</v>
      </c>
      <c r="D259" s="125" t="s">
        <v>1880</v>
      </c>
      <c r="F259" s="125">
        <v>2.0</v>
      </c>
      <c r="H259" s="125" t="s">
        <v>30</v>
      </c>
      <c r="I259" s="125" t="s">
        <v>172</v>
      </c>
      <c r="O259" s="125" t="s">
        <v>54</v>
      </c>
      <c r="P259" s="125" t="s">
        <v>189</v>
      </c>
    </row>
    <row r="260" ht="15.75" customHeight="1">
      <c r="B260" s="125" t="s">
        <v>90</v>
      </c>
      <c r="C260" s="125" t="s">
        <v>418</v>
      </c>
      <c r="D260" s="125" t="s">
        <v>1881</v>
      </c>
      <c r="F260" s="125">
        <v>2.0</v>
      </c>
      <c r="H260" s="125" t="s">
        <v>30</v>
      </c>
      <c r="I260" s="125" t="s">
        <v>992</v>
      </c>
      <c r="O260" s="125" t="s">
        <v>74</v>
      </c>
      <c r="P260" s="125" t="s">
        <v>188</v>
      </c>
    </row>
    <row r="261" ht="15.75" customHeight="1">
      <c r="B261" s="125" t="s">
        <v>1882</v>
      </c>
      <c r="C261" s="125" t="s">
        <v>1883</v>
      </c>
      <c r="D261" s="125" t="s">
        <v>1884</v>
      </c>
      <c r="F261" s="125">
        <v>2.0</v>
      </c>
      <c r="H261" s="125" t="s">
        <v>30</v>
      </c>
      <c r="I261" s="125" t="s">
        <v>155</v>
      </c>
      <c r="O261" s="125" t="s">
        <v>74</v>
      </c>
      <c r="P261" s="125" t="s">
        <v>189</v>
      </c>
    </row>
    <row r="262" ht="15.75" customHeight="1">
      <c r="B262" s="125" t="s">
        <v>1606</v>
      </c>
      <c r="C262" s="125" t="s">
        <v>1885</v>
      </c>
      <c r="D262" s="125" t="s">
        <v>596</v>
      </c>
      <c r="F262" s="125">
        <v>2.0</v>
      </c>
      <c r="H262" s="125" t="s">
        <v>30</v>
      </c>
      <c r="I262" s="125" t="s">
        <v>155</v>
      </c>
      <c r="O262" s="125" t="s">
        <v>74</v>
      </c>
      <c r="P262" s="125" t="s">
        <v>189</v>
      </c>
    </row>
    <row r="263" ht="15.75" customHeight="1">
      <c r="B263" s="125" t="s">
        <v>1886</v>
      </c>
      <c r="C263" s="125" t="s">
        <v>1887</v>
      </c>
      <c r="D263" s="125" t="s">
        <v>1888</v>
      </c>
      <c r="F263" s="125">
        <v>2.0</v>
      </c>
      <c r="H263" s="125" t="s">
        <v>30</v>
      </c>
      <c r="I263" s="125" t="s">
        <v>172</v>
      </c>
      <c r="O263" s="125" t="s">
        <v>74</v>
      </c>
      <c r="P263" s="125" t="s">
        <v>189</v>
      </c>
    </row>
    <row r="264" ht="15.75" customHeight="1">
      <c r="B264" s="125" t="s">
        <v>1889</v>
      </c>
      <c r="C264" s="125" t="s">
        <v>1890</v>
      </c>
      <c r="D264" s="125" t="s">
        <v>1891</v>
      </c>
      <c r="F264" s="125">
        <v>2.0</v>
      </c>
      <c r="H264" s="125" t="s">
        <v>30</v>
      </c>
      <c r="I264" s="125" t="s">
        <v>172</v>
      </c>
      <c r="O264" s="125" t="s">
        <v>74</v>
      </c>
      <c r="P264" s="125" t="s">
        <v>189</v>
      </c>
    </row>
    <row r="265" ht="15.75" customHeight="1">
      <c r="B265" s="125" t="s">
        <v>1892</v>
      </c>
      <c r="C265" s="125" t="s">
        <v>1893</v>
      </c>
      <c r="D265" s="125" t="s">
        <v>1894</v>
      </c>
      <c r="F265" s="125">
        <v>2.0</v>
      </c>
      <c r="H265" s="125" t="s">
        <v>30</v>
      </c>
      <c r="I265" s="125" t="s">
        <v>155</v>
      </c>
      <c r="O265" s="125" t="s">
        <v>54</v>
      </c>
      <c r="P265" s="125" t="s">
        <v>189</v>
      </c>
    </row>
    <row r="266" ht="15.75" customHeight="1">
      <c r="B266" s="125" t="s">
        <v>331</v>
      </c>
      <c r="C266" s="125" t="s">
        <v>1895</v>
      </c>
      <c r="D266" s="125" t="s">
        <v>1896</v>
      </c>
      <c r="F266" s="125">
        <v>2.0</v>
      </c>
      <c r="H266" s="125" t="s">
        <v>30</v>
      </c>
      <c r="I266" s="125" t="s">
        <v>992</v>
      </c>
      <c r="O266" s="125" t="s">
        <v>54</v>
      </c>
      <c r="P266" s="125" t="s">
        <v>188</v>
      </c>
    </row>
    <row r="267" ht="15.75" customHeight="1">
      <c r="B267" s="125" t="s">
        <v>1897</v>
      </c>
      <c r="C267" s="125" t="s">
        <v>1898</v>
      </c>
      <c r="D267" s="125" t="s">
        <v>1899</v>
      </c>
      <c r="F267" s="125">
        <v>2.0</v>
      </c>
      <c r="H267" s="125" t="s">
        <v>30</v>
      </c>
      <c r="I267" s="125" t="s">
        <v>172</v>
      </c>
      <c r="O267" s="125" t="s">
        <v>74</v>
      </c>
      <c r="P267" s="125" t="s">
        <v>189</v>
      </c>
    </row>
    <row r="268" ht="15.75" customHeight="1">
      <c r="B268" s="125" t="s">
        <v>130</v>
      </c>
      <c r="C268" s="125" t="s">
        <v>858</v>
      </c>
      <c r="D268" s="125" t="s">
        <v>686</v>
      </c>
      <c r="F268" s="125">
        <v>2.0</v>
      </c>
      <c r="H268" s="125" t="s">
        <v>30</v>
      </c>
      <c r="I268" s="125" t="s">
        <v>172</v>
      </c>
      <c r="O268" s="125" t="s">
        <v>74</v>
      </c>
      <c r="P268" s="125" t="s">
        <v>189</v>
      </c>
    </row>
    <row r="269" ht="15.75" customHeight="1">
      <c r="B269" s="125" t="s">
        <v>1331</v>
      </c>
      <c r="C269" s="125" t="s">
        <v>1900</v>
      </c>
      <c r="D269" s="125" t="s">
        <v>1901</v>
      </c>
      <c r="F269" s="125">
        <v>2.0</v>
      </c>
      <c r="H269" s="125" t="s">
        <v>30</v>
      </c>
      <c r="I269" s="125" t="s">
        <v>155</v>
      </c>
      <c r="O269" s="125" t="s">
        <v>54</v>
      </c>
      <c r="P269" s="125" t="s">
        <v>189</v>
      </c>
    </row>
    <row r="270" ht="15.75" customHeight="1">
      <c r="B270" s="125" t="s">
        <v>1902</v>
      </c>
      <c r="C270" s="125" t="s">
        <v>1903</v>
      </c>
      <c r="D270" s="125" t="s">
        <v>1901</v>
      </c>
      <c r="F270" s="125">
        <v>2.0</v>
      </c>
      <c r="H270" s="125" t="s">
        <v>30</v>
      </c>
      <c r="I270" s="125" t="s">
        <v>155</v>
      </c>
      <c r="O270" s="125" t="s">
        <v>54</v>
      </c>
      <c r="P270" s="125" t="s">
        <v>189</v>
      </c>
    </row>
    <row r="271" ht="15.75" customHeight="1">
      <c r="B271" s="125" t="s">
        <v>1904</v>
      </c>
      <c r="C271" s="125" t="s">
        <v>1905</v>
      </c>
      <c r="D271" s="125" t="s">
        <v>1906</v>
      </c>
      <c r="F271" s="125">
        <v>2.0</v>
      </c>
      <c r="H271" s="125" t="s">
        <v>30</v>
      </c>
      <c r="I271" s="125" t="s">
        <v>172</v>
      </c>
      <c r="O271" s="125" t="s">
        <v>74</v>
      </c>
      <c r="P271" s="125" t="s">
        <v>189</v>
      </c>
    </row>
    <row r="272" ht="15.75" customHeight="1">
      <c r="B272" s="125" t="s">
        <v>1907</v>
      </c>
      <c r="C272" s="125" t="s">
        <v>1908</v>
      </c>
      <c r="D272" s="125" t="s">
        <v>1909</v>
      </c>
      <c r="F272" s="125">
        <v>2.0</v>
      </c>
      <c r="H272" s="125" t="s">
        <v>30</v>
      </c>
      <c r="I272" s="125" t="s">
        <v>992</v>
      </c>
      <c r="O272" s="125" t="s">
        <v>74</v>
      </c>
      <c r="P272" s="125" t="s">
        <v>188</v>
      </c>
    </row>
    <row r="273" ht="15.75" customHeight="1">
      <c r="B273" s="125" t="s">
        <v>1910</v>
      </c>
      <c r="C273" s="125" t="s">
        <v>1908</v>
      </c>
      <c r="D273" s="125" t="s">
        <v>1911</v>
      </c>
      <c r="F273" s="125">
        <v>2.0</v>
      </c>
      <c r="H273" s="125" t="s">
        <v>30</v>
      </c>
      <c r="I273" s="125" t="s">
        <v>992</v>
      </c>
      <c r="O273" s="125" t="s">
        <v>74</v>
      </c>
      <c r="P273" s="125" t="s">
        <v>188</v>
      </c>
    </row>
    <row r="274" ht="15.75" customHeight="1">
      <c r="B274" s="125" t="s">
        <v>1912</v>
      </c>
      <c r="C274" s="125" t="s">
        <v>1913</v>
      </c>
      <c r="D274" s="125" t="s">
        <v>1914</v>
      </c>
      <c r="F274" s="125">
        <v>2.0</v>
      </c>
      <c r="H274" s="125" t="s">
        <v>30</v>
      </c>
      <c r="I274" s="125" t="s">
        <v>155</v>
      </c>
      <c r="O274" s="125" t="s">
        <v>74</v>
      </c>
      <c r="P274" s="125" t="s">
        <v>189</v>
      </c>
    </row>
    <row r="275" ht="15.75" customHeight="1">
      <c r="B275" s="125" t="s">
        <v>64</v>
      </c>
      <c r="C275" s="125" t="s">
        <v>1915</v>
      </c>
      <c r="D275" s="125" t="s">
        <v>329</v>
      </c>
      <c r="F275" s="125">
        <v>2.0</v>
      </c>
      <c r="H275" s="125" t="s">
        <v>30</v>
      </c>
      <c r="I275" s="125" t="s">
        <v>172</v>
      </c>
      <c r="O275" s="125" t="s">
        <v>74</v>
      </c>
      <c r="P275" s="125" t="s">
        <v>189</v>
      </c>
    </row>
    <row r="276" ht="15.75" customHeight="1">
      <c r="B276" s="125" t="s">
        <v>1916</v>
      </c>
      <c r="C276" s="125" t="s">
        <v>1917</v>
      </c>
      <c r="D276" s="125" t="s">
        <v>222</v>
      </c>
      <c r="F276" s="125">
        <v>2.0</v>
      </c>
      <c r="H276" s="125" t="s">
        <v>30</v>
      </c>
      <c r="I276" s="125" t="s">
        <v>155</v>
      </c>
      <c r="O276" s="125" t="s">
        <v>74</v>
      </c>
      <c r="P276" s="125" t="s">
        <v>189</v>
      </c>
    </row>
    <row r="277" ht="15.75" customHeight="1">
      <c r="B277" s="125" t="s">
        <v>130</v>
      </c>
      <c r="C277" s="125" t="s">
        <v>1737</v>
      </c>
      <c r="D277" s="125" t="s">
        <v>1160</v>
      </c>
      <c r="F277" s="125">
        <v>2.0</v>
      </c>
      <c r="H277" s="125" t="s">
        <v>30</v>
      </c>
      <c r="I277" s="125" t="s">
        <v>992</v>
      </c>
      <c r="O277" s="125" t="s">
        <v>74</v>
      </c>
      <c r="P277" s="125" t="s">
        <v>188</v>
      </c>
    </row>
    <row r="278" ht="15.75" customHeight="1">
      <c r="B278" s="125" t="s">
        <v>1918</v>
      </c>
      <c r="C278" s="125" t="s">
        <v>1919</v>
      </c>
      <c r="D278" s="125" t="s">
        <v>1920</v>
      </c>
      <c r="F278" s="125">
        <v>2.0</v>
      </c>
      <c r="H278" s="125" t="s">
        <v>30</v>
      </c>
      <c r="I278" s="125" t="s">
        <v>155</v>
      </c>
      <c r="O278" s="125" t="s">
        <v>74</v>
      </c>
      <c r="P278" s="125" t="s">
        <v>189</v>
      </c>
    </row>
    <row r="279" ht="15.75" customHeight="1">
      <c r="B279" s="125" t="s">
        <v>1921</v>
      </c>
      <c r="C279" s="125" t="s">
        <v>398</v>
      </c>
      <c r="D279" s="125" t="s">
        <v>1922</v>
      </c>
      <c r="F279" s="125">
        <v>2.0</v>
      </c>
      <c r="H279" s="125" t="s">
        <v>30</v>
      </c>
      <c r="I279" s="125" t="s">
        <v>992</v>
      </c>
      <c r="O279" s="125" t="s">
        <v>74</v>
      </c>
      <c r="P279" s="125" t="s">
        <v>188</v>
      </c>
    </row>
    <row r="280" ht="15.75" customHeight="1">
      <c r="B280" s="125" t="s">
        <v>1923</v>
      </c>
      <c r="C280" s="125" t="s">
        <v>1924</v>
      </c>
      <c r="D280" s="125" t="s">
        <v>1925</v>
      </c>
      <c r="F280" s="125">
        <v>2.0</v>
      </c>
      <c r="H280" s="125" t="s">
        <v>30</v>
      </c>
      <c r="I280" s="125" t="s">
        <v>179</v>
      </c>
      <c r="O280" s="125" t="s">
        <v>54</v>
      </c>
      <c r="P280" s="125" t="s">
        <v>188</v>
      </c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1926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127" t="s">
        <v>13</v>
      </c>
      <c r="H9" s="128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127" t="s">
        <v>13</v>
      </c>
      <c r="W9" s="141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129"/>
      <c r="H10" s="130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129"/>
      <c r="W10" s="130"/>
      <c r="X10" s="39"/>
    </row>
    <row r="11" ht="14.25" customHeight="1">
      <c r="A11" s="49" t="s">
        <v>19</v>
      </c>
      <c r="B11" s="142">
        <f t="shared" ref="B11:W11" si="1">SUM(B12:B23)</f>
        <v>296</v>
      </c>
      <c r="C11" s="143">
        <f t="shared" si="1"/>
        <v>164.2</v>
      </c>
      <c r="D11" s="144">
        <f t="shared" si="1"/>
        <v>0</v>
      </c>
      <c r="E11" s="144">
        <f t="shared" si="1"/>
        <v>92</v>
      </c>
      <c r="F11" s="144">
        <f t="shared" si="1"/>
        <v>0</v>
      </c>
      <c r="G11" s="145">
        <f t="shared" si="1"/>
        <v>27.2</v>
      </c>
      <c r="H11" s="146">
        <f t="shared" si="1"/>
        <v>0</v>
      </c>
      <c r="I11" s="53">
        <f t="shared" si="1"/>
        <v>140.1</v>
      </c>
      <c r="J11" s="51">
        <f t="shared" si="1"/>
        <v>0</v>
      </c>
      <c r="K11" s="51">
        <f t="shared" si="1"/>
        <v>56.6</v>
      </c>
      <c r="L11" s="51">
        <f t="shared" si="1"/>
        <v>0</v>
      </c>
      <c r="M11" s="54">
        <f t="shared" si="1"/>
        <v>10.5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207.2</v>
      </c>
      <c r="R11" s="50">
        <f t="shared" si="1"/>
        <v>304.3</v>
      </c>
      <c r="S11" s="51">
        <f t="shared" si="1"/>
        <v>0</v>
      </c>
      <c r="T11" s="51">
        <f t="shared" si="1"/>
        <v>148.6</v>
      </c>
      <c r="U11" s="51">
        <f t="shared" si="1"/>
        <v>0</v>
      </c>
      <c r="V11" s="54">
        <f t="shared" si="1"/>
        <v>37.7</v>
      </c>
      <c r="W11" s="131">
        <f t="shared" si="1"/>
        <v>490.6</v>
      </c>
      <c r="X11" s="56"/>
      <c r="Y11" s="57"/>
      <c r="Z11" s="57"/>
    </row>
    <row r="12" ht="14.25" customHeight="1">
      <c r="A12" s="58" t="s">
        <v>20</v>
      </c>
      <c r="B12" s="147">
        <v>19.0</v>
      </c>
      <c r="C12" s="87">
        <v>2.7</v>
      </c>
      <c r="D12" s="80"/>
      <c r="E12" s="85">
        <v>1.0</v>
      </c>
      <c r="F12" s="80"/>
      <c r="G12" s="86">
        <v>4.4</v>
      </c>
      <c r="H12" s="132"/>
      <c r="I12" s="87">
        <v>2.3</v>
      </c>
      <c r="J12" s="80"/>
      <c r="K12" s="85">
        <v>5.0</v>
      </c>
      <c r="L12" s="80"/>
      <c r="M12" s="85">
        <v>4.6</v>
      </c>
      <c r="N12" s="62"/>
      <c r="O12" s="80"/>
      <c r="P12" s="59"/>
      <c r="Q12" s="61">
        <f t="shared" ref="Q12:Q22" si="4">SUM(I12:P12)</f>
        <v>11.9</v>
      </c>
      <c r="R12" s="62">
        <f t="shared" ref="R12:S12" si="2">C12+I12</f>
        <v>5</v>
      </c>
      <c r="S12" s="80">
        <f t="shared" si="2"/>
        <v>0</v>
      </c>
      <c r="T12" s="80">
        <f t="shared" ref="T12:V12" si="3">E12+K12+N12</f>
        <v>6</v>
      </c>
      <c r="U12" s="80">
        <f t="shared" si="3"/>
        <v>0</v>
      </c>
      <c r="V12" s="83">
        <f t="shared" si="3"/>
        <v>9</v>
      </c>
      <c r="W12" s="132">
        <f t="shared" ref="W12:W22" si="7">SUM(R12:V12)</f>
        <v>20</v>
      </c>
      <c r="X12" s="64"/>
    </row>
    <row r="13" ht="14.25" customHeight="1">
      <c r="A13" s="58" t="s">
        <v>21</v>
      </c>
      <c r="B13" s="147">
        <v>18.0</v>
      </c>
      <c r="C13" s="87">
        <v>14.0</v>
      </c>
      <c r="D13" s="80"/>
      <c r="E13" s="85">
        <v>6.5</v>
      </c>
      <c r="F13" s="80"/>
      <c r="G13" s="86">
        <v>2.5</v>
      </c>
      <c r="H13" s="132"/>
      <c r="I13" s="60"/>
      <c r="J13" s="80"/>
      <c r="K13" s="80"/>
      <c r="L13" s="80"/>
      <c r="M13" s="80"/>
      <c r="N13" s="62"/>
      <c r="O13" s="80"/>
      <c r="P13" s="59"/>
      <c r="Q13" s="61">
        <f t="shared" si="4"/>
        <v>0</v>
      </c>
      <c r="R13" s="62">
        <f t="shared" ref="R13:S13" si="5">C13+I13</f>
        <v>14</v>
      </c>
      <c r="S13" s="80">
        <f t="shared" si="5"/>
        <v>0</v>
      </c>
      <c r="T13" s="80">
        <f t="shared" ref="T13:V13" si="6">E13+K13+N13</f>
        <v>6.5</v>
      </c>
      <c r="U13" s="80">
        <f t="shared" si="6"/>
        <v>0</v>
      </c>
      <c r="V13" s="83">
        <f t="shared" si="6"/>
        <v>2.5</v>
      </c>
      <c r="W13" s="132">
        <f t="shared" si="7"/>
        <v>23</v>
      </c>
      <c r="X13" s="64"/>
    </row>
    <row r="14" ht="14.25" customHeight="1">
      <c r="A14" s="58" t="s">
        <v>22</v>
      </c>
      <c r="B14" s="147">
        <v>0.0</v>
      </c>
      <c r="C14" s="60"/>
      <c r="D14" s="80"/>
      <c r="E14" s="80"/>
      <c r="F14" s="80"/>
      <c r="G14" s="83"/>
      <c r="H14" s="132"/>
      <c r="I14" s="60"/>
      <c r="J14" s="80"/>
      <c r="K14" s="80"/>
      <c r="L14" s="80"/>
      <c r="M14" s="80"/>
      <c r="N14" s="62"/>
      <c r="O14" s="80"/>
      <c r="P14" s="59"/>
      <c r="Q14" s="61">
        <f t="shared" si="4"/>
        <v>0</v>
      </c>
      <c r="R14" s="62">
        <f t="shared" ref="R14:S14" si="8">C14+I14</f>
        <v>0</v>
      </c>
      <c r="S14" s="80">
        <f t="shared" si="8"/>
        <v>0</v>
      </c>
      <c r="T14" s="80">
        <f t="shared" ref="T14:V14" si="9">E14+K14+N14</f>
        <v>0</v>
      </c>
      <c r="U14" s="80">
        <f t="shared" si="9"/>
        <v>0</v>
      </c>
      <c r="V14" s="83">
        <f t="shared" si="9"/>
        <v>0</v>
      </c>
      <c r="W14" s="132">
        <f t="shared" si="7"/>
        <v>0</v>
      </c>
      <c r="X14" s="64"/>
    </row>
    <row r="15" ht="14.25" customHeight="1">
      <c r="A15" s="58" t="s">
        <v>23</v>
      </c>
      <c r="B15" s="147">
        <v>0.0</v>
      </c>
      <c r="C15" s="60"/>
      <c r="D15" s="80"/>
      <c r="E15" s="80"/>
      <c r="F15" s="80"/>
      <c r="G15" s="83"/>
      <c r="H15" s="132"/>
      <c r="I15" s="60"/>
      <c r="J15" s="80"/>
      <c r="K15" s="80"/>
      <c r="L15" s="80"/>
      <c r="M15" s="80"/>
      <c r="N15" s="62"/>
      <c r="O15" s="80"/>
      <c r="P15" s="59"/>
      <c r="Q15" s="61">
        <f t="shared" si="4"/>
        <v>0</v>
      </c>
      <c r="R15" s="62">
        <f t="shared" ref="R15:S15" si="10">C15+I15</f>
        <v>0</v>
      </c>
      <c r="S15" s="80">
        <f t="shared" si="10"/>
        <v>0</v>
      </c>
      <c r="T15" s="80">
        <f t="shared" ref="T15:V15" si="11">E15+K15+N15</f>
        <v>0</v>
      </c>
      <c r="U15" s="80">
        <f t="shared" si="11"/>
        <v>0</v>
      </c>
      <c r="V15" s="83">
        <f t="shared" si="11"/>
        <v>0</v>
      </c>
      <c r="W15" s="132">
        <f t="shared" si="7"/>
        <v>0</v>
      </c>
      <c r="X15" s="64"/>
    </row>
    <row r="16" ht="14.25" customHeight="1">
      <c r="A16" s="58" t="s">
        <v>24</v>
      </c>
      <c r="B16" s="147">
        <v>0.0</v>
      </c>
      <c r="C16" s="60"/>
      <c r="D16" s="80"/>
      <c r="E16" s="80"/>
      <c r="F16" s="80"/>
      <c r="G16" s="83"/>
      <c r="H16" s="132"/>
      <c r="I16" s="60"/>
      <c r="J16" s="80"/>
      <c r="K16" s="80"/>
      <c r="L16" s="80"/>
      <c r="M16" s="80"/>
      <c r="N16" s="62"/>
      <c r="O16" s="80"/>
      <c r="P16" s="59"/>
      <c r="Q16" s="61">
        <f t="shared" si="4"/>
        <v>0</v>
      </c>
      <c r="R16" s="62">
        <f t="shared" ref="R16:S16" si="12">C16+I16</f>
        <v>0</v>
      </c>
      <c r="S16" s="80">
        <f t="shared" si="12"/>
        <v>0</v>
      </c>
      <c r="T16" s="80">
        <f t="shared" ref="T16:V16" si="13">E16+K16+N16</f>
        <v>0</v>
      </c>
      <c r="U16" s="80">
        <f t="shared" si="13"/>
        <v>0</v>
      </c>
      <c r="V16" s="83">
        <f t="shared" si="13"/>
        <v>0</v>
      </c>
      <c r="W16" s="132">
        <f t="shared" si="7"/>
        <v>0</v>
      </c>
      <c r="X16" s="64"/>
    </row>
    <row r="17" ht="14.25" customHeight="1">
      <c r="A17" s="58" t="s">
        <v>25</v>
      </c>
      <c r="B17" s="147">
        <v>37.0</v>
      </c>
      <c r="C17" s="60"/>
      <c r="D17" s="80"/>
      <c r="E17" s="85">
        <v>30.0</v>
      </c>
      <c r="F17" s="80"/>
      <c r="G17" s="86">
        <v>20.3</v>
      </c>
      <c r="H17" s="132"/>
      <c r="I17" s="60"/>
      <c r="J17" s="80"/>
      <c r="K17" s="85">
        <v>2.1</v>
      </c>
      <c r="L17" s="80"/>
      <c r="M17" s="85">
        <v>5.9</v>
      </c>
      <c r="N17" s="62"/>
      <c r="O17" s="80"/>
      <c r="P17" s="59"/>
      <c r="Q17" s="61">
        <f t="shared" si="4"/>
        <v>8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32.1</v>
      </c>
      <c r="U17" s="80">
        <f t="shared" si="15"/>
        <v>0</v>
      </c>
      <c r="V17" s="83">
        <f t="shared" si="15"/>
        <v>26.2</v>
      </c>
      <c r="W17" s="132">
        <f t="shared" si="7"/>
        <v>58.3</v>
      </c>
      <c r="X17" s="64"/>
    </row>
    <row r="18" ht="14.25" customHeight="1">
      <c r="A18" s="58" t="s">
        <v>26</v>
      </c>
      <c r="B18" s="147">
        <v>27.0</v>
      </c>
      <c r="C18" s="60"/>
      <c r="D18" s="80"/>
      <c r="E18" s="80"/>
      <c r="F18" s="80"/>
      <c r="G18" s="83"/>
      <c r="H18" s="132"/>
      <c r="I18" s="87">
        <v>40.3</v>
      </c>
      <c r="J18" s="80"/>
      <c r="K18" s="80"/>
      <c r="L18" s="80"/>
      <c r="M18" s="80"/>
      <c r="N18" s="62"/>
      <c r="O18" s="80"/>
      <c r="P18" s="59"/>
      <c r="Q18" s="61">
        <f t="shared" si="4"/>
        <v>40.3</v>
      </c>
      <c r="R18" s="62">
        <f t="shared" ref="R18:S18" si="16">C18+I18</f>
        <v>40.3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3">
        <f t="shared" si="17"/>
        <v>0</v>
      </c>
      <c r="W18" s="132">
        <f t="shared" si="7"/>
        <v>40.3</v>
      </c>
      <c r="X18" s="64"/>
    </row>
    <row r="19" ht="14.25" customHeight="1">
      <c r="A19" s="58" t="s">
        <v>27</v>
      </c>
      <c r="B19" s="147">
        <v>0.0</v>
      </c>
      <c r="C19" s="60"/>
      <c r="D19" s="80"/>
      <c r="E19" s="80"/>
      <c r="F19" s="80"/>
      <c r="G19" s="83"/>
      <c r="H19" s="132"/>
      <c r="I19" s="60"/>
      <c r="J19" s="80"/>
      <c r="K19" s="80"/>
      <c r="L19" s="80"/>
      <c r="M19" s="80"/>
      <c r="N19" s="62"/>
      <c r="O19" s="80"/>
      <c r="P19" s="59"/>
      <c r="Q19" s="61">
        <f t="shared" si="4"/>
        <v>0</v>
      </c>
      <c r="R19" s="62">
        <f t="shared" ref="R19:S19" si="18">C19+I19</f>
        <v>0</v>
      </c>
      <c r="S19" s="80">
        <f t="shared" si="18"/>
        <v>0</v>
      </c>
      <c r="T19" s="80">
        <f t="shared" ref="T19:V19" si="19">E19+K19+N19</f>
        <v>0</v>
      </c>
      <c r="U19" s="80">
        <f t="shared" si="19"/>
        <v>0</v>
      </c>
      <c r="V19" s="83">
        <f t="shared" si="19"/>
        <v>0</v>
      </c>
      <c r="W19" s="132">
        <f t="shared" si="7"/>
        <v>0</v>
      </c>
      <c r="X19" s="64"/>
    </row>
    <row r="20" ht="14.25" customHeight="1">
      <c r="A20" s="58" t="s">
        <v>28</v>
      </c>
      <c r="B20" s="147">
        <v>59.0</v>
      </c>
      <c r="C20" s="87">
        <v>138.5</v>
      </c>
      <c r="D20" s="80"/>
      <c r="E20" s="85">
        <v>22.0</v>
      </c>
      <c r="F20" s="80"/>
      <c r="G20" s="83"/>
      <c r="H20" s="132"/>
      <c r="I20" s="87">
        <v>3.0</v>
      </c>
      <c r="J20" s="80"/>
      <c r="K20" s="85">
        <v>10.0</v>
      </c>
      <c r="L20" s="80"/>
      <c r="M20" s="80"/>
      <c r="N20" s="62"/>
      <c r="O20" s="80"/>
      <c r="P20" s="59"/>
      <c r="Q20" s="61">
        <f t="shared" si="4"/>
        <v>13</v>
      </c>
      <c r="R20" s="62">
        <f t="shared" ref="R20:S20" si="20">C20+I20</f>
        <v>141.5</v>
      </c>
      <c r="S20" s="80">
        <f t="shared" si="20"/>
        <v>0</v>
      </c>
      <c r="T20" s="80">
        <f t="shared" ref="T20:V20" si="21">E20+K20+N20</f>
        <v>32</v>
      </c>
      <c r="U20" s="80">
        <f t="shared" si="21"/>
        <v>0</v>
      </c>
      <c r="V20" s="83">
        <f t="shared" si="21"/>
        <v>0</v>
      </c>
      <c r="W20" s="132">
        <f t="shared" si="7"/>
        <v>173.5</v>
      </c>
      <c r="X20" s="64"/>
    </row>
    <row r="21" ht="14.25" customHeight="1">
      <c r="A21" s="58" t="s">
        <v>29</v>
      </c>
      <c r="B21" s="147">
        <v>0.0</v>
      </c>
      <c r="C21" s="60"/>
      <c r="D21" s="80"/>
      <c r="E21" s="80"/>
      <c r="F21" s="80"/>
      <c r="G21" s="83"/>
      <c r="H21" s="132"/>
      <c r="I21" s="60"/>
      <c r="J21" s="80"/>
      <c r="K21" s="80"/>
      <c r="L21" s="80"/>
      <c r="M21" s="80"/>
      <c r="N21" s="62"/>
      <c r="O21" s="80"/>
      <c r="P21" s="59"/>
      <c r="Q21" s="61">
        <f t="shared" si="4"/>
        <v>0</v>
      </c>
      <c r="R21" s="62">
        <f t="shared" ref="R21:S21" si="22">C21+I21</f>
        <v>0</v>
      </c>
      <c r="S21" s="80">
        <f t="shared" si="22"/>
        <v>0</v>
      </c>
      <c r="T21" s="80">
        <f t="shared" ref="T21:V21" si="23">E21+K21+N21</f>
        <v>0</v>
      </c>
      <c r="U21" s="80">
        <f t="shared" si="23"/>
        <v>0</v>
      </c>
      <c r="V21" s="83">
        <f t="shared" si="23"/>
        <v>0</v>
      </c>
      <c r="W21" s="132">
        <f t="shared" si="7"/>
        <v>0</v>
      </c>
      <c r="X21" s="64"/>
    </row>
    <row r="22" ht="14.25" customHeight="1">
      <c r="A22" s="58" t="s">
        <v>30</v>
      </c>
      <c r="B22" s="147">
        <v>136.0</v>
      </c>
      <c r="C22" s="87">
        <v>9.0</v>
      </c>
      <c r="D22" s="80"/>
      <c r="E22" s="85">
        <v>32.5</v>
      </c>
      <c r="F22" s="80"/>
      <c r="G22" s="83"/>
      <c r="H22" s="132"/>
      <c r="I22" s="87">
        <v>94.5</v>
      </c>
      <c r="J22" s="80"/>
      <c r="K22" s="85">
        <v>39.5</v>
      </c>
      <c r="L22" s="80"/>
      <c r="M22" s="80"/>
      <c r="N22" s="62"/>
      <c r="O22" s="80"/>
      <c r="P22" s="59"/>
      <c r="Q22" s="61">
        <f t="shared" si="4"/>
        <v>134</v>
      </c>
      <c r="R22" s="62">
        <f t="shared" ref="R22:S22" si="24">C22+I22</f>
        <v>103.5</v>
      </c>
      <c r="S22" s="80">
        <f t="shared" si="24"/>
        <v>0</v>
      </c>
      <c r="T22" s="80">
        <f t="shared" ref="T22:V22" si="25">E22+K22+N22</f>
        <v>72</v>
      </c>
      <c r="U22" s="80">
        <f t="shared" si="25"/>
        <v>0</v>
      </c>
      <c r="V22" s="83">
        <f t="shared" si="25"/>
        <v>0</v>
      </c>
      <c r="W22" s="132">
        <f t="shared" si="7"/>
        <v>175.5</v>
      </c>
      <c r="X22" s="64"/>
    </row>
    <row r="23" ht="14.25" customHeight="1">
      <c r="A23" s="65"/>
      <c r="B23" s="133"/>
      <c r="C23" s="70"/>
      <c r="D23" s="68"/>
      <c r="E23" s="68"/>
      <c r="F23" s="68"/>
      <c r="G23" s="69"/>
      <c r="H23" s="133"/>
      <c r="I23" s="67"/>
      <c r="J23" s="68"/>
      <c r="K23" s="68"/>
      <c r="L23" s="68"/>
      <c r="M23" s="68"/>
      <c r="N23" s="70"/>
      <c r="O23" s="68"/>
      <c r="P23" s="66"/>
      <c r="Q23" s="71"/>
      <c r="R23" s="70"/>
      <c r="S23" s="68"/>
      <c r="T23" s="68"/>
      <c r="U23" s="68"/>
      <c r="V23" s="69"/>
      <c r="W23" s="133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>
      <c r="A27" s="75"/>
      <c r="B27" s="7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4" width="17.75"/>
    <col customWidth="1" min="5" max="5" width="8.13"/>
    <col customWidth="1" min="6" max="6" width="10.0"/>
    <col customWidth="1" min="7" max="7" width="13.25"/>
    <col customWidth="1" min="8" max="13" width="10.0"/>
    <col customWidth="1" min="14" max="14" width="7.88"/>
    <col customWidth="1" min="15" max="15" width="10.38"/>
    <col customWidth="1" min="16" max="16" width="7.38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188</v>
      </c>
      <c r="J5" s="91"/>
      <c r="K5" s="134" t="s">
        <v>189</v>
      </c>
      <c r="L5" s="91"/>
      <c r="M5" s="134" t="s">
        <v>190</v>
      </c>
      <c r="N5" s="91"/>
      <c r="O5" s="91"/>
      <c r="P5" s="125" t="s">
        <v>1927</v>
      </c>
    </row>
    <row r="6" ht="14.25" customHeight="1">
      <c r="A6" s="95" t="s">
        <v>1928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1274</v>
      </c>
      <c r="C9" s="118" t="s">
        <v>1372</v>
      </c>
      <c r="D9" s="118" t="s">
        <v>1929</v>
      </c>
      <c r="E9" s="117"/>
      <c r="F9" s="118">
        <v>0.7</v>
      </c>
      <c r="G9" s="117"/>
      <c r="H9" s="118" t="s">
        <v>20</v>
      </c>
      <c r="I9" s="137"/>
      <c r="J9" s="120"/>
      <c r="K9" s="121" t="s">
        <v>210</v>
      </c>
      <c r="L9" s="120"/>
      <c r="M9" s="120"/>
      <c r="N9" s="120"/>
      <c r="O9" s="121" t="s">
        <v>74</v>
      </c>
      <c r="P9" s="125" t="s">
        <v>189</v>
      </c>
    </row>
    <row r="10" ht="14.25" customHeight="1">
      <c r="A10" s="117"/>
      <c r="B10" s="118" t="s">
        <v>516</v>
      </c>
      <c r="C10" s="118" t="s">
        <v>1930</v>
      </c>
      <c r="D10" s="118" t="s">
        <v>986</v>
      </c>
      <c r="E10" s="117"/>
      <c r="F10" s="118">
        <v>1.0</v>
      </c>
      <c r="G10" s="117"/>
      <c r="H10" s="118" t="s">
        <v>20</v>
      </c>
      <c r="I10" s="137"/>
      <c r="J10" s="120"/>
      <c r="K10" s="121" t="s">
        <v>1151</v>
      </c>
      <c r="L10" s="120"/>
      <c r="M10" s="120"/>
      <c r="N10" s="120"/>
      <c r="O10" s="121" t="s">
        <v>54</v>
      </c>
      <c r="P10" s="125" t="s">
        <v>189</v>
      </c>
    </row>
    <row r="11" ht="14.25" customHeight="1">
      <c r="A11" s="117" t="s">
        <v>19</v>
      </c>
      <c r="B11" s="118" t="s">
        <v>896</v>
      </c>
      <c r="C11" s="118" t="s">
        <v>1595</v>
      </c>
      <c r="D11" s="118" t="s">
        <v>1931</v>
      </c>
      <c r="E11" s="117"/>
      <c r="F11" s="118">
        <v>1.65</v>
      </c>
      <c r="G11" s="117"/>
      <c r="H11" s="118" t="s">
        <v>20</v>
      </c>
      <c r="I11" s="137" t="s">
        <v>1932</v>
      </c>
      <c r="J11" s="120"/>
      <c r="K11" s="120"/>
      <c r="L11" s="120"/>
      <c r="M11" s="120"/>
      <c r="N11" s="120"/>
      <c r="O11" s="121" t="s">
        <v>54</v>
      </c>
      <c r="P11" s="125" t="s">
        <v>188</v>
      </c>
    </row>
    <row r="12" ht="14.25" customHeight="1">
      <c r="A12" s="117" t="s">
        <v>20</v>
      </c>
      <c r="B12" s="118" t="s">
        <v>608</v>
      </c>
      <c r="C12" s="118" t="s">
        <v>1933</v>
      </c>
      <c r="D12" s="118" t="s">
        <v>1934</v>
      </c>
      <c r="E12" s="117"/>
      <c r="F12" s="118">
        <v>1.0</v>
      </c>
      <c r="G12" s="117"/>
      <c r="H12" s="118" t="s">
        <v>20</v>
      </c>
      <c r="I12" s="137"/>
      <c r="J12" s="120"/>
      <c r="K12" s="121" t="s">
        <v>210</v>
      </c>
      <c r="L12" s="120"/>
      <c r="M12" s="120"/>
      <c r="N12" s="120"/>
      <c r="O12" s="121" t="s">
        <v>74</v>
      </c>
      <c r="P12" s="125" t="s">
        <v>189</v>
      </c>
    </row>
    <row r="13" ht="14.25" customHeight="1">
      <c r="A13" s="117" t="s">
        <v>21</v>
      </c>
      <c r="B13" s="118" t="s">
        <v>1935</v>
      </c>
      <c r="C13" s="118" t="s">
        <v>1936</v>
      </c>
      <c r="D13" s="118" t="s">
        <v>1148</v>
      </c>
      <c r="E13" s="117"/>
      <c r="F13" s="118">
        <v>1.6</v>
      </c>
      <c r="G13" s="117"/>
      <c r="H13" s="118" t="s">
        <v>20</v>
      </c>
      <c r="I13" s="137"/>
      <c r="J13" s="120"/>
      <c r="K13" s="120"/>
      <c r="L13" s="120"/>
      <c r="M13" s="121" t="s">
        <v>203</v>
      </c>
      <c r="N13" s="120"/>
      <c r="O13" s="121" t="s">
        <v>54</v>
      </c>
      <c r="P13" s="125" t="s">
        <v>190</v>
      </c>
    </row>
    <row r="14" ht="14.25" customHeight="1">
      <c r="A14" s="117" t="s">
        <v>22</v>
      </c>
      <c r="B14" s="118" t="s">
        <v>601</v>
      </c>
      <c r="C14" s="118" t="s">
        <v>1937</v>
      </c>
      <c r="D14" s="118" t="s">
        <v>1938</v>
      </c>
      <c r="E14" s="117"/>
      <c r="F14" s="118">
        <v>1.5</v>
      </c>
      <c r="G14" s="117"/>
      <c r="H14" s="118" t="s">
        <v>20</v>
      </c>
      <c r="I14" s="137" t="s">
        <v>1932</v>
      </c>
      <c r="J14" s="120"/>
      <c r="K14" s="120"/>
      <c r="L14" s="120"/>
      <c r="M14" s="120"/>
      <c r="N14" s="120"/>
      <c r="O14" s="121" t="s">
        <v>74</v>
      </c>
      <c r="P14" s="125" t="s">
        <v>188</v>
      </c>
    </row>
    <row r="15" ht="14.25" customHeight="1">
      <c r="A15" s="117" t="s">
        <v>23</v>
      </c>
      <c r="B15" s="118" t="s">
        <v>1939</v>
      </c>
      <c r="C15" s="118" t="s">
        <v>540</v>
      </c>
      <c r="D15" s="118" t="s">
        <v>1940</v>
      </c>
      <c r="E15" s="117"/>
      <c r="F15" s="118">
        <v>1.0</v>
      </c>
      <c r="G15" s="117"/>
      <c r="H15" s="118" t="s">
        <v>20</v>
      </c>
      <c r="I15" s="137"/>
      <c r="J15" s="120"/>
      <c r="K15" s="120"/>
      <c r="L15" s="120"/>
      <c r="M15" s="121" t="s">
        <v>203</v>
      </c>
      <c r="N15" s="120"/>
      <c r="O15" s="121" t="s">
        <v>74</v>
      </c>
      <c r="P15" s="125" t="s">
        <v>190</v>
      </c>
    </row>
    <row r="16" ht="14.25" customHeight="1">
      <c r="A16" s="117" t="s">
        <v>24</v>
      </c>
      <c r="B16" s="118" t="s">
        <v>331</v>
      </c>
      <c r="C16" s="118" t="s">
        <v>1941</v>
      </c>
      <c r="D16" s="118" t="s">
        <v>1942</v>
      </c>
      <c r="E16" s="117"/>
      <c r="F16" s="118">
        <v>0.3</v>
      </c>
      <c r="G16" s="117"/>
      <c r="H16" s="118" t="s">
        <v>20</v>
      </c>
      <c r="I16" s="137"/>
      <c r="J16" s="120"/>
      <c r="K16" s="120"/>
      <c r="L16" s="120"/>
      <c r="M16" s="121" t="s">
        <v>201</v>
      </c>
      <c r="N16" s="120"/>
      <c r="O16" s="121" t="s">
        <v>74</v>
      </c>
      <c r="P16" s="125" t="s">
        <v>190</v>
      </c>
    </row>
    <row r="17" ht="14.25" customHeight="1">
      <c r="A17" s="117" t="s">
        <v>25</v>
      </c>
      <c r="B17" s="118" t="s">
        <v>1943</v>
      </c>
      <c r="C17" s="118" t="s">
        <v>1944</v>
      </c>
      <c r="D17" s="118" t="s">
        <v>500</v>
      </c>
      <c r="E17" s="117"/>
      <c r="F17" s="118">
        <v>1.0</v>
      </c>
      <c r="G17" s="117"/>
      <c r="H17" s="118" t="s">
        <v>20</v>
      </c>
      <c r="I17" s="137"/>
      <c r="J17" s="120"/>
      <c r="K17" s="120"/>
      <c r="L17" s="120"/>
      <c r="M17" s="121" t="s">
        <v>203</v>
      </c>
      <c r="N17" s="120"/>
      <c r="O17" s="121" t="s">
        <v>74</v>
      </c>
      <c r="P17" s="125" t="s">
        <v>190</v>
      </c>
    </row>
    <row r="18" ht="14.25" customHeight="1">
      <c r="A18" s="117" t="s">
        <v>26</v>
      </c>
      <c r="B18" s="118" t="s">
        <v>569</v>
      </c>
      <c r="C18" s="118" t="s">
        <v>1005</v>
      </c>
      <c r="D18" s="118" t="s">
        <v>1945</v>
      </c>
      <c r="E18" s="117"/>
      <c r="F18" s="118">
        <v>0.5</v>
      </c>
      <c r="G18" s="117"/>
      <c r="H18" s="118" t="s">
        <v>20</v>
      </c>
      <c r="I18" s="137"/>
      <c r="J18" s="120"/>
      <c r="K18" s="121" t="s">
        <v>210</v>
      </c>
      <c r="L18" s="120"/>
      <c r="M18" s="120"/>
      <c r="N18" s="120"/>
      <c r="O18" s="121" t="s">
        <v>74</v>
      </c>
      <c r="P18" s="125" t="s">
        <v>189</v>
      </c>
    </row>
    <row r="19" ht="14.25" customHeight="1">
      <c r="A19" s="117" t="s">
        <v>27</v>
      </c>
      <c r="B19" s="118" t="s">
        <v>103</v>
      </c>
      <c r="C19" s="118" t="s">
        <v>1005</v>
      </c>
      <c r="D19" s="118" t="s">
        <v>1029</v>
      </c>
      <c r="E19" s="117"/>
      <c r="F19" s="118">
        <v>0.5</v>
      </c>
      <c r="G19" s="117"/>
      <c r="H19" s="118" t="s">
        <v>20</v>
      </c>
      <c r="I19" s="137"/>
      <c r="J19" s="120"/>
      <c r="K19" s="121" t="s">
        <v>210</v>
      </c>
      <c r="L19" s="120"/>
      <c r="M19" s="120"/>
      <c r="N19" s="120"/>
      <c r="O19" s="121" t="s">
        <v>74</v>
      </c>
      <c r="P19" s="125" t="s">
        <v>189</v>
      </c>
    </row>
    <row r="20" ht="14.25" customHeight="1">
      <c r="A20" s="117" t="s">
        <v>28</v>
      </c>
      <c r="B20" s="118" t="s">
        <v>1299</v>
      </c>
      <c r="C20" s="118" t="s">
        <v>1946</v>
      </c>
      <c r="D20" s="118" t="s">
        <v>1947</v>
      </c>
      <c r="E20" s="117"/>
      <c r="F20" s="118">
        <v>1.0</v>
      </c>
      <c r="G20" s="117"/>
      <c r="H20" s="118" t="s">
        <v>20</v>
      </c>
      <c r="I20" s="137" t="s">
        <v>1932</v>
      </c>
      <c r="J20" s="120"/>
      <c r="K20" s="120"/>
      <c r="L20" s="120"/>
      <c r="M20" s="120"/>
      <c r="N20" s="120"/>
      <c r="O20" s="121" t="s">
        <v>54</v>
      </c>
      <c r="P20" s="125" t="s">
        <v>188</v>
      </c>
    </row>
    <row r="21" ht="14.25" customHeight="1">
      <c r="A21" s="122" t="s">
        <v>29</v>
      </c>
      <c r="B21" s="123" t="s">
        <v>1817</v>
      </c>
      <c r="C21" s="123" t="s">
        <v>887</v>
      </c>
      <c r="D21" s="123" t="s">
        <v>1037</v>
      </c>
      <c r="E21" s="124"/>
      <c r="F21" s="123">
        <v>1.0</v>
      </c>
      <c r="G21" s="124"/>
      <c r="H21" s="123" t="s">
        <v>20</v>
      </c>
      <c r="I21" s="121"/>
      <c r="J21" s="120"/>
      <c r="K21" s="120"/>
      <c r="L21" s="120"/>
      <c r="M21" s="121" t="s">
        <v>203</v>
      </c>
      <c r="N21" s="120"/>
      <c r="O21" s="121" t="s">
        <v>54</v>
      </c>
      <c r="P21" s="125" t="s">
        <v>190</v>
      </c>
    </row>
    <row r="22" ht="14.25" customHeight="1">
      <c r="A22" s="122" t="s">
        <v>30</v>
      </c>
      <c r="B22" s="123" t="s">
        <v>1948</v>
      </c>
      <c r="C22" s="123" t="s">
        <v>1949</v>
      </c>
      <c r="D22" s="123" t="s">
        <v>1950</v>
      </c>
      <c r="E22" s="124"/>
      <c r="F22" s="123">
        <v>1.5</v>
      </c>
      <c r="G22" s="124"/>
      <c r="H22" s="123" t="s">
        <v>20</v>
      </c>
      <c r="I22" s="121"/>
      <c r="J22" s="120"/>
      <c r="K22" s="120"/>
      <c r="L22" s="120"/>
      <c r="M22" s="121" t="s">
        <v>203</v>
      </c>
      <c r="N22" s="120"/>
      <c r="O22" s="121" t="s">
        <v>74</v>
      </c>
      <c r="P22" s="125" t="s">
        <v>190</v>
      </c>
    </row>
    <row r="23" ht="14.25" customHeight="1">
      <c r="B23" s="125" t="s">
        <v>1951</v>
      </c>
      <c r="C23" s="125" t="s">
        <v>1952</v>
      </c>
      <c r="D23" s="125" t="s">
        <v>1953</v>
      </c>
      <c r="F23" s="125">
        <v>0.8</v>
      </c>
      <c r="H23" s="125" t="s">
        <v>20</v>
      </c>
      <c r="M23" s="125" t="s">
        <v>203</v>
      </c>
      <c r="O23" s="125" t="s">
        <v>74</v>
      </c>
      <c r="P23" s="125" t="s">
        <v>190</v>
      </c>
    </row>
    <row r="24" ht="14.25" customHeight="1">
      <c r="B24" s="125" t="s">
        <v>282</v>
      </c>
      <c r="C24" s="125" t="s">
        <v>1954</v>
      </c>
      <c r="D24" s="125" t="s">
        <v>887</v>
      </c>
      <c r="F24" s="125">
        <v>1.8</v>
      </c>
      <c r="H24" s="125" t="s">
        <v>20</v>
      </c>
      <c r="M24" s="125" t="s">
        <v>203</v>
      </c>
      <c r="O24" s="125" t="s">
        <v>54</v>
      </c>
      <c r="P24" s="125" t="s">
        <v>190</v>
      </c>
    </row>
    <row r="25" ht="14.25" customHeight="1">
      <c r="B25" s="125" t="s">
        <v>282</v>
      </c>
      <c r="C25" s="125" t="s">
        <v>1955</v>
      </c>
      <c r="D25" s="125" t="s">
        <v>887</v>
      </c>
      <c r="F25" s="125">
        <v>0.8</v>
      </c>
      <c r="H25" s="125" t="s">
        <v>20</v>
      </c>
      <c r="I25" s="125" t="s">
        <v>1053</v>
      </c>
      <c r="O25" s="125" t="s">
        <v>74</v>
      </c>
      <c r="P25" s="125" t="s">
        <v>188</v>
      </c>
    </row>
    <row r="26" ht="14.25" customHeight="1">
      <c r="A26" s="126">
        <f>-A29</f>
        <v>0</v>
      </c>
      <c r="B26" s="125" t="s">
        <v>1956</v>
      </c>
      <c r="C26" s="125" t="s">
        <v>1957</v>
      </c>
      <c r="D26" s="125" t="s">
        <v>517</v>
      </c>
      <c r="F26" s="125">
        <v>1.0</v>
      </c>
      <c r="H26" s="125" t="s">
        <v>20</v>
      </c>
      <c r="K26" s="125" t="s">
        <v>210</v>
      </c>
      <c r="O26" s="125" t="s">
        <v>74</v>
      </c>
      <c r="P26" s="125" t="s">
        <v>189</v>
      </c>
    </row>
    <row r="27" ht="14.25" customHeight="1">
      <c r="B27" s="125" t="s">
        <v>1958</v>
      </c>
      <c r="C27" s="125" t="s">
        <v>1005</v>
      </c>
      <c r="D27" s="125" t="s">
        <v>1025</v>
      </c>
      <c r="F27" s="125">
        <v>1.3</v>
      </c>
      <c r="H27" s="125" t="s">
        <v>542</v>
      </c>
      <c r="K27" s="125" t="s">
        <v>1151</v>
      </c>
      <c r="O27" s="125" t="s">
        <v>74</v>
      </c>
      <c r="P27" s="125" t="s">
        <v>189</v>
      </c>
    </row>
    <row r="28" ht="14.25" customHeight="1">
      <c r="B28" s="125" t="s">
        <v>1449</v>
      </c>
      <c r="C28" s="125" t="s">
        <v>81</v>
      </c>
      <c r="D28" s="125" t="s">
        <v>1090</v>
      </c>
      <c r="F28" s="125">
        <v>1.5</v>
      </c>
      <c r="H28" s="125" t="s">
        <v>21</v>
      </c>
      <c r="K28" s="125" t="s">
        <v>58</v>
      </c>
      <c r="O28" s="125" t="s">
        <v>54</v>
      </c>
      <c r="P28" s="125" t="s">
        <v>189</v>
      </c>
    </row>
    <row r="29" ht="14.25" customHeight="1">
      <c r="B29" s="125" t="s">
        <v>319</v>
      </c>
      <c r="C29" s="125" t="s">
        <v>410</v>
      </c>
      <c r="D29" s="125" t="s">
        <v>212</v>
      </c>
      <c r="F29" s="125">
        <v>1.0</v>
      </c>
      <c r="H29" s="125" t="s">
        <v>21</v>
      </c>
      <c r="K29" s="125" t="s">
        <v>549</v>
      </c>
      <c r="O29" s="125" t="s">
        <v>54</v>
      </c>
      <c r="P29" s="125" t="s">
        <v>189</v>
      </c>
    </row>
    <row r="30" ht="14.25" customHeight="1">
      <c r="B30" s="125" t="s">
        <v>1449</v>
      </c>
      <c r="C30" s="125" t="s">
        <v>1959</v>
      </c>
      <c r="D30" s="125" t="s">
        <v>1960</v>
      </c>
      <c r="F30" s="125">
        <v>1.0</v>
      </c>
      <c r="H30" s="125" t="s">
        <v>21</v>
      </c>
      <c r="I30" s="125" t="s">
        <v>992</v>
      </c>
      <c r="O30" s="125" t="s">
        <v>54</v>
      </c>
      <c r="P30" s="125" t="s">
        <v>188</v>
      </c>
    </row>
    <row r="31" ht="14.25" customHeight="1">
      <c r="B31" s="125" t="s">
        <v>1961</v>
      </c>
      <c r="C31" s="125" t="s">
        <v>1962</v>
      </c>
      <c r="D31" s="125" t="s">
        <v>1963</v>
      </c>
      <c r="F31" s="125">
        <v>1.0</v>
      </c>
      <c r="H31" s="125" t="s">
        <v>21</v>
      </c>
      <c r="K31" s="125" t="s">
        <v>58</v>
      </c>
      <c r="O31" s="125" t="s">
        <v>54</v>
      </c>
      <c r="P31" s="125" t="s">
        <v>189</v>
      </c>
    </row>
    <row r="32" ht="14.25" customHeight="1">
      <c r="B32" s="125" t="s">
        <v>1851</v>
      </c>
      <c r="C32" s="125" t="s">
        <v>419</v>
      </c>
      <c r="D32" s="125" t="s">
        <v>679</v>
      </c>
      <c r="F32" s="125">
        <v>1.0</v>
      </c>
      <c r="H32" s="125" t="s">
        <v>21</v>
      </c>
      <c r="I32" s="125" t="s">
        <v>992</v>
      </c>
      <c r="O32" s="125" t="s">
        <v>54</v>
      </c>
      <c r="P32" s="125" t="s">
        <v>188</v>
      </c>
    </row>
    <row r="33" ht="14.25" customHeight="1">
      <c r="B33" s="125" t="s">
        <v>1964</v>
      </c>
      <c r="C33" s="125" t="s">
        <v>70</v>
      </c>
      <c r="D33" s="125" t="s">
        <v>416</v>
      </c>
      <c r="F33" s="125">
        <v>2.0</v>
      </c>
      <c r="H33" s="125" t="s">
        <v>21</v>
      </c>
      <c r="I33" s="125" t="s">
        <v>992</v>
      </c>
      <c r="O33" s="125" t="s">
        <v>54</v>
      </c>
      <c r="P33" s="125" t="s">
        <v>188</v>
      </c>
    </row>
    <row r="34" ht="14.25" customHeight="1">
      <c r="B34" s="125" t="s">
        <v>1965</v>
      </c>
      <c r="C34" s="125" t="s">
        <v>1966</v>
      </c>
      <c r="D34" s="125" t="s">
        <v>1967</v>
      </c>
      <c r="F34" s="125">
        <v>1.0</v>
      </c>
      <c r="H34" s="125" t="s">
        <v>21</v>
      </c>
      <c r="K34" s="125" t="s">
        <v>73</v>
      </c>
      <c r="O34" s="125" t="s">
        <v>54</v>
      </c>
      <c r="P34" s="125" t="s">
        <v>189</v>
      </c>
    </row>
    <row r="35" ht="14.25" customHeight="1">
      <c r="B35" s="125" t="s">
        <v>1968</v>
      </c>
      <c r="C35" s="125" t="s">
        <v>1969</v>
      </c>
      <c r="D35" s="125" t="s">
        <v>419</v>
      </c>
      <c r="F35" s="125">
        <v>1.0</v>
      </c>
      <c r="H35" s="125" t="s">
        <v>21</v>
      </c>
      <c r="I35" s="125" t="s">
        <v>992</v>
      </c>
      <c r="O35" s="125" t="s">
        <v>54</v>
      </c>
      <c r="P35" s="125" t="s">
        <v>188</v>
      </c>
    </row>
    <row r="36" ht="14.25" customHeight="1">
      <c r="B36" s="125" t="s">
        <v>1970</v>
      </c>
      <c r="C36" s="125" t="s">
        <v>1108</v>
      </c>
      <c r="D36" s="125" t="s">
        <v>1109</v>
      </c>
      <c r="F36" s="125">
        <v>1.0</v>
      </c>
      <c r="H36" s="125" t="s">
        <v>21</v>
      </c>
      <c r="K36" s="125" t="s">
        <v>58</v>
      </c>
      <c r="O36" s="125" t="s">
        <v>54</v>
      </c>
      <c r="P36" s="125" t="s">
        <v>189</v>
      </c>
    </row>
    <row r="37" ht="14.25" customHeight="1">
      <c r="B37" s="125" t="s">
        <v>1971</v>
      </c>
      <c r="C37" s="125" t="s">
        <v>1972</v>
      </c>
      <c r="D37" s="125" t="s">
        <v>1973</v>
      </c>
      <c r="F37" s="125">
        <v>1.5</v>
      </c>
      <c r="H37" s="125" t="s">
        <v>21</v>
      </c>
      <c r="M37" s="125" t="s">
        <v>1974</v>
      </c>
      <c r="O37" s="125" t="s">
        <v>54</v>
      </c>
      <c r="P37" s="125" t="s">
        <v>190</v>
      </c>
    </row>
    <row r="38" ht="14.25" customHeight="1">
      <c r="B38" s="125" t="s">
        <v>1975</v>
      </c>
      <c r="C38" s="125" t="s">
        <v>1856</v>
      </c>
      <c r="D38" s="125" t="s">
        <v>1976</v>
      </c>
      <c r="F38" s="125">
        <v>1.0</v>
      </c>
      <c r="H38" s="125" t="s">
        <v>21</v>
      </c>
      <c r="I38" s="125" t="s">
        <v>1977</v>
      </c>
      <c r="O38" s="125" t="s">
        <v>54</v>
      </c>
      <c r="P38" s="125" t="s">
        <v>188</v>
      </c>
    </row>
    <row r="39" ht="14.25" customHeight="1">
      <c r="B39" s="125" t="s">
        <v>1978</v>
      </c>
      <c r="C39" s="125" t="s">
        <v>419</v>
      </c>
      <c r="D39" s="125" t="s">
        <v>548</v>
      </c>
      <c r="F39" s="125">
        <v>1.0</v>
      </c>
      <c r="H39" s="125" t="s">
        <v>21</v>
      </c>
      <c r="I39" s="125" t="s">
        <v>992</v>
      </c>
      <c r="O39" s="125" t="s">
        <v>54</v>
      </c>
      <c r="P39" s="125" t="s">
        <v>188</v>
      </c>
    </row>
    <row r="40" ht="14.25" customHeight="1">
      <c r="B40" s="125" t="s">
        <v>1979</v>
      </c>
      <c r="C40" s="125" t="s">
        <v>419</v>
      </c>
      <c r="D40" s="125" t="s">
        <v>1980</v>
      </c>
      <c r="F40" s="125">
        <v>1.0</v>
      </c>
      <c r="H40" s="125" t="s">
        <v>21</v>
      </c>
      <c r="I40" s="125" t="s">
        <v>992</v>
      </c>
      <c r="O40" s="125" t="s">
        <v>54</v>
      </c>
      <c r="P40" s="125" t="s">
        <v>188</v>
      </c>
    </row>
    <row r="41" ht="14.25" customHeight="1">
      <c r="B41" s="125" t="s">
        <v>1109</v>
      </c>
      <c r="C41" s="125" t="s">
        <v>1981</v>
      </c>
      <c r="D41" s="125" t="s">
        <v>524</v>
      </c>
      <c r="F41" s="125">
        <v>2.0</v>
      </c>
      <c r="H41" s="125" t="s">
        <v>21</v>
      </c>
      <c r="I41" s="125" t="s">
        <v>992</v>
      </c>
      <c r="O41" s="125" t="s">
        <v>54</v>
      </c>
      <c r="P41" s="125" t="s">
        <v>188</v>
      </c>
    </row>
    <row r="42" ht="14.25" customHeight="1">
      <c r="B42" s="125" t="s">
        <v>1982</v>
      </c>
      <c r="C42" s="125" t="s">
        <v>81</v>
      </c>
      <c r="D42" s="125" t="s">
        <v>553</v>
      </c>
      <c r="F42" s="125">
        <v>1.0</v>
      </c>
      <c r="H42" s="125" t="s">
        <v>21</v>
      </c>
      <c r="K42" s="125" t="s">
        <v>58</v>
      </c>
      <c r="O42" s="125" t="s">
        <v>54</v>
      </c>
      <c r="P42" s="125" t="s">
        <v>189</v>
      </c>
    </row>
    <row r="43" ht="14.25" customHeight="1">
      <c r="B43" s="125" t="s">
        <v>1983</v>
      </c>
      <c r="C43" s="125" t="s">
        <v>419</v>
      </c>
      <c r="D43" s="125" t="s">
        <v>1984</v>
      </c>
      <c r="F43" s="125">
        <v>2.0</v>
      </c>
      <c r="H43" s="125" t="s">
        <v>21</v>
      </c>
      <c r="I43" s="125" t="s">
        <v>992</v>
      </c>
      <c r="O43" s="125" t="s">
        <v>54</v>
      </c>
      <c r="P43" s="125" t="s">
        <v>188</v>
      </c>
    </row>
    <row r="44" ht="14.25" customHeight="1">
      <c r="B44" s="125" t="s">
        <v>1985</v>
      </c>
      <c r="C44" s="125" t="s">
        <v>419</v>
      </c>
      <c r="D44" s="125" t="s">
        <v>1984</v>
      </c>
      <c r="F44" s="125">
        <v>1.0</v>
      </c>
      <c r="H44" s="125" t="s">
        <v>21</v>
      </c>
      <c r="M44" s="125">
        <v>8433.0</v>
      </c>
      <c r="O44" s="125" t="s">
        <v>54</v>
      </c>
      <c r="P44" s="125" t="s">
        <v>190</v>
      </c>
    </row>
    <row r="45" ht="14.25" customHeight="1">
      <c r="B45" s="125" t="s">
        <v>1268</v>
      </c>
      <c r="C45" s="125" t="s">
        <v>1986</v>
      </c>
      <c r="D45" s="125" t="s">
        <v>1984</v>
      </c>
      <c r="F45" s="125">
        <v>2.0</v>
      </c>
      <c r="H45" s="125" t="s">
        <v>21</v>
      </c>
      <c r="I45" s="125" t="s">
        <v>992</v>
      </c>
      <c r="O45" s="125" t="s">
        <v>54</v>
      </c>
      <c r="P45" s="125" t="s">
        <v>188</v>
      </c>
    </row>
    <row r="46" ht="14.25" customHeight="1">
      <c r="B46" s="125" t="s">
        <v>1453</v>
      </c>
      <c r="C46" s="125" t="s">
        <v>1987</v>
      </c>
      <c r="D46" s="125" t="s">
        <v>442</v>
      </c>
      <c r="F46" s="125">
        <v>3.0</v>
      </c>
      <c r="H46" s="125" t="s">
        <v>25</v>
      </c>
      <c r="K46" s="125" t="s">
        <v>172</v>
      </c>
      <c r="O46" s="125" t="s">
        <v>54</v>
      </c>
      <c r="P46" s="125" t="s">
        <v>189</v>
      </c>
    </row>
    <row r="47" ht="14.25" customHeight="1">
      <c r="B47" s="125" t="s">
        <v>1988</v>
      </c>
      <c r="C47" s="125" t="s">
        <v>1989</v>
      </c>
      <c r="D47" s="125" t="s">
        <v>1990</v>
      </c>
      <c r="F47" s="125">
        <v>1.0</v>
      </c>
      <c r="H47" s="125" t="s">
        <v>25</v>
      </c>
      <c r="K47" s="125" t="s">
        <v>172</v>
      </c>
      <c r="O47" s="125" t="s">
        <v>74</v>
      </c>
      <c r="P47" s="125" t="s">
        <v>189</v>
      </c>
    </row>
    <row r="48" ht="14.25" customHeight="1">
      <c r="B48" s="125" t="s">
        <v>1991</v>
      </c>
      <c r="C48" s="125" t="s">
        <v>1992</v>
      </c>
      <c r="D48" s="125" t="s">
        <v>1993</v>
      </c>
      <c r="F48" s="125">
        <v>1.1</v>
      </c>
      <c r="H48" s="125" t="s">
        <v>25</v>
      </c>
      <c r="K48" s="125" t="s">
        <v>172</v>
      </c>
      <c r="O48" s="125" t="s">
        <v>74</v>
      </c>
      <c r="P48" s="125" t="s">
        <v>189</v>
      </c>
    </row>
    <row r="49" ht="14.25" customHeight="1">
      <c r="B49" s="125" t="s">
        <v>1994</v>
      </c>
      <c r="C49" s="125" t="s">
        <v>1706</v>
      </c>
      <c r="D49" s="125" t="s">
        <v>1993</v>
      </c>
      <c r="F49" s="125">
        <v>1.8</v>
      </c>
      <c r="H49" s="125" t="s">
        <v>25</v>
      </c>
      <c r="M49" s="125" t="s">
        <v>371</v>
      </c>
      <c r="O49" s="125" t="s">
        <v>74</v>
      </c>
      <c r="P49" s="125" t="s">
        <v>190</v>
      </c>
    </row>
    <row r="50" ht="14.25" customHeight="1">
      <c r="B50" s="125" t="s">
        <v>1995</v>
      </c>
      <c r="C50" s="125" t="s">
        <v>1992</v>
      </c>
      <c r="D50" s="125" t="s">
        <v>1993</v>
      </c>
      <c r="F50" s="125">
        <v>1.3</v>
      </c>
      <c r="H50" s="125" t="s">
        <v>25</v>
      </c>
      <c r="M50" s="125" t="s">
        <v>371</v>
      </c>
      <c r="O50" s="125" t="s">
        <v>74</v>
      </c>
      <c r="P50" s="125" t="s">
        <v>190</v>
      </c>
    </row>
    <row r="51" ht="14.25" customHeight="1">
      <c r="B51" s="125" t="s">
        <v>1168</v>
      </c>
      <c r="C51" s="125" t="s">
        <v>757</v>
      </c>
      <c r="D51" s="125" t="s">
        <v>233</v>
      </c>
      <c r="F51" s="125">
        <v>1.1</v>
      </c>
      <c r="H51" s="125" t="s">
        <v>25</v>
      </c>
      <c r="K51" s="125" t="s">
        <v>53</v>
      </c>
      <c r="O51" s="125" t="s">
        <v>54</v>
      </c>
      <c r="P51" s="125" t="s">
        <v>189</v>
      </c>
    </row>
    <row r="52" ht="14.25" customHeight="1">
      <c r="B52" s="125" t="s">
        <v>1996</v>
      </c>
      <c r="C52" s="125" t="s">
        <v>1997</v>
      </c>
      <c r="D52" s="125" t="s">
        <v>114</v>
      </c>
      <c r="F52" s="125">
        <v>3.0</v>
      </c>
      <c r="H52" s="125" t="s">
        <v>25</v>
      </c>
      <c r="K52" s="125" t="s">
        <v>53</v>
      </c>
      <c r="O52" s="125" t="s">
        <v>54</v>
      </c>
      <c r="P52" s="125" t="s">
        <v>189</v>
      </c>
    </row>
    <row r="53" ht="14.25" customHeight="1">
      <c r="B53" s="125" t="s">
        <v>1998</v>
      </c>
      <c r="C53" s="125" t="s">
        <v>1999</v>
      </c>
      <c r="D53" s="125" t="s">
        <v>1686</v>
      </c>
      <c r="F53" s="125">
        <v>2.8</v>
      </c>
      <c r="H53" s="125" t="s">
        <v>25</v>
      </c>
      <c r="M53" s="125" t="s">
        <v>129</v>
      </c>
      <c r="O53" s="125" t="s">
        <v>54</v>
      </c>
      <c r="P53" s="125" t="s">
        <v>190</v>
      </c>
    </row>
    <row r="54" ht="14.25" customHeight="1">
      <c r="B54" s="125" t="s">
        <v>672</v>
      </c>
      <c r="C54" s="125" t="s">
        <v>135</v>
      </c>
      <c r="D54" s="125" t="s">
        <v>1686</v>
      </c>
      <c r="F54" s="125">
        <v>1.0</v>
      </c>
      <c r="H54" s="125" t="s">
        <v>25</v>
      </c>
      <c r="K54" s="125" t="s">
        <v>53</v>
      </c>
      <c r="O54" s="125" t="s">
        <v>54</v>
      </c>
      <c r="P54" s="125" t="s">
        <v>189</v>
      </c>
    </row>
    <row r="55" ht="14.25" customHeight="1">
      <c r="B55" s="125" t="s">
        <v>618</v>
      </c>
      <c r="C55" s="125" t="s">
        <v>2000</v>
      </c>
      <c r="D55" s="125" t="s">
        <v>2001</v>
      </c>
      <c r="F55" s="125">
        <v>2.0</v>
      </c>
      <c r="H55" s="125" t="s">
        <v>25</v>
      </c>
      <c r="M55" s="125" t="s">
        <v>129</v>
      </c>
      <c r="O55" s="125" t="s">
        <v>54</v>
      </c>
      <c r="P55" s="125" t="s">
        <v>190</v>
      </c>
    </row>
    <row r="56" ht="14.25" customHeight="1">
      <c r="B56" s="125" t="s">
        <v>601</v>
      </c>
      <c r="C56" s="125" t="s">
        <v>540</v>
      </c>
      <c r="D56" s="125" t="s">
        <v>489</v>
      </c>
      <c r="F56" s="125">
        <v>6.0</v>
      </c>
      <c r="H56" s="125" t="s">
        <v>25</v>
      </c>
      <c r="M56" s="125" t="s">
        <v>129</v>
      </c>
      <c r="O56" s="125" t="s">
        <v>54</v>
      </c>
      <c r="P56" s="125" t="s">
        <v>190</v>
      </c>
    </row>
    <row r="57" ht="14.25" customHeight="1">
      <c r="B57" s="125" t="s">
        <v>2002</v>
      </c>
      <c r="C57" s="125" t="s">
        <v>442</v>
      </c>
      <c r="D57" s="125" t="s">
        <v>1397</v>
      </c>
      <c r="F57" s="125">
        <v>1.0</v>
      </c>
      <c r="H57" s="125" t="s">
        <v>25</v>
      </c>
      <c r="K57" s="125" t="s">
        <v>172</v>
      </c>
      <c r="O57" s="125" t="s">
        <v>54</v>
      </c>
      <c r="P57" s="125" t="s">
        <v>189</v>
      </c>
    </row>
    <row r="58" ht="14.25" customHeight="1">
      <c r="B58" s="125" t="s">
        <v>2003</v>
      </c>
      <c r="C58" s="125" t="s">
        <v>760</v>
      </c>
      <c r="D58" s="125" t="s">
        <v>665</v>
      </c>
      <c r="F58" s="125">
        <v>3.7</v>
      </c>
      <c r="H58" s="125" t="s">
        <v>25</v>
      </c>
      <c r="K58" s="125" t="s">
        <v>1151</v>
      </c>
      <c r="O58" s="125" t="s">
        <v>54</v>
      </c>
      <c r="P58" s="125" t="s">
        <v>189</v>
      </c>
    </row>
    <row r="59" ht="14.25" customHeight="1">
      <c r="B59" s="125" t="s">
        <v>2004</v>
      </c>
      <c r="C59" s="125" t="s">
        <v>2005</v>
      </c>
      <c r="D59" s="125" t="s">
        <v>302</v>
      </c>
      <c r="F59" s="125">
        <v>1.0</v>
      </c>
      <c r="H59" s="125" t="s">
        <v>25</v>
      </c>
      <c r="M59" s="125" t="s">
        <v>129</v>
      </c>
      <c r="O59" s="125" t="s">
        <v>54</v>
      </c>
      <c r="P59" s="125" t="s">
        <v>190</v>
      </c>
    </row>
    <row r="60" ht="14.25" customHeight="1">
      <c r="B60" s="125" t="s">
        <v>865</v>
      </c>
      <c r="C60" s="125" t="s">
        <v>2006</v>
      </c>
      <c r="D60" s="125" t="s">
        <v>622</v>
      </c>
      <c r="F60" s="125">
        <v>2.0</v>
      </c>
      <c r="H60" s="125" t="s">
        <v>25</v>
      </c>
      <c r="K60" s="125" t="s">
        <v>53</v>
      </c>
      <c r="O60" s="125" t="s">
        <v>54</v>
      </c>
      <c r="P60" s="125" t="s">
        <v>189</v>
      </c>
    </row>
    <row r="61" ht="14.25" customHeight="1">
      <c r="B61" s="125" t="s">
        <v>2007</v>
      </c>
      <c r="C61" s="125" t="s">
        <v>2008</v>
      </c>
      <c r="D61" s="125" t="s">
        <v>2009</v>
      </c>
      <c r="F61" s="125">
        <v>0.8</v>
      </c>
      <c r="H61" s="125" t="s">
        <v>25</v>
      </c>
      <c r="M61" s="125" t="s">
        <v>371</v>
      </c>
      <c r="O61" s="125" t="s">
        <v>74</v>
      </c>
      <c r="P61" s="125" t="s">
        <v>190</v>
      </c>
    </row>
    <row r="62" ht="14.25" customHeight="1">
      <c r="B62" s="125" t="s">
        <v>71</v>
      </c>
      <c r="C62" s="125" t="s">
        <v>2010</v>
      </c>
      <c r="D62" s="125" t="s">
        <v>2009</v>
      </c>
      <c r="F62" s="125">
        <v>0.5</v>
      </c>
      <c r="H62" s="125" t="s">
        <v>25</v>
      </c>
      <c r="M62" s="125" t="s">
        <v>371</v>
      </c>
      <c r="O62" s="125" t="s">
        <v>74</v>
      </c>
      <c r="P62" s="125" t="s">
        <v>190</v>
      </c>
    </row>
    <row r="63" ht="14.25" customHeight="1">
      <c r="B63" s="125" t="s">
        <v>2011</v>
      </c>
      <c r="C63" s="125" t="s">
        <v>624</v>
      </c>
      <c r="D63" s="125" t="s">
        <v>2012</v>
      </c>
      <c r="F63" s="125">
        <v>1.0</v>
      </c>
      <c r="H63" s="125" t="s">
        <v>25</v>
      </c>
      <c r="M63" s="125" t="s">
        <v>129</v>
      </c>
      <c r="O63" s="125" t="s">
        <v>54</v>
      </c>
      <c r="P63" s="125" t="s">
        <v>190</v>
      </c>
    </row>
    <row r="64" ht="14.25" customHeight="1">
      <c r="B64" s="125" t="s">
        <v>2013</v>
      </c>
      <c r="C64" s="125" t="s">
        <v>2014</v>
      </c>
      <c r="D64" s="125" t="s">
        <v>2015</v>
      </c>
      <c r="F64" s="125">
        <v>1.0</v>
      </c>
      <c r="H64" s="125" t="s">
        <v>25</v>
      </c>
      <c r="K64" s="125" t="s">
        <v>53</v>
      </c>
      <c r="O64" s="125" t="s">
        <v>54</v>
      </c>
      <c r="P64" s="125" t="s">
        <v>189</v>
      </c>
    </row>
    <row r="65" ht="14.25" customHeight="1">
      <c r="B65" s="125" t="s">
        <v>663</v>
      </c>
      <c r="C65" s="125" t="s">
        <v>418</v>
      </c>
      <c r="D65" s="125" t="s">
        <v>734</v>
      </c>
      <c r="F65" s="125">
        <v>1.0</v>
      </c>
      <c r="H65" s="125" t="s">
        <v>25</v>
      </c>
      <c r="K65" s="125" t="s">
        <v>155</v>
      </c>
      <c r="O65" s="125" t="s">
        <v>54</v>
      </c>
      <c r="P65" s="125" t="s">
        <v>189</v>
      </c>
    </row>
    <row r="66" ht="14.25" customHeight="1">
      <c r="B66" s="125" t="s">
        <v>2016</v>
      </c>
      <c r="C66" s="125" t="s">
        <v>2009</v>
      </c>
      <c r="D66" s="125" t="s">
        <v>2017</v>
      </c>
      <c r="F66" s="125">
        <v>0.5</v>
      </c>
      <c r="H66" s="125" t="s">
        <v>25</v>
      </c>
      <c r="M66" s="125" t="s">
        <v>371</v>
      </c>
      <c r="O66" s="125" t="s">
        <v>54</v>
      </c>
      <c r="P66" s="125" t="s">
        <v>190</v>
      </c>
    </row>
    <row r="67" ht="14.25" customHeight="1">
      <c r="B67" s="125" t="s">
        <v>2018</v>
      </c>
      <c r="C67" s="125" t="s">
        <v>570</v>
      </c>
      <c r="D67" s="125" t="s">
        <v>285</v>
      </c>
      <c r="F67" s="125">
        <v>1.0</v>
      </c>
      <c r="H67" s="125" t="s">
        <v>25</v>
      </c>
      <c r="K67" s="125" t="s">
        <v>53</v>
      </c>
      <c r="O67" s="125" t="s">
        <v>54</v>
      </c>
      <c r="P67" s="125" t="s">
        <v>189</v>
      </c>
    </row>
    <row r="68" ht="14.25" customHeight="1">
      <c r="B68" s="125" t="s">
        <v>291</v>
      </c>
      <c r="C68" s="125" t="s">
        <v>2019</v>
      </c>
      <c r="D68" s="125" t="s">
        <v>644</v>
      </c>
      <c r="F68" s="125">
        <v>2.0</v>
      </c>
      <c r="H68" s="125" t="s">
        <v>25</v>
      </c>
      <c r="M68" s="125" t="s">
        <v>2020</v>
      </c>
      <c r="O68" s="125" t="s">
        <v>54</v>
      </c>
      <c r="P68" s="125" t="s">
        <v>190</v>
      </c>
    </row>
    <row r="69" ht="14.25" customHeight="1">
      <c r="B69" s="125" t="s">
        <v>2021</v>
      </c>
      <c r="C69" s="125" t="s">
        <v>558</v>
      </c>
      <c r="D69" s="125" t="s">
        <v>2022</v>
      </c>
      <c r="F69" s="125">
        <v>1.0</v>
      </c>
      <c r="H69" s="125" t="s">
        <v>25</v>
      </c>
      <c r="K69" s="125" t="s">
        <v>155</v>
      </c>
      <c r="O69" s="125" t="s">
        <v>54</v>
      </c>
      <c r="P69" s="125" t="s">
        <v>189</v>
      </c>
    </row>
    <row r="70" ht="14.25" customHeight="1">
      <c r="B70" s="125" t="s">
        <v>316</v>
      </c>
      <c r="C70" s="125" t="s">
        <v>644</v>
      </c>
      <c r="D70" s="125" t="s">
        <v>2023</v>
      </c>
      <c r="F70" s="125">
        <v>2.2</v>
      </c>
      <c r="H70" s="125" t="s">
        <v>25</v>
      </c>
      <c r="M70" s="125" t="s">
        <v>129</v>
      </c>
      <c r="O70" s="125" t="s">
        <v>54</v>
      </c>
      <c r="P70" s="125" t="s">
        <v>190</v>
      </c>
    </row>
    <row r="71" ht="14.25" customHeight="1">
      <c r="B71" s="125" t="s">
        <v>2024</v>
      </c>
      <c r="C71" s="125" t="s">
        <v>2025</v>
      </c>
      <c r="D71" s="125" t="s">
        <v>2026</v>
      </c>
      <c r="E71" s="125" t="s">
        <v>86</v>
      </c>
      <c r="F71" s="125">
        <v>3.0</v>
      </c>
      <c r="H71" s="125" t="s">
        <v>25</v>
      </c>
      <c r="K71" s="125" t="s">
        <v>155</v>
      </c>
      <c r="O71" s="125" t="s">
        <v>54</v>
      </c>
      <c r="P71" s="125" t="s">
        <v>189</v>
      </c>
    </row>
    <row r="72" ht="14.25" customHeight="1">
      <c r="B72" s="125" t="s">
        <v>233</v>
      </c>
      <c r="C72" s="125" t="s">
        <v>2027</v>
      </c>
      <c r="D72" s="125" t="s">
        <v>2028</v>
      </c>
      <c r="F72" s="125">
        <v>1.0</v>
      </c>
      <c r="H72" s="125" t="s">
        <v>25</v>
      </c>
      <c r="K72" s="125" t="s">
        <v>53</v>
      </c>
      <c r="O72" s="125" t="s">
        <v>54</v>
      </c>
      <c r="P72" s="125" t="s">
        <v>189</v>
      </c>
    </row>
    <row r="73" ht="14.25" customHeight="1">
      <c r="B73" s="125" t="s">
        <v>1481</v>
      </c>
      <c r="C73" s="125" t="s">
        <v>2029</v>
      </c>
      <c r="D73" s="125" t="s">
        <v>321</v>
      </c>
      <c r="F73" s="125">
        <v>1.0</v>
      </c>
      <c r="H73" s="125" t="s">
        <v>25</v>
      </c>
      <c r="K73" s="125" t="s">
        <v>155</v>
      </c>
      <c r="O73" s="125" t="s">
        <v>54</v>
      </c>
      <c r="P73" s="125" t="s">
        <v>189</v>
      </c>
    </row>
    <row r="74" ht="14.25" customHeight="1">
      <c r="B74" s="125" t="s">
        <v>2030</v>
      </c>
      <c r="C74" s="125" t="s">
        <v>649</v>
      </c>
      <c r="D74" s="125" t="s">
        <v>2031</v>
      </c>
      <c r="F74" s="125">
        <v>1.0</v>
      </c>
      <c r="H74" s="125" t="s">
        <v>25</v>
      </c>
      <c r="M74" s="125" t="s">
        <v>526</v>
      </c>
      <c r="O74" s="125" t="s">
        <v>74</v>
      </c>
      <c r="P74" s="125" t="s">
        <v>190</v>
      </c>
    </row>
    <row r="75" ht="14.25" customHeight="1">
      <c r="B75" s="125" t="s">
        <v>670</v>
      </c>
      <c r="D75" s="125" t="s">
        <v>317</v>
      </c>
      <c r="E75" s="125" t="s">
        <v>86</v>
      </c>
      <c r="F75" s="125">
        <v>1.3</v>
      </c>
      <c r="H75" s="125" t="s">
        <v>25</v>
      </c>
      <c r="K75" s="125" t="s">
        <v>53</v>
      </c>
      <c r="O75" s="125" t="s">
        <v>54</v>
      </c>
      <c r="P75" s="125" t="s">
        <v>189</v>
      </c>
    </row>
    <row r="76" ht="14.25" customHeight="1">
      <c r="B76" s="125" t="s">
        <v>2032</v>
      </c>
      <c r="C76" s="125" t="s">
        <v>2009</v>
      </c>
      <c r="D76" s="125" t="s">
        <v>2033</v>
      </c>
      <c r="F76" s="125">
        <v>0.5</v>
      </c>
      <c r="H76" s="125" t="s">
        <v>25</v>
      </c>
      <c r="M76" s="125" t="s">
        <v>371</v>
      </c>
      <c r="O76" s="125" t="s">
        <v>74</v>
      </c>
      <c r="P76" s="125" t="s">
        <v>190</v>
      </c>
    </row>
    <row r="77" ht="14.25" customHeight="1">
      <c r="B77" s="125" t="s">
        <v>2034</v>
      </c>
      <c r="D77" s="125" t="s">
        <v>2035</v>
      </c>
      <c r="F77" s="125">
        <v>1.8</v>
      </c>
      <c r="H77" s="125" t="s">
        <v>25</v>
      </c>
      <c r="K77" s="125" t="s">
        <v>53</v>
      </c>
      <c r="O77" s="125" t="s">
        <v>54</v>
      </c>
      <c r="P77" s="125" t="s">
        <v>189</v>
      </c>
    </row>
    <row r="78" ht="14.25" customHeight="1">
      <c r="B78" s="125" t="s">
        <v>2036</v>
      </c>
      <c r="C78" s="125" t="s">
        <v>357</v>
      </c>
      <c r="D78" s="125" t="s">
        <v>2037</v>
      </c>
      <c r="F78" s="125">
        <v>1.8</v>
      </c>
      <c r="H78" s="125" t="s">
        <v>25</v>
      </c>
      <c r="M78" s="125" t="s">
        <v>129</v>
      </c>
      <c r="O78" s="125" t="s">
        <v>54</v>
      </c>
      <c r="P78" s="125" t="s">
        <v>190</v>
      </c>
    </row>
    <row r="79" ht="14.25" customHeight="1">
      <c r="B79" s="125" t="s">
        <v>2038</v>
      </c>
      <c r="C79" s="125" t="s">
        <v>2039</v>
      </c>
      <c r="D79" s="125" t="s">
        <v>2040</v>
      </c>
      <c r="E79" s="125" t="s">
        <v>86</v>
      </c>
      <c r="F79" s="125">
        <v>1.0</v>
      </c>
      <c r="H79" s="125" t="s">
        <v>25</v>
      </c>
      <c r="K79" s="125" t="s">
        <v>210</v>
      </c>
      <c r="O79" s="125" t="s">
        <v>54</v>
      </c>
      <c r="P79" s="125" t="s">
        <v>189</v>
      </c>
    </row>
    <row r="80" ht="14.25" customHeight="1">
      <c r="B80" s="125" t="s">
        <v>2041</v>
      </c>
      <c r="C80" s="125" t="s">
        <v>2042</v>
      </c>
      <c r="D80" s="125" t="s">
        <v>965</v>
      </c>
      <c r="F80" s="125">
        <v>1.0</v>
      </c>
      <c r="H80" s="125" t="s">
        <v>25</v>
      </c>
      <c r="M80" s="125" t="s">
        <v>129</v>
      </c>
      <c r="O80" s="125" t="s">
        <v>54</v>
      </c>
      <c r="P80" s="125" t="s">
        <v>190</v>
      </c>
    </row>
    <row r="81" ht="14.25" customHeight="1">
      <c r="B81" s="125" t="s">
        <v>1576</v>
      </c>
      <c r="C81" s="125" t="s">
        <v>2043</v>
      </c>
      <c r="D81" s="125" t="s">
        <v>2044</v>
      </c>
      <c r="F81" s="125">
        <v>1.0</v>
      </c>
      <c r="H81" s="125" t="s">
        <v>25</v>
      </c>
      <c r="K81" s="125" t="s">
        <v>155</v>
      </c>
      <c r="O81" s="125" t="s">
        <v>54</v>
      </c>
      <c r="P81" s="125" t="s">
        <v>189</v>
      </c>
    </row>
    <row r="82" ht="14.25" customHeight="1">
      <c r="B82" s="125" t="s">
        <v>826</v>
      </c>
      <c r="C82" s="125" t="s">
        <v>2045</v>
      </c>
      <c r="D82" s="125" t="s">
        <v>649</v>
      </c>
      <c r="F82" s="125">
        <v>1.1</v>
      </c>
      <c r="H82" s="125" t="s">
        <v>25</v>
      </c>
      <c r="K82" s="125" t="s">
        <v>53</v>
      </c>
      <c r="O82" s="125" t="s">
        <v>54</v>
      </c>
      <c r="P82" s="125" t="s">
        <v>189</v>
      </c>
    </row>
    <row r="83" ht="14.25" customHeight="1">
      <c r="B83" s="125" t="s">
        <v>776</v>
      </c>
      <c r="C83" s="125" t="s">
        <v>2046</v>
      </c>
      <c r="D83" s="125" t="s">
        <v>2047</v>
      </c>
      <c r="F83" s="125">
        <v>2.5</v>
      </c>
      <c r="H83" s="125" t="s">
        <v>2048</v>
      </c>
      <c r="I83" s="125" t="s">
        <v>2049</v>
      </c>
      <c r="O83" s="125" t="s">
        <v>74</v>
      </c>
      <c r="P83" s="125" t="s">
        <v>188</v>
      </c>
    </row>
    <row r="84" ht="14.25" customHeight="1">
      <c r="B84" s="125" t="s">
        <v>1044</v>
      </c>
      <c r="C84" s="125" t="s">
        <v>1878</v>
      </c>
      <c r="D84" s="125" t="s">
        <v>2050</v>
      </c>
      <c r="F84" s="125">
        <v>0.5</v>
      </c>
      <c r="H84" s="125" t="s">
        <v>2048</v>
      </c>
      <c r="I84" s="125" t="s">
        <v>2049</v>
      </c>
      <c r="O84" s="125" t="s">
        <v>74</v>
      </c>
      <c r="P84" s="125" t="s">
        <v>188</v>
      </c>
    </row>
    <row r="85" ht="14.25" customHeight="1">
      <c r="B85" s="125" t="s">
        <v>2051</v>
      </c>
      <c r="C85" s="125" t="s">
        <v>2052</v>
      </c>
      <c r="D85" s="125" t="s">
        <v>279</v>
      </c>
      <c r="F85" s="125">
        <v>1.0</v>
      </c>
      <c r="H85" s="125" t="s">
        <v>2048</v>
      </c>
      <c r="I85" s="125" t="s">
        <v>2049</v>
      </c>
      <c r="O85" s="125" t="s">
        <v>74</v>
      </c>
      <c r="P85" s="125" t="s">
        <v>188</v>
      </c>
    </row>
    <row r="86" ht="14.25" customHeight="1">
      <c r="B86" s="125" t="s">
        <v>1111</v>
      </c>
      <c r="C86" s="125" t="s">
        <v>1196</v>
      </c>
      <c r="D86" s="125" t="s">
        <v>2053</v>
      </c>
      <c r="F86" s="125">
        <v>1.0</v>
      </c>
      <c r="H86" s="125" t="s">
        <v>2048</v>
      </c>
      <c r="I86" s="125" t="s">
        <v>2049</v>
      </c>
      <c r="O86" s="125" t="s">
        <v>74</v>
      </c>
      <c r="P86" s="125" t="s">
        <v>188</v>
      </c>
    </row>
    <row r="87" ht="14.25" customHeight="1">
      <c r="B87" s="125" t="s">
        <v>2054</v>
      </c>
      <c r="C87" s="125" t="s">
        <v>2055</v>
      </c>
      <c r="D87" s="125" t="s">
        <v>2056</v>
      </c>
      <c r="F87" s="125">
        <v>2.0</v>
      </c>
      <c r="H87" s="125" t="s">
        <v>2048</v>
      </c>
      <c r="I87" s="125" t="s">
        <v>2049</v>
      </c>
      <c r="O87" s="125" t="s">
        <v>74</v>
      </c>
      <c r="P87" s="125" t="s">
        <v>188</v>
      </c>
    </row>
    <row r="88" ht="14.25" customHeight="1">
      <c r="B88" s="125" t="s">
        <v>1196</v>
      </c>
      <c r="C88" s="125" t="s">
        <v>2057</v>
      </c>
      <c r="D88" s="125" t="s">
        <v>510</v>
      </c>
      <c r="F88" s="125">
        <v>1.0</v>
      </c>
      <c r="H88" s="125" t="s">
        <v>2048</v>
      </c>
      <c r="I88" s="125" t="s">
        <v>2049</v>
      </c>
      <c r="O88" s="125" t="s">
        <v>74</v>
      </c>
      <c r="P88" s="125" t="s">
        <v>188</v>
      </c>
    </row>
    <row r="89" ht="14.25" customHeight="1">
      <c r="B89" s="125" t="s">
        <v>1006</v>
      </c>
      <c r="C89" s="125" t="s">
        <v>2058</v>
      </c>
      <c r="D89" s="125" t="s">
        <v>2059</v>
      </c>
      <c r="F89" s="125">
        <v>8.0</v>
      </c>
      <c r="H89" s="125" t="s">
        <v>2048</v>
      </c>
      <c r="I89" s="125" t="s">
        <v>2049</v>
      </c>
      <c r="O89" s="125" t="s">
        <v>74</v>
      </c>
      <c r="P89" s="125" t="s">
        <v>188</v>
      </c>
    </row>
    <row r="90" ht="14.25" customHeight="1">
      <c r="B90" s="125" t="s">
        <v>2060</v>
      </c>
      <c r="C90" s="125" t="s">
        <v>2061</v>
      </c>
      <c r="D90" s="125" t="s">
        <v>2062</v>
      </c>
      <c r="F90" s="125">
        <v>1.0</v>
      </c>
      <c r="H90" s="125" t="s">
        <v>2048</v>
      </c>
      <c r="I90" s="125" t="s">
        <v>2049</v>
      </c>
      <c r="O90" s="125" t="s">
        <v>74</v>
      </c>
      <c r="P90" s="125" t="s">
        <v>188</v>
      </c>
    </row>
    <row r="91" ht="14.25" customHeight="1">
      <c r="B91" s="125" t="s">
        <v>2063</v>
      </c>
      <c r="C91" s="125" t="s">
        <v>2064</v>
      </c>
      <c r="D91" s="125" t="s">
        <v>262</v>
      </c>
      <c r="F91" s="125">
        <v>0.5</v>
      </c>
      <c r="H91" s="125" t="s">
        <v>2048</v>
      </c>
      <c r="I91" s="125" t="s">
        <v>2049</v>
      </c>
      <c r="O91" s="125" t="s">
        <v>74</v>
      </c>
      <c r="P91" s="125" t="s">
        <v>188</v>
      </c>
    </row>
    <row r="92" ht="14.25" customHeight="1">
      <c r="B92" s="125" t="s">
        <v>2065</v>
      </c>
      <c r="C92" s="125" t="s">
        <v>373</v>
      </c>
      <c r="D92" s="125" t="s">
        <v>262</v>
      </c>
      <c r="F92" s="125">
        <v>0.5</v>
      </c>
      <c r="H92" s="125" t="s">
        <v>2048</v>
      </c>
      <c r="I92" s="125" t="s">
        <v>2049</v>
      </c>
      <c r="O92" s="125" t="s">
        <v>74</v>
      </c>
      <c r="P92" s="125" t="s">
        <v>188</v>
      </c>
    </row>
    <row r="93" ht="14.25" customHeight="1">
      <c r="B93" s="125" t="s">
        <v>2066</v>
      </c>
      <c r="C93" s="125" t="s">
        <v>856</v>
      </c>
      <c r="D93" s="125" t="s">
        <v>2057</v>
      </c>
      <c r="F93" s="125">
        <v>4.0</v>
      </c>
      <c r="H93" s="125" t="s">
        <v>2048</v>
      </c>
      <c r="I93" s="125" t="s">
        <v>2049</v>
      </c>
      <c r="O93" s="125" t="s">
        <v>74</v>
      </c>
      <c r="P93" s="125" t="s">
        <v>188</v>
      </c>
    </row>
    <row r="94" ht="14.25" customHeight="1">
      <c r="B94" s="125" t="s">
        <v>2067</v>
      </c>
      <c r="C94" s="125" t="s">
        <v>2053</v>
      </c>
      <c r="D94" s="125" t="s">
        <v>2068</v>
      </c>
      <c r="F94" s="125">
        <v>1.5</v>
      </c>
      <c r="H94" s="125" t="s">
        <v>2048</v>
      </c>
      <c r="I94" s="125" t="s">
        <v>2049</v>
      </c>
      <c r="O94" s="125" t="s">
        <v>74</v>
      </c>
      <c r="P94" s="125" t="s">
        <v>188</v>
      </c>
    </row>
    <row r="95" ht="14.25" customHeight="1">
      <c r="B95" s="125" t="s">
        <v>1951</v>
      </c>
      <c r="C95" s="125" t="s">
        <v>2069</v>
      </c>
      <c r="D95" s="125" t="s">
        <v>2068</v>
      </c>
      <c r="F95" s="125">
        <v>1.0</v>
      </c>
      <c r="H95" s="125" t="s">
        <v>2048</v>
      </c>
      <c r="I95" s="125" t="s">
        <v>2049</v>
      </c>
      <c r="O95" s="125" t="s">
        <v>74</v>
      </c>
      <c r="P95" s="125" t="s">
        <v>188</v>
      </c>
    </row>
    <row r="96" ht="14.25" customHeight="1">
      <c r="B96" s="125" t="s">
        <v>2070</v>
      </c>
      <c r="C96" s="125" t="s">
        <v>2071</v>
      </c>
      <c r="D96" s="125" t="s">
        <v>2072</v>
      </c>
      <c r="F96" s="125">
        <v>1.0</v>
      </c>
      <c r="H96" s="125" t="s">
        <v>2048</v>
      </c>
      <c r="I96" s="125" t="s">
        <v>2049</v>
      </c>
      <c r="O96" s="125" t="s">
        <v>74</v>
      </c>
      <c r="P96" s="125" t="s">
        <v>188</v>
      </c>
    </row>
    <row r="97" ht="14.25" customHeight="1">
      <c r="B97" s="125" t="s">
        <v>2073</v>
      </c>
      <c r="C97" s="125" t="s">
        <v>2074</v>
      </c>
      <c r="D97" s="125" t="s">
        <v>2075</v>
      </c>
      <c r="F97" s="125">
        <v>1.0</v>
      </c>
      <c r="H97" s="125" t="s">
        <v>2048</v>
      </c>
      <c r="I97" s="125" t="s">
        <v>2049</v>
      </c>
      <c r="O97" s="125" t="s">
        <v>74</v>
      </c>
      <c r="P97" s="125" t="s">
        <v>188</v>
      </c>
    </row>
    <row r="98" ht="14.25" customHeight="1">
      <c r="B98" s="125" t="s">
        <v>2076</v>
      </c>
      <c r="C98" s="125" t="s">
        <v>2077</v>
      </c>
      <c r="D98" s="125" t="s">
        <v>2046</v>
      </c>
      <c r="F98" s="125">
        <v>2.0</v>
      </c>
      <c r="H98" s="125" t="s">
        <v>2048</v>
      </c>
      <c r="I98" s="125" t="s">
        <v>2049</v>
      </c>
      <c r="O98" s="125" t="s">
        <v>74</v>
      </c>
      <c r="P98" s="125" t="s">
        <v>188</v>
      </c>
    </row>
    <row r="99" ht="14.25" customHeight="1">
      <c r="B99" s="125" t="s">
        <v>2078</v>
      </c>
      <c r="C99" s="125" t="s">
        <v>2079</v>
      </c>
      <c r="D99" s="125" t="s">
        <v>366</v>
      </c>
      <c r="F99" s="125">
        <v>0.75</v>
      </c>
      <c r="H99" s="125" t="s">
        <v>2048</v>
      </c>
      <c r="I99" s="125" t="s">
        <v>2049</v>
      </c>
      <c r="O99" s="125" t="s">
        <v>74</v>
      </c>
      <c r="P99" s="125" t="s">
        <v>188</v>
      </c>
    </row>
    <row r="100" ht="14.25" customHeight="1">
      <c r="B100" s="125" t="s">
        <v>2080</v>
      </c>
      <c r="C100" s="125" t="s">
        <v>1361</v>
      </c>
      <c r="D100" s="125" t="s">
        <v>366</v>
      </c>
      <c r="F100" s="125">
        <v>1.0</v>
      </c>
      <c r="H100" s="125" t="s">
        <v>2048</v>
      </c>
      <c r="I100" s="125" t="s">
        <v>2049</v>
      </c>
      <c r="O100" s="125" t="s">
        <v>74</v>
      </c>
      <c r="P100" s="125" t="s">
        <v>188</v>
      </c>
    </row>
    <row r="101" ht="14.25" customHeight="1">
      <c r="B101" s="125" t="s">
        <v>1739</v>
      </c>
      <c r="C101" s="125" t="s">
        <v>2081</v>
      </c>
      <c r="D101" s="125" t="s">
        <v>2082</v>
      </c>
      <c r="F101" s="125">
        <v>1.0</v>
      </c>
      <c r="H101" s="125" t="s">
        <v>2048</v>
      </c>
      <c r="I101" s="125" t="s">
        <v>2049</v>
      </c>
      <c r="O101" s="125" t="s">
        <v>74</v>
      </c>
      <c r="P101" s="125" t="s">
        <v>188</v>
      </c>
    </row>
    <row r="102" ht="14.25" customHeight="1">
      <c r="B102" s="125" t="s">
        <v>2083</v>
      </c>
      <c r="C102" s="125" t="s">
        <v>2084</v>
      </c>
      <c r="D102" s="125" t="s">
        <v>2085</v>
      </c>
      <c r="F102" s="125">
        <v>1.0</v>
      </c>
      <c r="H102" s="125" t="s">
        <v>2048</v>
      </c>
      <c r="I102" s="125" t="s">
        <v>2049</v>
      </c>
      <c r="O102" s="125" t="s">
        <v>74</v>
      </c>
      <c r="P102" s="125" t="s">
        <v>188</v>
      </c>
    </row>
    <row r="103" ht="14.25" customHeight="1">
      <c r="B103" s="125" t="s">
        <v>2086</v>
      </c>
      <c r="C103" s="125" t="s">
        <v>2087</v>
      </c>
      <c r="D103" s="125" t="s">
        <v>2088</v>
      </c>
      <c r="F103" s="125">
        <v>0.5</v>
      </c>
      <c r="H103" s="125" t="s">
        <v>2048</v>
      </c>
      <c r="I103" s="125" t="s">
        <v>2049</v>
      </c>
      <c r="O103" s="125" t="s">
        <v>74</v>
      </c>
      <c r="P103" s="125" t="s">
        <v>188</v>
      </c>
    </row>
    <row r="104" ht="14.25" customHeight="1">
      <c r="B104" s="125" t="s">
        <v>1715</v>
      </c>
      <c r="C104" s="125" t="s">
        <v>2089</v>
      </c>
      <c r="D104" s="125" t="s">
        <v>2090</v>
      </c>
      <c r="F104" s="125">
        <v>1.0</v>
      </c>
      <c r="H104" s="125" t="s">
        <v>2048</v>
      </c>
      <c r="I104" s="125" t="s">
        <v>2049</v>
      </c>
      <c r="O104" s="125" t="s">
        <v>74</v>
      </c>
      <c r="P104" s="125" t="s">
        <v>188</v>
      </c>
    </row>
    <row r="105" ht="14.25" customHeight="1">
      <c r="B105" s="125" t="s">
        <v>2091</v>
      </c>
      <c r="C105" s="125" t="s">
        <v>2026</v>
      </c>
      <c r="D105" s="125" t="s">
        <v>2092</v>
      </c>
      <c r="F105" s="125">
        <v>2.0</v>
      </c>
      <c r="H105" s="125" t="s">
        <v>2048</v>
      </c>
      <c r="I105" s="125" t="s">
        <v>2049</v>
      </c>
      <c r="O105" s="125" t="s">
        <v>74</v>
      </c>
      <c r="P105" s="125" t="s">
        <v>188</v>
      </c>
    </row>
    <row r="106" ht="14.25" customHeight="1">
      <c r="B106" s="125" t="s">
        <v>2093</v>
      </c>
      <c r="C106" s="125" t="s">
        <v>2094</v>
      </c>
      <c r="D106" s="125" t="s">
        <v>895</v>
      </c>
      <c r="F106" s="125">
        <v>0.5</v>
      </c>
      <c r="H106" s="125" t="s">
        <v>2048</v>
      </c>
      <c r="I106" s="125" t="s">
        <v>2049</v>
      </c>
      <c r="O106" s="125" t="s">
        <v>74</v>
      </c>
      <c r="P106" s="125" t="s">
        <v>188</v>
      </c>
    </row>
    <row r="107" ht="14.25" customHeight="1">
      <c r="B107" s="125" t="s">
        <v>2095</v>
      </c>
      <c r="C107" s="125" t="s">
        <v>2096</v>
      </c>
      <c r="D107" s="125" t="s">
        <v>2097</v>
      </c>
      <c r="F107" s="125">
        <v>0.5</v>
      </c>
      <c r="H107" s="125" t="s">
        <v>2048</v>
      </c>
      <c r="I107" s="125" t="s">
        <v>2049</v>
      </c>
      <c r="O107" s="125" t="s">
        <v>74</v>
      </c>
      <c r="P107" s="125" t="s">
        <v>188</v>
      </c>
    </row>
    <row r="108" ht="14.25" customHeight="1">
      <c r="B108" s="125" t="s">
        <v>1576</v>
      </c>
      <c r="C108" s="125" t="s">
        <v>2098</v>
      </c>
      <c r="D108" s="125" t="s">
        <v>2097</v>
      </c>
      <c r="F108" s="125">
        <v>0.5</v>
      </c>
      <c r="H108" s="125" t="s">
        <v>2048</v>
      </c>
      <c r="I108" s="125" t="s">
        <v>2049</v>
      </c>
      <c r="O108" s="125" t="s">
        <v>74</v>
      </c>
      <c r="P108" s="125" t="s">
        <v>188</v>
      </c>
    </row>
    <row r="109" ht="14.25" customHeight="1">
      <c r="B109" s="125" t="s">
        <v>2099</v>
      </c>
      <c r="C109" s="125" t="s">
        <v>2100</v>
      </c>
      <c r="D109" s="125" t="s">
        <v>2101</v>
      </c>
      <c r="F109" s="125">
        <v>3.0</v>
      </c>
      <c r="H109" s="125" t="s">
        <v>2048</v>
      </c>
      <c r="I109" s="125" t="s">
        <v>2049</v>
      </c>
      <c r="O109" s="125" t="s">
        <v>74</v>
      </c>
      <c r="P109" s="125" t="s">
        <v>188</v>
      </c>
    </row>
    <row r="110" ht="14.25" customHeight="1">
      <c r="B110" s="125" t="s">
        <v>2102</v>
      </c>
      <c r="C110" s="125" t="s">
        <v>2103</v>
      </c>
      <c r="D110" s="125" t="s">
        <v>2104</v>
      </c>
      <c r="H110" s="125" t="s">
        <v>28</v>
      </c>
      <c r="K110" s="125" t="s">
        <v>53</v>
      </c>
      <c r="O110" s="125" t="s">
        <v>54</v>
      </c>
      <c r="P110" s="125" t="s">
        <v>189</v>
      </c>
    </row>
    <row r="111" ht="14.25" customHeight="1">
      <c r="B111" s="125" t="s">
        <v>2105</v>
      </c>
      <c r="C111" s="125" t="s">
        <v>2103</v>
      </c>
      <c r="D111" s="125" t="s">
        <v>2104</v>
      </c>
      <c r="H111" s="125" t="s">
        <v>28</v>
      </c>
      <c r="K111" s="125" t="s">
        <v>53</v>
      </c>
      <c r="O111" s="125" t="s">
        <v>54</v>
      </c>
      <c r="P111" s="125" t="s">
        <v>189</v>
      </c>
    </row>
    <row r="112" ht="14.25" customHeight="1">
      <c r="B112" s="125" t="s">
        <v>2106</v>
      </c>
      <c r="C112" s="125" t="s">
        <v>1728</v>
      </c>
      <c r="D112" s="125" t="s">
        <v>2107</v>
      </c>
      <c r="H112" s="125" t="s">
        <v>28</v>
      </c>
      <c r="K112" s="125" t="s">
        <v>53</v>
      </c>
      <c r="O112" s="125" t="s">
        <v>54</v>
      </c>
      <c r="P112" s="125" t="s">
        <v>189</v>
      </c>
    </row>
    <row r="113" ht="14.25" customHeight="1">
      <c r="B113" s="125" t="s">
        <v>1168</v>
      </c>
      <c r="C113" s="125" t="s">
        <v>2108</v>
      </c>
      <c r="D113" s="125" t="s">
        <v>2107</v>
      </c>
      <c r="H113" s="125" t="s">
        <v>28</v>
      </c>
      <c r="K113" s="125" t="s">
        <v>172</v>
      </c>
      <c r="O113" s="125" t="s">
        <v>54</v>
      </c>
      <c r="P113" s="125" t="s">
        <v>189</v>
      </c>
    </row>
    <row r="114" ht="14.25" customHeight="1">
      <c r="B114" s="125" t="s">
        <v>2109</v>
      </c>
      <c r="C114" s="125" t="s">
        <v>2110</v>
      </c>
      <c r="D114" s="125" t="s">
        <v>465</v>
      </c>
      <c r="H114" s="125" t="s">
        <v>28</v>
      </c>
      <c r="K114" s="125" t="s">
        <v>172</v>
      </c>
      <c r="O114" s="125" t="s">
        <v>54</v>
      </c>
      <c r="P114" s="125" t="s">
        <v>189</v>
      </c>
    </row>
    <row r="115" ht="14.25" customHeight="1">
      <c r="B115" s="125" t="s">
        <v>165</v>
      </c>
      <c r="C115" s="125" t="s">
        <v>956</v>
      </c>
      <c r="D115" s="125" t="s">
        <v>2111</v>
      </c>
      <c r="F115" s="125">
        <v>1.75</v>
      </c>
      <c r="H115" s="125" t="s">
        <v>28</v>
      </c>
      <c r="I115" s="125" t="s">
        <v>179</v>
      </c>
      <c r="O115" s="125" t="s">
        <v>54</v>
      </c>
      <c r="P115" s="125" t="s">
        <v>188</v>
      </c>
    </row>
    <row r="116" ht="14.25" customHeight="1">
      <c r="B116" s="125" t="s">
        <v>927</v>
      </c>
      <c r="C116" s="125" t="s">
        <v>2112</v>
      </c>
      <c r="D116" s="125" t="s">
        <v>2113</v>
      </c>
      <c r="F116" s="125">
        <v>1.0</v>
      </c>
      <c r="H116" s="125" t="s">
        <v>28</v>
      </c>
      <c r="I116" s="125" t="s">
        <v>924</v>
      </c>
      <c r="O116" s="125" t="s">
        <v>54</v>
      </c>
      <c r="P116" s="125" t="s">
        <v>188</v>
      </c>
    </row>
    <row r="117" ht="14.25" customHeight="1">
      <c r="B117" s="125" t="s">
        <v>2114</v>
      </c>
      <c r="C117" s="125" t="s">
        <v>2115</v>
      </c>
      <c r="D117" s="125" t="s">
        <v>800</v>
      </c>
      <c r="E117" s="125" t="s">
        <v>86</v>
      </c>
      <c r="F117" s="125">
        <v>1.0</v>
      </c>
      <c r="H117" s="125" t="s">
        <v>28</v>
      </c>
      <c r="I117" s="125" t="s">
        <v>924</v>
      </c>
      <c r="O117" s="125" t="s">
        <v>54</v>
      </c>
      <c r="P117" s="125" t="s">
        <v>188</v>
      </c>
    </row>
    <row r="118" ht="14.25" customHeight="1">
      <c r="B118" s="125" t="s">
        <v>2116</v>
      </c>
      <c r="C118" s="125" t="s">
        <v>324</v>
      </c>
      <c r="D118" s="125" t="s">
        <v>1762</v>
      </c>
      <c r="F118" s="125">
        <v>3.5</v>
      </c>
      <c r="H118" s="125" t="s">
        <v>28</v>
      </c>
      <c r="I118" s="125" t="s">
        <v>924</v>
      </c>
      <c r="O118" s="125" t="s">
        <v>54</v>
      </c>
      <c r="P118" s="125" t="s">
        <v>188</v>
      </c>
    </row>
    <row r="119" ht="14.25" customHeight="1">
      <c r="B119" s="125" t="s">
        <v>2117</v>
      </c>
      <c r="C119" s="125" t="s">
        <v>2118</v>
      </c>
      <c r="D119" s="125" t="s">
        <v>1755</v>
      </c>
      <c r="F119" s="125">
        <v>4.0</v>
      </c>
      <c r="H119" s="125" t="s">
        <v>28</v>
      </c>
      <c r="I119" s="125" t="s">
        <v>179</v>
      </c>
      <c r="O119" s="125" t="s">
        <v>54</v>
      </c>
      <c r="P119" s="125" t="s">
        <v>188</v>
      </c>
    </row>
    <row r="120" ht="14.25" customHeight="1">
      <c r="B120" s="125" t="s">
        <v>2119</v>
      </c>
      <c r="C120" s="125" t="s">
        <v>2118</v>
      </c>
      <c r="D120" s="125" t="s">
        <v>1755</v>
      </c>
      <c r="F120" s="125">
        <v>1.0</v>
      </c>
      <c r="H120" s="125" t="s">
        <v>28</v>
      </c>
      <c r="I120" s="125" t="s">
        <v>2120</v>
      </c>
      <c r="O120" s="125" t="s">
        <v>54</v>
      </c>
      <c r="P120" s="125" t="s">
        <v>188</v>
      </c>
    </row>
    <row r="121" ht="14.25" customHeight="1">
      <c r="B121" s="125" t="s">
        <v>1299</v>
      </c>
      <c r="C121" s="125" t="s">
        <v>2118</v>
      </c>
      <c r="D121" s="125" t="s">
        <v>1755</v>
      </c>
      <c r="F121" s="125">
        <v>3.8</v>
      </c>
      <c r="H121" s="125" t="s">
        <v>28</v>
      </c>
      <c r="I121" s="125" t="s">
        <v>179</v>
      </c>
      <c r="O121" s="125" t="s">
        <v>54</v>
      </c>
      <c r="P121" s="125" t="s">
        <v>188</v>
      </c>
    </row>
    <row r="122" ht="14.25" customHeight="1">
      <c r="B122" s="125" t="s">
        <v>737</v>
      </c>
      <c r="C122" s="125" t="s">
        <v>146</v>
      </c>
      <c r="D122" s="125" t="s">
        <v>147</v>
      </c>
      <c r="F122" s="125">
        <v>2.0</v>
      </c>
      <c r="H122" s="125" t="s">
        <v>28</v>
      </c>
      <c r="I122" s="125" t="s">
        <v>179</v>
      </c>
      <c r="O122" s="125" t="s">
        <v>54</v>
      </c>
      <c r="P122" s="125" t="s">
        <v>188</v>
      </c>
    </row>
    <row r="123" ht="14.25" customHeight="1">
      <c r="B123" s="125" t="s">
        <v>2121</v>
      </c>
      <c r="C123" s="125" t="s">
        <v>150</v>
      </c>
      <c r="D123" s="125" t="s">
        <v>151</v>
      </c>
      <c r="F123" s="125">
        <v>1.6</v>
      </c>
      <c r="H123" s="125" t="s">
        <v>28</v>
      </c>
      <c r="I123" s="125" t="s">
        <v>179</v>
      </c>
      <c r="O123" s="125" t="s">
        <v>54</v>
      </c>
      <c r="P123" s="125" t="s">
        <v>188</v>
      </c>
    </row>
    <row r="124" ht="14.25" customHeight="1">
      <c r="B124" s="125" t="s">
        <v>594</v>
      </c>
      <c r="C124" s="125" t="s">
        <v>150</v>
      </c>
      <c r="D124" s="125" t="s">
        <v>151</v>
      </c>
      <c r="E124" s="125" t="s">
        <v>86</v>
      </c>
      <c r="F124" s="125">
        <v>1.5</v>
      </c>
      <c r="H124" s="125" t="s">
        <v>28</v>
      </c>
      <c r="I124" s="125" t="s">
        <v>179</v>
      </c>
      <c r="O124" s="125" t="s">
        <v>54</v>
      </c>
      <c r="P124" s="125" t="s">
        <v>188</v>
      </c>
    </row>
    <row r="125" ht="14.25" customHeight="1">
      <c r="B125" s="125" t="s">
        <v>444</v>
      </c>
      <c r="C125" s="125" t="s">
        <v>2122</v>
      </c>
      <c r="D125" s="125" t="s">
        <v>81</v>
      </c>
      <c r="F125" s="125">
        <v>3.0</v>
      </c>
      <c r="H125" s="125" t="s">
        <v>28</v>
      </c>
      <c r="I125" s="125" t="s">
        <v>179</v>
      </c>
      <c r="O125" s="125" t="s">
        <v>54</v>
      </c>
      <c r="P125" s="125" t="s">
        <v>188</v>
      </c>
    </row>
    <row r="126" ht="14.25" customHeight="1">
      <c r="B126" s="125" t="s">
        <v>2123</v>
      </c>
      <c r="C126" s="125" t="s">
        <v>2124</v>
      </c>
      <c r="D126" s="125" t="s">
        <v>2125</v>
      </c>
      <c r="F126" s="125">
        <v>3.0</v>
      </c>
      <c r="H126" s="125" t="s">
        <v>28</v>
      </c>
      <c r="I126" s="125" t="s">
        <v>556</v>
      </c>
      <c r="O126" s="125" t="s">
        <v>54</v>
      </c>
      <c r="P126" s="125" t="s">
        <v>188</v>
      </c>
    </row>
    <row r="127" ht="14.25" customHeight="1">
      <c r="B127" s="125" t="s">
        <v>581</v>
      </c>
      <c r="C127" s="125" t="s">
        <v>1776</v>
      </c>
      <c r="D127" s="125" t="s">
        <v>1777</v>
      </c>
      <c r="F127" s="125">
        <v>1.0</v>
      </c>
      <c r="H127" s="125" t="s">
        <v>28</v>
      </c>
      <c r="I127" s="125" t="s">
        <v>179</v>
      </c>
      <c r="O127" s="125" t="s">
        <v>54</v>
      </c>
      <c r="P127" s="125" t="s">
        <v>188</v>
      </c>
    </row>
    <row r="128" ht="14.25" customHeight="1">
      <c r="B128" s="125" t="s">
        <v>1775</v>
      </c>
      <c r="C128" s="125" t="s">
        <v>2126</v>
      </c>
      <c r="D128" s="125" t="s">
        <v>1777</v>
      </c>
      <c r="F128" s="125">
        <v>1.0</v>
      </c>
      <c r="H128" s="125" t="s">
        <v>28</v>
      </c>
      <c r="I128" s="125" t="s">
        <v>179</v>
      </c>
      <c r="O128" s="125" t="s">
        <v>54</v>
      </c>
      <c r="P128" s="125" t="s">
        <v>188</v>
      </c>
    </row>
    <row r="129" ht="14.25" customHeight="1">
      <c r="B129" s="125" t="s">
        <v>455</v>
      </c>
      <c r="C129" s="125" t="s">
        <v>2127</v>
      </c>
      <c r="D129" s="125" t="s">
        <v>2128</v>
      </c>
      <c r="F129" s="125">
        <v>3.0</v>
      </c>
      <c r="H129" s="125" t="s">
        <v>28</v>
      </c>
      <c r="I129" s="125" t="s">
        <v>179</v>
      </c>
      <c r="O129" s="125" t="s">
        <v>54</v>
      </c>
      <c r="P129" s="125" t="s">
        <v>188</v>
      </c>
    </row>
    <row r="130" ht="14.25" customHeight="1">
      <c r="B130" s="125" t="s">
        <v>2129</v>
      </c>
      <c r="C130" s="125" t="s">
        <v>146</v>
      </c>
      <c r="D130" s="125" t="s">
        <v>2130</v>
      </c>
      <c r="F130" s="125">
        <v>1.0</v>
      </c>
      <c r="H130" s="125" t="s">
        <v>28</v>
      </c>
      <c r="I130" s="125" t="s">
        <v>179</v>
      </c>
      <c r="O130" s="125" t="s">
        <v>54</v>
      </c>
      <c r="P130" s="125" t="s">
        <v>188</v>
      </c>
    </row>
    <row r="131" ht="14.25" customHeight="1">
      <c r="B131" s="125" t="s">
        <v>2131</v>
      </c>
      <c r="C131" s="125" t="s">
        <v>146</v>
      </c>
      <c r="D131" s="125" t="s">
        <v>2130</v>
      </c>
      <c r="F131" s="125">
        <v>2.6</v>
      </c>
      <c r="H131" s="125" t="s">
        <v>28</v>
      </c>
      <c r="I131" s="125" t="s">
        <v>179</v>
      </c>
      <c r="O131" s="125" t="s">
        <v>54</v>
      </c>
      <c r="P131" s="125" t="s">
        <v>188</v>
      </c>
    </row>
    <row r="132" ht="14.25" customHeight="1">
      <c r="B132" s="125" t="s">
        <v>407</v>
      </c>
      <c r="C132" s="125" t="s">
        <v>2124</v>
      </c>
      <c r="D132" s="125" t="s">
        <v>336</v>
      </c>
      <c r="E132" s="125" t="s">
        <v>86</v>
      </c>
      <c r="F132" s="125">
        <v>4.0</v>
      </c>
      <c r="H132" s="125" t="s">
        <v>28</v>
      </c>
      <c r="I132" s="125" t="s">
        <v>556</v>
      </c>
      <c r="O132" s="125" t="s">
        <v>54</v>
      </c>
      <c r="P132" s="125" t="s">
        <v>188</v>
      </c>
    </row>
    <row r="133" ht="14.25" customHeight="1">
      <c r="B133" s="125" t="s">
        <v>2132</v>
      </c>
      <c r="C133" s="125" t="s">
        <v>2124</v>
      </c>
      <c r="D133" s="125" t="s">
        <v>336</v>
      </c>
      <c r="F133" s="125">
        <v>5.0</v>
      </c>
      <c r="H133" s="125" t="s">
        <v>28</v>
      </c>
      <c r="I133" s="125" t="s">
        <v>179</v>
      </c>
      <c r="O133" s="125" t="s">
        <v>54</v>
      </c>
      <c r="P133" s="125" t="s">
        <v>188</v>
      </c>
    </row>
    <row r="134" ht="14.25" customHeight="1">
      <c r="B134" s="125" t="s">
        <v>2133</v>
      </c>
      <c r="C134" s="125" t="s">
        <v>2134</v>
      </c>
      <c r="D134" s="125" t="s">
        <v>2135</v>
      </c>
      <c r="F134" s="125">
        <v>2.0</v>
      </c>
      <c r="H134" s="125" t="s">
        <v>28</v>
      </c>
      <c r="I134" s="125" t="s">
        <v>179</v>
      </c>
      <c r="O134" s="125" t="s">
        <v>54</v>
      </c>
      <c r="P134" s="125" t="s">
        <v>188</v>
      </c>
    </row>
    <row r="135" ht="14.25" customHeight="1">
      <c r="B135" s="125" t="s">
        <v>2136</v>
      </c>
      <c r="C135" s="125" t="s">
        <v>2137</v>
      </c>
      <c r="D135" s="125" t="s">
        <v>2135</v>
      </c>
      <c r="F135" s="125">
        <v>1.0</v>
      </c>
      <c r="H135" s="125" t="s">
        <v>28</v>
      </c>
      <c r="I135" s="125" t="s">
        <v>179</v>
      </c>
      <c r="O135" s="125" t="s">
        <v>54</v>
      </c>
      <c r="P135" s="125" t="s">
        <v>188</v>
      </c>
    </row>
    <row r="136" ht="14.25" customHeight="1">
      <c r="B136" s="125" t="s">
        <v>1227</v>
      </c>
      <c r="C136" s="125" t="s">
        <v>2137</v>
      </c>
      <c r="D136" s="125" t="s">
        <v>2135</v>
      </c>
      <c r="F136" s="125">
        <v>2.0</v>
      </c>
      <c r="H136" s="125" t="s">
        <v>28</v>
      </c>
      <c r="I136" s="125" t="s">
        <v>924</v>
      </c>
      <c r="O136" s="125" t="s">
        <v>54</v>
      </c>
      <c r="P136" s="125" t="s">
        <v>188</v>
      </c>
    </row>
    <row r="137" ht="14.25" customHeight="1">
      <c r="B137" s="125" t="s">
        <v>2138</v>
      </c>
      <c r="C137" s="125" t="s">
        <v>2139</v>
      </c>
      <c r="D137" s="125" t="s">
        <v>1786</v>
      </c>
      <c r="F137" s="125">
        <v>1.0</v>
      </c>
      <c r="H137" s="125" t="s">
        <v>28</v>
      </c>
      <c r="I137" s="125" t="s">
        <v>179</v>
      </c>
      <c r="O137" s="125" t="s">
        <v>54</v>
      </c>
      <c r="P137" s="125" t="s">
        <v>188</v>
      </c>
    </row>
    <row r="138" ht="14.25" customHeight="1">
      <c r="B138" s="125" t="s">
        <v>2140</v>
      </c>
      <c r="C138" s="125" t="s">
        <v>770</v>
      </c>
      <c r="D138" s="125" t="s">
        <v>2141</v>
      </c>
      <c r="F138" s="125">
        <v>2.5</v>
      </c>
      <c r="H138" s="125" t="s">
        <v>28</v>
      </c>
      <c r="I138" s="125" t="s">
        <v>179</v>
      </c>
      <c r="O138" s="125" t="s">
        <v>54</v>
      </c>
      <c r="P138" s="125" t="s">
        <v>188</v>
      </c>
    </row>
    <row r="139" ht="14.25" customHeight="1">
      <c r="B139" s="125" t="s">
        <v>937</v>
      </c>
      <c r="C139" s="125" t="s">
        <v>2142</v>
      </c>
      <c r="D139" s="125" t="s">
        <v>2141</v>
      </c>
      <c r="E139" s="125" t="s">
        <v>86</v>
      </c>
      <c r="F139" s="125">
        <v>1.5</v>
      </c>
      <c r="H139" s="125" t="s">
        <v>28</v>
      </c>
      <c r="I139" s="125" t="s">
        <v>179</v>
      </c>
      <c r="O139" s="125" t="s">
        <v>54</v>
      </c>
      <c r="P139" s="125" t="s">
        <v>188</v>
      </c>
    </row>
    <row r="140" ht="14.25" customHeight="1">
      <c r="B140" s="125" t="s">
        <v>1212</v>
      </c>
      <c r="C140" s="125" t="s">
        <v>2143</v>
      </c>
      <c r="D140" s="125" t="s">
        <v>2144</v>
      </c>
      <c r="F140" s="125">
        <v>7.0</v>
      </c>
      <c r="H140" s="125" t="s">
        <v>28</v>
      </c>
      <c r="I140" s="125" t="s">
        <v>556</v>
      </c>
      <c r="O140" s="125" t="s">
        <v>54</v>
      </c>
      <c r="P140" s="125" t="s">
        <v>188</v>
      </c>
    </row>
    <row r="141" ht="14.25" customHeight="1">
      <c r="B141" s="125" t="s">
        <v>2145</v>
      </c>
      <c r="C141" s="125" t="s">
        <v>1728</v>
      </c>
      <c r="D141" s="125" t="s">
        <v>2107</v>
      </c>
      <c r="F141" s="125">
        <v>7.0</v>
      </c>
      <c r="H141" s="125" t="s">
        <v>28</v>
      </c>
      <c r="I141" s="125" t="s">
        <v>179</v>
      </c>
      <c r="O141" s="125" t="s">
        <v>54</v>
      </c>
      <c r="P141" s="125" t="s">
        <v>188</v>
      </c>
    </row>
    <row r="142" ht="14.25" customHeight="1">
      <c r="B142" s="125" t="s">
        <v>2146</v>
      </c>
      <c r="C142" s="125" t="s">
        <v>866</v>
      </c>
      <c r="D142" s="125" t="s">
        <v>2128</v>
      </c>
      <c r="F142" s="125">
        <v>5.0</v>
      </c>
      <c r="H142" s="125" t="s">
        <v>28</v>
      </c>
      <c r="K142" s="125" t="s">
        <v>155</v>
      </c>
      <c r="O142" s="125" t="s">
        <v>54</v>
      </c>
      <c r="P142" s="125" t="s">
        <v>189</v>
      </c>
    </row>
    <row r="143" ht="14.25" customHeight="1">
      <c r="B143" s="125" t="s">
        <v>2147</v>
      </c>
      <c r="C143" s="125" t="s">
        <v>2148</v>
      </c>
      <c r="D143" s="125" t="s">
        <v>1784</v>
      </c>
      <c r="F143" s="125">
        <v>3.0</v>
      </c>
      <c r="H143" s="125" t="s">
        <v>28</v>
      </c>
      <c r="I143" s="125" t="s">
        <v>179</v>
      </c>
      <c r="O143" s="125" t="s">
        <v>54</v>
      </c>
      <c r="P143" s="125" t="s">
        <v>188</v>
      </c>
    </row>
    <row r="144" ht="14.25" customHeight="1">
      <c r="B144" s="125" t="s">
        <v>393</v>
      </c>
      <c r="C144" s="125" t="s">
        <v>2149</v>
      </c>
      <c r="D144" s="125" t="s">
        <v>820</v>
      </c>
      <c r="F144" s="125">
        <v>3.0</v>
      </c>
      <c r="H144" s="125" t="s">
        <v>28</v>
      </c>
      <c r="I144" s="125" t="s">
        <v>179</v>
      </c>
      <c r="O144" s="125" t="s">
        <v>54</v>
      </c>
      <c r="P144" s="125" t="s">
        <v>188</v>
      </c>
    </row>
    <row r="145" ht="14.25" customHeight="1">
      <c r="B145" s="125" t="s">
        <v>501</v>
      </c>
      <c r="C145" s="125" t="s">
        <v>2150</v>
      </c>
      <c r="D145" s="125" t="s">
        <v>820</v>
      </c>
      <c r="F145" s="125">
        <v>3.7</v>
      </c>
      <c r="H145" s="125" t="s">
        <v>28</v>
      </c>
      <c r="I145" s="125" t="s">
        <v>179</v>
      </c>
      <c r="O145" s="125" t="s">
        <v>54</v>
      </c>
      <c r="P145" s="125" t="s">
        <v>188</v>
      </c>
    </row>
    <row r="146" ht="14.25" customHeight="1">
      <c r="B146" s="125" t="s">
        <v>1079</v>
      </c>
      <c r="C146" s="125" t="s">
        <v>349</v>
      </c>
      <c r="D146" s="125" t="s">
        <v>350</v>
      </c>
      <c r="F146" s="125">
        <v>4.3</v>
      </c>
      <c r="H146" s="125" t="s">
        <v>28</v>
      </c>
      <c r="I146" s="125" t="s">
        <v>556</v>
      </c>
      <c r="O146" s="125" t="s">
        <v>54</v>
      </c>
      <c r="P146" s="125" t="s">
        <v>188</v>
      </c>
    </row>
    <row r="147" ht="14.25" customHeight="1">
      <c r="B147" s="125" t="s">
        <v>2151</v>
      </c>
      <c r="C147" s="125" t="s">
        <v>2152</v>
      </c>
      <c r="D147" s="125" t="s">
        <v>523</v>
      </c>
      <c r="F147" s="125">
        <v>8.0</v>
      </c>
      <c r="H147" s="125" t="s">
        <v>28</v>
      </c>
      <c r="I147" s="125" t="s">
        <v>179</v>
      </c>
      <c r="O147" s="125" t="s">
        <v>54</v>
      </c>
      <c r="P147" s="125" t="s">
        <v>188</v>
      </c>
    </row>
    <row r="148" ht="14.25" customHeight="1">
      <c r="B148" s="125" t="s">
        <v>1217</v>
      </c>
      <c r="C148" s="125" t="s">
        <v>2153</v>
      </c>
      <c r="D148" s="125" t="s">
        <v>596</v>
      </c>
      <c r="F148" s="125">
        <v>5.0</v>
      </c>
      <c r="H148" s="125" t="s">
        <v>28</v>
      </c>
      <c r="K148" s="125" t="s">
        <v>172</v>
      </c>
      <c r="O148" s="125" t="s">
        <v>54</v>
      </c>
      <c r="P148" s="125" t="s">
        <v>189</v>
      </c>
    </row>
    <row r="149" ht="14.25" customHeight="1">
      <c r="B149" s="125" t="s">
        <v>420</v>
      </c>
      <c r="C149" s="125" t="s">
        <v>2154</v>
      </c>
      <c r="D149" s="125" t="s">
        <v>2155</v>
      </c>
      <c r="F149" s="125">
        <v>4.0</v>
      </c>
      <c r="H149" s="125" t="s">
        <v>28</v>
      </c>
      <c r="I149" s="125" t="s">
        <v>179</v>
      </c>
      <c r="O149" s="125" t="s">
        <v>54</v>
      </c>
      <c r="P149" s="125" t="s">
        <v>188</v>
      </c>
    </row>
    <row r="150" ht="14.25" customHeight="1">
      <c r="B150" s="125" t="s">
        <v>2156</v>
      </c>
      <c r="C150" s="125" t="s">
        <v>2157</v>
      </c>
      <c r="D150" s="125" t="s">
        <v>2158</v>
      </c>
      <c r="F150" s="125">
        <v>3.0</v>
      </c>
      <c r="H150" s="125" t="s">
        <v>28</v>
      </c>
      <c r="K150" s="125" t="s">
        <v>172</v>
      </c>
      <c r="O150" s="125" t="s">
        <v>54</v>
      </c>
      <c r="P150" s="125" t="s">
        <v>189</v>
      </c>
    </row>
    <row r="151" ht="14.25" customHeight="1">
      <c r="B151" s="125" t="s">
        <v>2159</v>
      </c>
      <c r="C151" s="125" t="s">
        <v>2160</v>
      </c>
      <c r="D151" s="125" t="s">
        <v>2161</v>
      </c>
      <c r="F151" s="125">
        <v>3.0</v>
      </c>
      <c r="H151" s="125" t="s">
        <v>28</v>
      </c>
      <c r="I151" s="125" t="s">
        <v>556</v>
      </c>
      <c r="O151" s="125" t="s">
        <v>54</v>
      </c>
      <c r="P151" s="125" t="s">
        <v>188</v>
      </c>
    </row>
    <row r="152" ht="14.25" customHeight="1">
      <c r="B152" s="125" t="s">
        <v>2162</v>
      </c>
      <c r="C152" s="125" t="s">
        <v>2163</v>
      </c>
      <c r="D152" s="125" t="s">
        <v>2164</v>
      </c>
      <c r="F152" s="125">
        <v>4.0</v>
      </c>
      <c r="H152" s="125" t="s">
        <v>28</v>
      </c>
      <c r="I152" s="125" t="s">
        <v>179</v>
      </c>
      <c r="O152" s="125" t="s">
        <v>54</v>
      </c>
      <c r="P152" s="125" t="s">
        <v>188</v>
      </c>
    </row>
    <row r="153" ht="14.25" customHeight="1">
      <c r="B153" s="125" t="s">
        <v>670</v>
      </c>
      <c r="C153" s="125" t="s">
        <v>2165</v>
      </c>
      <c r="D153" s="125" t="s">
        <v>2166</v>
      </c>
      <c r="F153" s="125">
        <v>3.0</v>
      </c>
      <c r="H153" s="125" t="s">
        <v>28</v>
      </c>
      <c r="K153" s="125" t="s">
        <v>172</v>
      </c>
      <c r="O153" s="125" t="s">
        <v>54</v>
      </c>
      <c r="P153" s="125" t="s">
        <v>189</v>
      </c>
    </row>
    <row r="154" ht="14.25" customHeight="1">
      <c r="B154" s="125" t="s">
        <v>2167</v>
      </c>
      <c r="C154" s="125" t="s">
        <v>2168</v>
      </c>
      <c r="D154" s="125" t="s">
        <v>2169</v>
      </c>
      <c r="F154" s="125">
        <v>3.0</v>
      </c>
      <c r="H154" s="125" t="s">
        <v>28</v>
      </c>
      <c r="K154" s="125" t="s">
        <v>172</v>
      </c>
      <c r="O154" s="125" t="s">
        <v>54</v>
      </c>
      <c r="P154" s="125" t="s">
        <v>189</v>
      </c>
    </row>
    <row r="155" ht="14.25" customHeight="1">
      <c r="B155" s="125" t="s">
        <v>2170</v>
      </c>
      <c r="C155" s="125" t="s">
        <v>219</v>
      </c>
      <c r="D155" s="125" t="s">
        <v>2171</v>
      </c>
      <c r="F155" s="125">
        <v>3.0</v>
      </c>
      <c r="H155" s="125" t="s">
        <v>28</v>
      </c>
      <c r="I155" s="125" t="s">
        <v>924</v>
      </c>
      <c r="O155" s="125" t="s">
        <v>54</v>
      </c>
      <c r="P155" s="125" t="s">
        <v>188</v>
      </c>
    </row>
    <row r="156" ht="14.25" customHeight="1">
      <c r="B156" s="125" t="s">
        <v>2172</v>
      </c>
      <c r="C156" s="125" t="s">
        <v>2173</v>
      </c>
      <c r="D156" s="125" t="s">
        <v>353</v>
      </c>
      <c r="F156" s="125">
        <v>3.0</v>
      </c>
      <c r="H156" s="125" t="s">
        <v>28</v>
      </c>
      <c r="K156" s="125" t="s">
        <v>172</v>
      </c>
      <c r="O156" s="125" t="s">
        <v>74</v>
      </c>
      <c r="P156" s="125" t="s">
        <v>189</v>
      </c>
    </row>
    <row r="157" ht="14.25" customHeight="1">
      <c r="B157" s="125" t="s">
        <v>284</v>
      </c>
      <c r="C157" s="125" t="s">
        <v>2174</v>
      </c>
      <c r="D157" s="125" t="s">
        <v>1792</v>
      </c>
      <c r="F157" s="125">
        <v>4.0</v>
      </c>
      <c r="H157" s="125" t="s">
        <v>28</v>
      </c>
      <c r="I157" s="125" t="s">
        <v>179</v>
      </c>
      <c r="O157" s="125" t="s">
        <v>54</v>
      </c>
      <c r="P157" s="125" t="s">
        <v>188</v>
      </c>
    </row>
    <row r="158" ht="14.25" customHeight="1">
      <c r="B158" s="125" t="s">
        <v>2175</v>
      </c>
      <c r="C158" s="125" t="s">
        <v>2176</v>
      </c>
      <c r="D158" s="125" t="s">
        <v>140</v>
      </c>
      <c r="F158" s="125">
        <v>7.0</v>
      </c>
      <c r="H158" s="125" t="s">
        <v>28</v>
      </c>
      <c r="K158" s="125" t="s">
        <v>53</v>
      </c>
      <c r="O158" s="125" t="s">
        <v>74</v>
      </c>
      <c r="P158" s="125" t="s">
        <v>189</v>
      </c>
    </row>
    <row r="159" ht="14.25" customHeight="1">
      <c r="B159" s="125" t="s">
        <v>527</v>
      </c>
      <c r="C159" s="125" t="s">
        <v>2177</v>
      </c>
      <c r="D159" s="125" t="s">
        <v>438</v>
      </c>
      <c r="F159" s="125">
        <v>3.5</v>
      </c>
      <c r="H159" s="125" t="s">
        <v>28</v>
      </c>
      <c r="I159" s="125" t="s">
        <v>179</v>
      </c>
      <c r="O159" s="125" t="s">
        <v>54</v>
      </c>
      <c r="P159" s="125" t="s">
        <v>188</v>
      </c>
    </row>
    <row r="160" ht="14.25" customHeight="1">
      <c r="B160" s="125" t="s">
        <v>2178</v>
      </c>
      <c r="C160" s="125" t="s">
        <v>2179</v>
      </c>
      <c r="D160" s="125" t="s">
        <v>2180</v>
      </c>
      <c r="F160" s="125">
        <v>3.0</v>
      </c>
      <c r="H160" s="125" t="s">
        <v>28</v>
      </c>
      <c r="I160" s="125" t="s">
        <v>179</v>
      </c>
      <c r="O160" s="125" t="s">
        <v>74</v>
      </c>
      <c r="P160" s="125" t="s">
        <v>188</v>
      </c>
    </row>
    <row r="161" ht="14.25" customHeight="1">
      <c r="B161" s="125" t="s">
        <v>618</v>
      </c>
      <c r="C161" s="125" t="s">
        <v>1406</v>
      </c>
      <c r="D161" s="125" t="s">
        <v>2181</v>
      </c>
      <c r="F161" s="125">
        <v>3.0</v>
      </c>
      <c r="H161" s="125" t="s">
        <v>28</v>
      </c>
      <c r="I161" s="125" t="s">
        <v>179</v>
      </c>
      <c r="O161" s="125" t="s">
        <v>54</v>
      </c>
      <c r="P161" s="125" t="s">
        <v>188</v>
      </c>
    </row>
    <row r="162" ht="14.25" customHeight="1">
      <c r="B162" s="125" t="s">
        <v>1943</v>
      </c>
      <c r="C162" s="125" t="s">
        <v>1498</v>
      </c>
      <c r="D162" s="125" t="s">
        <v>1499</v>
      </c>
      <c r="F162" s="125">
        <v>3.5</v>
      </c>
      <c r="H162" s="125" t="s">
        <v>28</v>
      </c>
      <c r="I162" s="125" t="s">
        <v>179</v>
      </c>
      <c r="O162" s="125" t="s">
        <v>54</v>
      </c>
      <c r="P162" s="125" t="s">
        <v>188</v>
      </c>
    </row>
    <row r="163" ht="14.25" customHeight="1">
      <c r="B163" s="125" t="s">
        <v>2182</v>
      </c>
      <c r="C163" s="125" t="s">
        <v>88</v>
      </c>
      <c r="D163" s="125" t="s">
        <v>1499</v>
      </c>
      <c r="F163" s="125">
        <v>3.7</v>
      </c>
      <c r="H163" s="125" t="s">
        <v>28</v>
      </c>
      <c r="I163" s="125" t="s">
        <v>179</v>
      </c>
      <c r="O163" s="125" t="s">
        <v>54</v>
      </c>
      <c r="P163" s="125" t="s">
        <v>188</v>
      </c>
    </row>
    <row r="164" ht="14.25" customHeight="1">
      <c r="B164" s="125" t="s">
        <v>2183</v>
      </c>
      <c r="C164" s="125" t="s">
        <v>500</v>
      </c>
      <c r="D164" s="125" t="s">
        <v>1751</v>
      </c>
      <c r="F164" s="125">
        <v>3.0</v>
      </c>
      <c r="H164" s="125" t="s">
        <v>28</v>
      </c>
      <c r="I164" s="125" t="s">
        <v>179</v>
      </c>
      <c r="O164" s="125" t="s">
        <v>54</v>
      </c>
      <c r="P164" s="125" t="s">
        <v>188</v>
      </c>
    </row>
    <row r="165" ht="14.25" customHeight="1">
      <c r="B165" s="125" t="s">
        <v>733</v>
      </c>
      <c r="C165" s="125" t="s">
        <v>1953</v>
      </c>
      <c r="D165" s="125" t="s">
        <v>2184</v>
      </c>
      <c r="F165" s="125">
        <v>7.0</v>
      </c>
      <c r="H165" s="125" t="s">
        <v>28</v>
      </c>
      <c r="I165" s="125" t="s">
        <v>179</v>
      </c>
      <c r="O165" s="125" t="s">
        <v>54</v>
      </c>
      <c r="P165" s="125" t="s">
        <v>188</v>
      </c>
    </row>
    <row r="166" ht="14.25" customHeight="1">
      <c r="B166" s="125" t="s">
        <v>233</v>
      </c>
      <c r="C166" s="125" t="s">
        <v>2185</v>
      </c>
      <c r="D166" s="125" t="s">
        <v>1800</v>
      </c>
      <c r="F166" s="125">
        <v>3.0</v>
      </c>
      <c r="H166" s="125" t="s">
        <v>28</v>
      </c>
      <c r="I166" s="125" t="s">
        <v>179</v>
      </c>
      <c r="O166" s="125" t="s">
        <v>54</v>
      </c>
      <c r="P166" s="125" t="s">
        <v>188</v>
      </c>
    </row>
    <row r="167" ht="14.25" customHeight="1">
      <c r="B167" s="125" t="s">
        <v>2186</v>
      </c>
      <c r="C167" s="125" t="s">
        <v>2187</v>
      </c>
      <c r="D167" s="125" t="s">
        <v>712</v>
      </c>
      <c r="F167" s="125">
        <v>3.0</v>
      </c>
      <c r="H167" s="125" t="s">
        <v>28</v>
      </c>
      <c r="I167" s="125" t="s">
        <v>179</v>
      </c>
      <c r="O167" s="125" t="s">
        <v>54</v>
      </c>
      <c r="P167" s="125" t="s">
        <v>188</v>
      </c>
    </row>
    <row r="168" ht="14.25" customHeight="1">
      <c r="B168" s="125" t="s">
        <v>2188</v>
      </c>
      <c r="D168" s="125" t="s">
        <v>962</v>
      </c>
      <c r="F168" s="125">
        <v>3.0</v>
      </c>
      <c r="H168" s="125" t="s">
        <v>28</v>
      </c>
      <c r="K168" s="125" t="s">
        <v>172</v>
      </c>
      <c r="O168" s="125" t="s">
        <v>54</v>
      </c>
      <c r="P168" s="125" t="s">
        <v>189</v>
      </c>
    </row>
    <row r="169" ht="14.25" customHeight="1">
      <c r="B169" s="125" t="s">
        <v>2189</v>
      </c>
      <c r="C169" s="125" t="s">
        <v>2190</v>
      </c>
      <c r="D169" s="125" t="s">
        <v>2191</v>
      </c>
      <c r="F169" s="125">
        <v>0.5</v>
      </c>
      <c r="H169" s="125" t="s">
        <v>30</v>
      </c>
      <c r="K169" s="125" t="s">
        <v>155</v>
      </c>
      <c r="O169" s="125" t="s">
        <v>74</v>
      </c>
      <c r="P169" s="125" t="s">
        <v>189</v>
      </c>
    </row>
    <row r="170" ht="14.25" customHeight="1">
      <c r="B170" s="125" t="s">
        <v>2192</v>
      </c>
      <c r="C170" s="125" t="s">
        <v>2193</v>
      </c>
      <c r="D170" s="125" t="s">
        <v>2194</v>
      </c>
      <c r="F170" s="125">
        <v>0.5</v>
      </c>
      <c r="H170" s="125" t="s">
        <v>30</v>
      </c>
      <c r="K170" s="125" t="s">
        <v>155</v>
      </c>
      <c r="O170" s="125" t="s">
        <v>74</v>
      </c>
      <c r="P170" s="125" t="s">
        <v>189</v>
      </c>
    </row>
    <row r="171" ht="14.25" customHeight="1">
      <c r="B171" s="125" t="s">
        <v>1409</v>
      </c>
      <c r="C171" s="125" t="s">
        <v>2195</v>
      </c>
      <c r="D171" s="125" t="s">
        <v>2196</v>
      </c>
      <c r="F171" s="125">
        <v>3.0</v>
      </c>
      <c r="H171" s="125" t="s">
        <v>30</v>
      </c>
      <c r="K171" s="125" t="s">
        <v>266</v>
      </c>
      <c r="O171" s="125" t="s">
        <v>54</v>
      </c>
      <c r="P171" s="125" t="s">
        <v>189</v>
      </c>
    </row>
    <row r="172" ht="14.25" customHeight="1">
      <c r="B172" s="125" t="s">
        <v>2197</v>
      </c>
      <c r="C172" s="125" t="s">
        <v>478</v>
      </c>
      <c r="D172" s="125" t="s">
        <v>782</v>
      </c>
      <c r="F172" s="125">
        <v>0.5</v>
      </c>
      <c r="H172" s="125" t="s">
        <v>30</v>
      </c>
      <c r="K172" s="125" t="s">
        <v>155</v>
      </c>
      <c r="O172" s="125" t="s">
        <v>74</v>
      </c>
      <c r="P172" s="125" t="s">
        <v>189</v>
      </c>
    </row>
    <row r="173" ht="14.25" customHeight="1">
      <c r="B173" s="125" t="s">
        <v>2198</v>
      </c>
      <c r="C173" s="125" t="s">
        <v>2199</v>
      </c>
      <c r="D173" s="125" t="s">
        <v>782</v>
      </c>
      <c r="F173" s="125">
        <v>2.0</v>
      </c>
      <c r="H173" s="125" t="s">
        <v>30</v>
      </c>
      <c r="K173" s="125" t="s">
        <v>172</v>
      </c>
      <c r="O173" s="125" t="s">
        <v>74</v>
      </c>
      <c r="P173" s="125" t="s">
        <v>189</v>
      </c>
    </row>
    <row r="174" ht="14.25" customHeight="1">
      <c r="B174" s="125" t="s">
        <v>2200</v>
      </c>
      <c r="C174" s="125" t="s">
        <v>478</v>
      </c>
      <c r="D174" s="125" t="s">
        <v>782</v>
      </c>
      <c r="F174" s="125">
        <v>1.0</v>
      </c>
      <c r="H174" s="125" t="s">
        <v>30</v>
      </c>
      <c r="K174" s="125" t="s">
        <v>155</v>
      </c>
      <c r="O174" s="125" t="s">
        <v>74</v>
      </c>
      <c r="P174" s="125" t="s">
        <v>189</v>
      </c>
    </row>
    <row r="175" ht="14.25" customHeight="1">
      <c r="B175" s="125" t="s">
        <v>2201</v>
      </c>
      <c r="C175" s="125" t="s">
        <v>2202</v>
      </c>
      <c r="D175" s="125" t="s">
        <v>782</v>
      </c>
      <c r="F175" s="125">
        <v>3.0</v>
      </c>
      <c r="H175" s="125" t="s">
        <v>30</v>
      </c>
      <c r="K175" s="125" t="s">
        <v>155</v>
      </c>
      <c r="O175" s="125" t="s">
        <v>74</v>
      </c>
      <c r="P175" s="125" t="s">
        <v>189</v>
      </c>
    </row>
    <row r="176" ht="14.25" customHeight="1">
      <c r="B176" s="125" t="s">
        <v>2203</v>
      </c>
      <c r="C176" s="125" t="s">
        <v>2204</v>
      </c>
      <c r="D176" s="125" t="s">
        <v>782</v>
      </c>
      <c r="F176" s="125">
        <v>1.0</v>
      </c>
      <c r="H176" s="125" t="s">
        <v>30</v>
      </c>
      <c r="K176" s="125" t="s">
        <v>172</v>
      </c>
      <c r="O176" s="125" t="s">
        <v>74</v>
      </c>
      <c r="P176" s="125" t="s">
        <v>189</v>
      </c>
    </row>
    <row r="177" ht="14.25" customHeight="1">
      <c r="B177" s="125" t="s">
        <v>2205</v>
      </c>
      <c r="C177" s="125" t="s">
        <v>2206</v>
      </c>
      <c r="D177" s="125" t="s">
        <v>782</v>
      </c>
      <c r="F177" s="125">
        <v>1.0</v>
      </c>
      <c r="H177" s="125" t="s">
        <v>30</v>
      </c>
      <c r="K177" s="125" t="s">
        <v>155</v>
      </c>
      <c r="O177" s="125" t="s">
        <v>74</v>
      </c>
      <c r="P177" s="125" t="s">
        <v>189</v>
      </c>
    </row>
    <row r="178" ht="14.25" customHeight="1">
      <c r="B178" s="125" t="s">
        <v>2207</v>
      </c>
      <c r="C178" s="125" t="s">
        <v>2208</v>
      </c>
      <c r="D178" s="125" t="s">
        <v>782</v>
      </c>
      <c r="F178" s="125">
        <v>1.0</v>
      </c>
      <c r="H178" s="125" t="s">
        <v>30</v>
      </c>
      <c r="K178" s="125" t="s">
        <v>172</v>
      </c>
      <c r="O178" s="125" t="s">
        <v>74</v>
      </c>
      <c r="P178" s="125" t="s">
        <v>189</v>
      </c>
    </row>
    <row r="179" ht="14.25" customHeight="1">
      <c r="B179" s="125" t="s">
        <v>2209</v>
      </c>
      <c r="C179" s="125" t="s">
        <v>2210</v>
      </c>
      <c r="D179" s="125" t="s">
        <v>782</v>
      </c>
      <c r="F179" s="125">
        <v>1.5</v>
      </c>
      <c r="H179" s="125" t="s">
        <v>30</v>
      </c>
      <c r="K179" s="125" t="s">
        <v>155</v>
      </c>
      <c r="O179" s="125" t="s">
        <v>74</v>
      </c>
      <c r="P179" s="125" t="s">
        <v>189</v>
      </c>
    </row>
    <row r="180" ht="14.25" customHeight="1">
      <c r="B180" s="125" t="s">
        <v>2211</v>
      </c>
      <c r="C180" s="125" t="s">
        <v>2212</v>
      </c>
      <c r="D180" s="125" t="s">
        <v>782</v>
      </c>
      <c r="F180" s="125">
        <v>0.75</v>
      </c>
      <c r="H180" s="125" t="s">
        <v>30</v>
      </c>
      <c r="K180" s="125" t="s">
        <v>172</v>
      </c>
      <c r="O180" s="125" t="s">
        <v>74</v>
      </c>
      <c r="P180" s="125" t="s">
        <v>189</v>
      </c>
    </row>
    <row r="181" ht="14.25" customHeight="1">
      <c r="B181" s="125" t="s">
        <v>444</v>
      </c>
      <c r="C181" s="125" t="s">
        <v>2213</v>
      </c>
      <c r="D181" s="125" t="s">
        <v>782</v>
      </c>
      <c r="F181" s="125">
        <v>1.0</v>
      </c>
      <c r="H181" s="125" t="s">
        <v>30</v>
      </c>
      <c r="K181" s="125" t="s">
        <v>172</v>
      </c>
      <c r="O181" s="125" t="s">
        <v>74</v>
      </c>
      <c r="P181" s="125" t="s">
        <v>189</v>
      </c>
    </row>
    <row r="182" ht="14.25" customHeight="1">
      <c r="B182" s="125" t="s">
        <v>2214</v>
      </c>
      <c r="C182" s="125" t="s">
        <v>1892</v>
      </c>
      <c r="D182" s="125" t="s">
        <v>782</v>
      </c>
      <c r="F182" s="125">
        <v>2.0</v>
      </c>
      <c r="H182" s="125" t="s">
        <v>30</v>
      </c>
      <c r="K182" s="125" t="s">
        <v>53</v>
      </c>
      <c r="O182" s="125" t="s">
        <v>74</v>
      </c>
      <c r="P182" s="125" t="s">
        <v>189</v>
      </c>
    </row>
    <row r="183" ht="14.25" customHeight="1">
      <c r="B183" s="125" t="s">
        <v>2215</v>
      </c>
      <c r="C183" s="125" t="s">
        <v>2199</v>
      </c>
      <c r="D183" s="125" t="s">
        <v>782</v>
      </c>
      <c r="F183" s="125">
        <v>2.0</v>
      </c>
      <c r="H183" s="125" t="s">
        <v>30</v>
      </c>
      <c r="K183" s="125" t="s">
        <v>172</v>
      </c>
      <c r="O183" s="125" t="s">
        <v>74</v>
      </c>
      <c r="P183" s="125" t="s">
        <v>189</v>
      </c>
    </row>
    <row r="184" ht="14.25" customHeight="1">
      <c r="B184" s="125" t="s">
        <v>2216</v>
      </c>
      <c r="C184" s="125" t="s">
        <v>2217</v>
      </c>
      <c r="D184" s="125" t="s">
        <v>2218</v>
      </c>
      <c r="F184" s="125">
        <v>1.0</v>
      </c>
      <c r="H184" s="125" t="s">
        <v>30</v>
      </c>
      <c r="K184" s="125" t="s">
        <v>155</v>
      </c>
      <c r="O184" s="125" t="s">
        <v>74</v>
      </c>
      <c r="P184" s="125" t="s">
        <v>189</v>
      </c>
    </row>
    <row r="185" ht="14.25" customHeight="1">
      <c r="B185" s="125" t="s">
        <v>2219</v>
      </c>
      <c r="C185" s="125" t="s">
        <v>2220</v>
      </c>
      <c r="D185" s="125" t="s">
        <v>233</v>
      </c>
      <c r="F185" s="125">
        <v>1.0</v>
      </c>
      <c r="H185" s="125" t="s">
        <v>30</v>
      </c>
      <c r="K185" s="125" t="s">
        <v>172</v>
      </c>
      <c r="O185" s="125" t="s">
        <v>74</v>
      </c>
      <c r="P185" s="125" t="s">
        <v>189</v>
      </c>
    </row>
    <row r="186" ht="14.25" customHeight="1">
      <c r="B186" s="125" t="s">
        <v>2221</v>
      </c>
      <c r="C186" s="125" t="s">
        <v>687</v>
      </c>
      <c r="D186" s="125" t="s">
        <v>395</v>
      </c>
      <c r="F186" s="125">
        <v>2.0</v>
      </c>
      <c r="H186" s="125" t="s">
        <v>30</v>
      </c>
      <c r="K186" s="125" t="s">
        <v>155</v>
      </c>
      <c r="O186" s="125" t="s">
        <v>74</v>
      </c>
      <c r="P186" s="125" t="s">
        <v>189</v>
      </c>
    </row>
    <row r="187" ht="14.25" customHeight="1">
      <c r="B187" s="125" t="s">
        <v>2222</v>
      </c>
      <c r="C187" s="125" t="s">
        <v>687</v>
      </c>
      <c r="D187" s="125" t="s">
        <v>395</v>
      </c>
      <c r="F187" s="125">
        <v>2.0</v>
      </c>
      <c r="H187" s="125" t="s">
        <v>30</v>
      </c>
      <c r="K187" s="125" t="s">
        <v>155</v>
      </c>
      <c r="O187" s="125" t="s">
        <v>74</v>
      </c>
      <c r="P187" s="125" t="s">
        <v>189</v>
      </c>
    </row>
    <row r="188" ht="14.25" customHeight="1">
      <c r="B188" s="125" t="s">
        <v>2223</v>
      </c>
      <c r="C188" s="125" t="s">
        <v>2224</v>
      </c>
      <c r="D188" s="125" t="s">
        <v>2056</v>
      </c>
      <c r="F188" s="125">
        <v>2.0</v>
      </c>
      <c r="H188" s="125" t="s">
        <v>30</v>
      </c>
      <c r="K188" s="125" t="s">
        <v>155</v>
      </c>
      <c r="O188" s="125" t="s">
        <v>54</v>
      </c>
      <c r="P188" s="125" t="s">
        <v>189</v>
      </c>
    </row>
    <row r="189" ht="14.25" customHeight="1">
      <c r="B189" s="125" t="s">
        <v>2225</v>
      </c>
      <c r="C189" s="125" t="s">
        <v>2226</v>
      </c>
      <c r="D189" s="125" t="s">
        <v>2227</v>
      </c>
      <c r="F189" s="125">
        <v>1.0</v>
      </c>
      <c r="H189" s="125" t="s">
        <v>30</v>
      </c>
      <c r="K189" s="125" t="s">
        <v>172</v>
      </c>
      <c r="O189" s="125" t="s">
        <v>54</v>
      </c>
      <c r="P189" s="125" t="s">
        <v>189</v>
      </c>
    </row>
    <row r="190" ht="14.25" customHeight="1">
      <c r="B190" s="125" t="s">
        <v>919</v>
      </c>
      <c r="C190" s="125" t="s">
        <v>2228</v>
      </c>
      <c r="D190" s="125" t="s">
        <v>398</v>
      </c>
      <c r="F190" s="125">
        <v>0.5</v>
      </c>
      <c r="H190" s="125" t="s">
        <v>30</v>
      </c>
      <c r="K190" s="125" t="s">
        <v>155</v>
      </c>
      <c r="O190" s="125" t="s">
        <v>74</v>
      </c>
      <c r="P190" s="125" t="s">
        <v>189</v>
      </c>
    </row>
    <row r="191" ht="14.25" customHeight="1">
      <c r="B191" s="125" t="s">
        <v>663</v>
      </c>
      <c r="C191" s="125" t="s">
        <v>2229</v>
      </c>
      <c r="D191" s="125" t="s">
        <v>2230</v>
      </c>
      <c r="F191" s="125">
        <v>1.0</v>
      </c>
      <c r="H191" s="125" t="s">
        <v>30</v>
      </c>
      <c r="K191" s="125" t="s">
        <v>172</v>
      </c>
      <c r="O191" s="125" t="s">
        <v>54</v>
      </c>
      <c r="P191" s="125" t="s">
        <v>189</v>
      </c>
    </row>
    <row r="192" ht="14.25" customHeight="1">
      <c r="B192" s="125" t="s">
        <v>2231</v>
      </c>
      <c r="C192" s="125" t="s">
        <v>2232</v>
      </c>
      <c r="D192" s="125" t="s">
        <v>2230</v>
      </c>
      <c r="F192" s="125">
        <v>2.0</v>
      </c>
      <c r="H192" s="125" t="s">
        <v>30</v>
      </c>
      <c r="K192" s="125" t="s">
        <v>172</v>
      </c>
      <c r="O192" s="125" t="s">
        <v>54</v>
      </c>
      <c r="P192" s="125" t="s">
        <v>189</v>
      </c>
    </row>
    <row r="193" ht="15.75" customHeight="1">
      <c r="B193" s="125" t="s">
        <v>2233</v>
      </c>
      <c r="C193" s="125" t="s">
        <v>478</v>
      </c>
      <c r="D193" s="125" t="s">
        <v>2234</v>
      </c>
      <c r="F193" s="125">
        <v>1.0</v>
      </c>
      <c r="H193" s="125" t="s">
        <v>30</v>
      </c>
      <c r="K193" s="125" t="s">
        <v>155</v>
      </c>
      <c r="O193" s="125" t="s">
        <v>74</v>
      </c>
      <c r="P193" s="125" t="s">
        <v>189</v>
      </c>
    </row>
    <row r="194" ht="15.75" customHeight="1">
      <c r="B194" s="125" t="s">
        <v>2235</v>
      </c>
      <c r="C194" s="125" t="s">
        <v>2236</v>
      </c>
      <c r="D194" s="125" t="s">
        <v>2237</v>
      </c>
      <c r="F194" s="125">
        <v>0.25</v>
      </c>
      <c r="H194" s="125" t="s">
        <v>30</v>
      </c>
      <c r="K194" s="125" t="s">
        <v>155</v>
      </c>
      <c r="O194" s="125" t="s">
        <v>54</v>
      </c>
      <c r="P194" s="125" t="s">
        <v>189</v>
      </c>
    </row>
    <row r="195" ht="15.75" customHeight="1">
      <c r="B195" s="125" t="s">
        <v>2238</v>
      </c>
      <c r="C195" s="125" t="s">
        <v>2239</v>
      </c>
      <c r="D195" s="125" t="s">
        <v>2212</v>
      </c>
      <c r="F195" s="125">
        <v>1.5</v>
      </c>
      <c r="H195" s="125" t="s">
        <v>30</v>
      </c>
      <c r="K195" s="125" t="s">
        <v>155</v>
      </c>
      <c r="O195" s="125" t="s">
        <v>54</v>
      </c>
      <c r="P195" s="125" t="s">
        <v>189</v>
      </c>
    </row>
    <row r="196" ht="15.75" customHeight="1">
      <c r="B196" s="125" t="s">
        <v>2240</v>
      </c>
      <c r="C196" s="125" t="s">
        <v>2241</v>
      </c>
      <c r="D196" s="125" t="s">
        <v>2212</v>
      </c>
      <c r="F196" s="125">
        <v>1.0</v>
      </c>
      <c r="H196" s="125" t="s">
        <v>30</v>
      </c>
      <c r="K196" s="125" t="s">
        <v>155</v>
      </c>
      <c r="O196" s="125" t="s">
        <v>54</v>
      </c>
      <c r="P196" s="125" t="s">
        <v>189</v>
      </c>
    </row>
    <row r="197" ht="15.75" customHeight="1">
      <c r="B197" s="125" t="s">
        <v>663</v>
      </c>
      <c r="C197" s="125" t="s">
        <v>2242</v>
      </c>
      <c r="D197" s="125" t="s">
        <v>2212</v>
      </c>
      <c r="F197" s="125">
        <v>1.0</v>
      </c>
      <c r="H197" s="125" t="s">
        <v>30</v>
      </c>
      <c r="K197" s="125" t="s">
        <v>155</v>
      </c>
      <c r="O197" s="125" t="s">
        <v>54</v>
      </c>
      <c r="P197" s="125" t="s">
        <v>189</v>
      </c>
    </row>
    <row r="198" ht="15.75" customHeight="1">
      <c r="B198" s="125" t="s">
        <v>2243</v>
      </c>
      <c r="C198" s="125" t="s">
        <v>2244</v>
      </c>
      <c r="D198" s="125" t="s">
        <v>2245</v>
      </c>
      <c r="F198" s="125">
        <v>1.0</v>
      </c>
      <c r="H198" s="125" t="s">
        <v>30</v>
      </c>
      <c r="K198" s="125" t="s">
        <v>155</v>
      </c>
      <c r="O198" s="125" t="s">
        <v>74</v>
      </c>
      <c r="P198" s="125" t="s">
        <v>189</v>
      </c>
    </row>
    <row r="199" ht="15.75" customHeight="1">
      <c r="B199" s="125" t="s">
        <v>2246</v>
      </c>
      <c r="C199" s="125" t="s">
        <v>2247</v>
      </c>
      <c r="D199" s="125" t="s">
        <v>2248</v>
      </c>
      <c r="F199" s="125">
        <v>1.2</v>
      </c>
      <c r="H199" s="125" t="s">
        <v>30</v>
      </c>
      <c r="K199" s="125" t="s">
        <v>172</v>
      </c>
      <c r="O199" s="125" t="s">
        <v>54</v>
      </c>
      <c r="P199" s="125" t="s">
        <v>189</v>
      </c>
    </row>
    <row r="200" ht="15.75" customHeight="1">
      <c r="B200" s="125" t="s">
        <v>2249</v>
      </c>
      <c r="C200" s="125" t="s">
        <v>1838</v>
      </c>
      <c r="D200" s="125" t="s">
        <v>1326</v>
      </c>
      <c r="F200" s="125">
        <v>1.0</v>
      </c>
      <c r="H200" s="125" t="s">
        <v>30</v>
      </c>
      <c r="K200" s="125" t="s">
        <v>172</v>
      </c>
      <c r="O200" s="125" t="s">
        <v>54</v>
      </c>
      <c r="P200" s="125" t="s">
        <v>189</v>
      </c>
    </row>
    <row r="201" ht="15.75" customHeight="1">
      <c r="B201" s="125" t="s">
        <v>2250</v>
      </c>
      <c r="C201" s="125" t="s">
        <v>2251</v>
      </c>
      <c r="D201" s="125" t="s">
        <v>2252</v>
      </c>
      <c r="F201" s="125">
        <v>1.0</v>
      </c>
      <c r="H201" s="125" t="s">
        <v>30</v>
      </c>
      <c r="I201" s="125" t="s">
        <v>2253</v>
      </c>
      <c r="O201" s="125" t="s">
        <v>74</v>
      </c>
      <c r="P201" s="125" t="s">
        <v>188</v>
      </c>
    </row>
    <row r="202" ht="15.75" customHeight="1">
      <c r="B202" s="125" t="s">
        <v>214</v>
      </c>
      <c r="C202" s="125" t="s">
        <v>2254</v>
      </c>
      <c r="D202" s="125" t="s">
        <v>2255</v>
      </c>
      <c r="F202" s="125">
        <v>3.0</v>
      </c>
      <c r="H202" s="125" t="s">
        <v>30</v>
      </c>
      <c r="I202" s="125" t="s">
        <v>179</v>
      </c>
      <c r="O202" s="125" t="s">
        <v>54</v>
      </c>
      <c r="P202" s="125" t="s">
        <v>188</v>
      </c>
    </row>
    <row r="203" ht="15.75" customHeight="1">
      <c r="B203" s="125" t="s">
        <v>2256</v>
      </c>
      <c r="C203" s="125" t="s">
        <v>2257</v>
      </c>
      <c r="D203" s="125" t="s">
        <v>2255</v>
      </c>
      <c r="F203" s="125">
        <v>3.0</v>
      </c>
      <c r="H203" s="125" t="s">
        <v>30</v>
      </c>
      <c r="I203" s="125" t="s">
        <v>2049</v>
      </c>
      <c r="O203" s="125" t="s">
        <v>54</v>
      </c>
      <c r="P203" s="125" t="s">
        <v>188</v>
      </c>
    </row>
    <row r="204" ht="15.75" customHeight="1">
      <c r="B204" s="125" t="s">
        <v>1692</v>
      </c>
      <c r="C204" s="125" t="s">
        <v>1879</v>
      </c>
      <c r="D204" s="125" t="s">
        <v>1880</v>
      </c>
      <c r="E204" s="125" t="s">
        <v>86</v>
      </c>
      <c r="F204" s="125">
        <v>3.0</v>
      </c>
      <c r="H204" s="125" t="s">
        <v>30</v>
      </c>
      <c r="I204" s="125" t="s">
        <v>2049</v>
      </c>
      <c r="O204" s="125" t="s">
        <v>54</v>
      </c>
      <c r="P204" s="125" t="s">
        <v>188</v>
      </c>
    </row>
    <row r="205" ht="15.75" customHeight="1">
      <c r="B205" s="125" t="s">
        <v>2258</v>
      </c>
      <c r="C205" s="125" t="s">
        <v>2259</v>
      </c>
      <c r="D205" s="125" t="s">
        <v>1884</v>
      </c>
      <c r="F205" s="125">
        <v>3.0</v>
      </c>
      <c r="H205" s="125" t="s">
        <v>30</v>
      </c>
      <c r="K205" s="125" t="s">
        <v>53</v>
      </c>
      <c r="O205" s="125" t="s">
        <v>74</v>
      </c>
      <c r="P205" s="125" t="s">
        <v>189</v>
      </c>
    </row>
    <row r="206" ht="15.75" customHeight="1">
      <c r="B206" s="125" t="s">
        <v>2260</v>
      </c>
      <c r="C206" s="125" t="s">
        <v>1883</v>
      </c>
      <c r="D206" s="125" t="s">
        <v>1884</v>
      </c>
      <c r="F206" s="125">
        <v>5.0</v>
      </c>
      <c r="H206" s="125" t="s">
        <v>30</v>
      </c>
      <c r="K206" s="125" t="s">
        <v>53</v>
      </c>
      <c r="O206" s="125" t="s">
        <v>54</v>
      </c>
      <c r="P206" s="125" t="s">
        <v>189</v>
      </c>
    </row>
    <row r="207" ht="15.75" customHeight="1">
      <c r="B207" s="125" t="s">
        <v>1040</v>
      </c>
      <c r="C207" s="125" t="s">
        <v>2224</v>
      </c>
      <c r="D207" s="125" t="s">
        <v>1884</v>
      </c>
      <c r="F207" s="125">
        <v>1.0</v>
      </c>
      <c r="H207" s="125" t="s">
        <v>30</v>
      </c>
      <c r="K207" s="125" t="s">
        <v>172</v>
      </c>
      <c r="O207" s="125" t="s">
        <v>54</v>
      </c>
      <c r="P207" s="125" t="s">
        <v>189</v>
      </c>
    </row>
    <row r="208" ht="15.75" customHeight="1">
      <c r="B208" s="125" t="s">
        <v>93</v>
      </c>
      <c r="C208" s="125" t="s">
        <v>2261</v>
      </c>
      <c r="D208" s="125" t="s">
        <v>2262</v>
      </c>
      <c r="F208" s="125">
        <v>2.0</v>
      </c>
      <c r="H208" s="125" t="s">
        <v>30</v>
      </c>
      <c r="K208" s="125" t="s">
        <v>172</v>
      </c>
      <c r="O208" s="125" t="s">
        <v>54</v>
      </c>
      <c r="P208" s="125" t="s">
        <v>189</v>
      </c>
    </row>
    <row r="209" ht="15.75" customHeight="1">
      <c r="B209" s="125" t="s">
        <v>2159</v>
      </c>
      <c r="C209" s="125" t="s">
        <v>2263</v>
      </c>
      <c r="D209" s="125" t="s">
        <v>2264</v>
      </c>
      <c r="F209" s="125">
        <v>0.5</v>
      </c>
      <c r="H209" s="125" t="s">
        <v>30</v>
      </c>
      <c r="K209" s="125" t="s">
        <v>53</v>
      </c>
      <c r="O209" s="125" t="s">
        <v>54</v>
      </c>
      <c r="P209" s="125" t="s">
        <v>189</v>
      </c>
    </row>
    <row r="210" ht="15.75" customHeight="1">
      <c r="B210" s="125" t="s">
        <v>165</v>
      </c>
      <c r="C210" s="125" t="s">
        <v>2265</v>
      </c>
      <c r="D210" s="125" t="s">
        <v>2266</v>
      </c>
      <c r="F210" s="125">
        <v>1.2</v>
      </c>
      <c r="H210" s="125" t="s">
        <v>30</v>
      </c>
      <c r="I210" s="125" t="s">
        <v>2267</v>
      </c>
      <c r="O210" s="125" t="s">
        <v>74</v>
      </c>
      <c r="P210" s="125" t="s">
        <v>188</v>
      </c>
    </row>
    <row r="211" ht="15.75" customHeight="1">
      <c r="B211" s="125" t="s">
        <v>618</v>
      </c>
      <c r="C211" s="125" t="s">
        <v>2268</v>
      </c>
      <c r="D211" s="125" t="s">
        <v>1895</v>
      </c>
      <c r="E211" s="125" t="s">
        <v>86</v>
      </c>
      <c r="F211" s="125">
        <v>2.0</v>
      </c>
      <c r="H211" s="125" t="s">
        <v>30</v>
      </c>
      <c r="K211" s="125" t="s">
        <v>53</v>
      </c>
      <c r="O211" s="125" t="s">
        <v>54</v>
      </c>
      <c r="P211" s="125" t="s">
        <v>189</v>
      </c>
    </row>
    <row r="212" ht="15.75" customHeight="1">
      <c r="B212" s="125" t="s">
        <v>490</v>
      </c>
      <c r="C212" s="125" t="s">
        <v>2268</v>
      </c>
      <c r="D212" s="125" t="s">
        <v>1895</v>
      </c>
      <c r="F212" s="125">
        <v>2.0</v>
      </c>
      <c r="H212" s="125" t="s">
        <v>30</v>
      </c>
      <c r="K212" s="125" t="s">
        <v>172</v>
      </c>
      <c r="O212" s="125" t="s">
        <v>54</v>
      </c>
      <c r="P212" s="125" t="s">
        <v>189</v>
      </c>
    </row>
    <row r="213" ht="15.75" customHeight="1">
      <c r="B213" s="125" t="s">
        <v>2269</v>
      </c>
      <c r="C213" s="125" t="s">
        <v>2270</v>
      </c>
      <c r="D213" s="125" t="s">
        <v>2271</v>
      </c>
      <c r="F213" s="125">
        <v>4.0</v>
      </c>
      <c r="H213" s="125" t="s">
        <v>30</v>
      </c>
      <c r="K213" s="125" t="s">
        <v>172</v>
      </c>
      <c r="O213" s="125" t="s">
        <v>54</v>
      </c>
      <c r="P213" s="125" t="s">
        <v>189</v>
      </c>
    </row>
    <row r="214" ht="15.75" customHeight="1">
      <c r="B214" s="125" t="s">
        <v>2272</v>
      </c>
      <c r="C214" s="125" t="s">
        <v>2273</v>
      </c>
      <c r="D214" s="125" t="s">
        <v>2274</v>
      </c>
      <c r="F214" s="125">
        <v>1.0</v>
      </c>
      <c r="H214" s="125" t="s">
        <v>30</v>
      </c>
      <c r="K214" s="125" t="s">
        <v>155</v>
      </c>
      <c r="O214" s="125" t="s">
        <v>54</v>
      </c>
      <c r="P214" s="125" t="s">
        <v>189</v>
      </c>
    </row>
    <row r="215" ht="15.75" customHeight="1">
      <c r="B215" s="125" t="s">
        <v>2275</v>
      </c>
      <c r="C215" s="125" t="s">
        <v>2241</v>
      </c>
      <c r="D215" s="125" t="s">
        <v>2276</v>
      </c>
      <c r="F215" s="125">
        <v>2.0</v>
      </c>
      <c r="H215" s="125" t="s">
        <v>30</v>
      </c>
      <c r="K215" s="125" t="s">
        <v>266</v>
      </c>
      <c r="O215" s="125" t="s">
        <v>74</v>
      </c>
      <c r="P215" s="125" t="s">
        <v>189</v>
      </c>
    </row>
    <row r="216" ht="15.75" customHeight="1">
      <c r="B216" s="125" t="s">
        <v>2277</v>
      </c>
      <c r="C216" s="125" t="s">
        <v>2278</v>
      </c>
      <c r="D216" s="125" t="s">
        <v>2276</v>
      </c>
      <c r="F216" s="125">
        <v>1.0</v>
      </c>
      <c r="H216" s="125" t="s">
        <v>30</v>
      </c>
      <c r="I216" s="125" t="s">
        <v>2253</v>
      </c>
      <c r="O216" s="125" t="s">
        <v>74</v>
      </c>
      <c r="P216" s="125" t="s">
        <v>188</v>
      </c>
    </row>
    <row r="217" ht="15.75" customHeight="1">
      <c r="B217" s="125" t="s">
        <v>2279</v>
      </c>
      <c r="C217" s="125" t="s">
        <v>2280</v>
      </c>
      <c r="D217" s="125" t="s">
        <v>2281</v>
      </c>
      <c r="F217" s="125">
        <v>1.0</v>
      </c>
      <c r="H217" s="125" t="s">
        <v>30</v>
      </c>
      <c r="K217" s="125" t="s">
        <v>172</v>
      </c>
      <c r="O217" s="125" t="s">
        <v>74</v>
      </c>
      <c r="P217" s="125" t="s">
        <v>189</v>
      </c>
    </row>
    <row r="218" ht="15.75" customHeight="1">
      <c r="B218" s="125" t="s">
        <v>2282</v>
      </c>
      <c r="C218" s="125" t="s">
        <v>2283</v>
      </c>
      <c r="D218" s="125" t="s">
        <v>478</v>
      </c>
      <c r="F218" s="125">
        <v>1.0</v>
      </c>
      <c r="H218" s="125" t="s">
        <v>30</v>
      </c>
      <c r="K218" s="125" t="s">
        <v>155</v>
      </c>
      <c r="O218" s="125" t="s">
        <v>74</v>
      </c>
      <c r="P218" s="125" t="s">
        <v>189</v>
      </c>
    </row>
    <row r="219" ht="15.75" customHeight="1">
      <c r="B219" s="125" t="s">
        <v>585</v>
      </c>
      <c r="C219" s="125" t="s">
        <v>2284</v>
      </c>
      <c r="D219" s="125" t="s">
        <v>478</v>
      </c>
      <c r="F219" s="125">
        <v>2.0</v>
      </c>
      <c r="H219" s="125" t="s">
        <v>30</v>
      </c>
      <c r="K219" s="125" t="s">
        <v>172</v>
      </c>
      <c r="O219" s="125" t="s">
        <v>74</v>
      </c>
      <c r="P219" s="125" t="s">
        <v>189</v>
      </c>
    </row>
    <row r="220" ht="15.75" customHeight="1">
      <c r="B220" s="125" t="s">
        <v>2285</v>
      </c>
      <c r="C220" s="125" t="s">
        <v>2286</v>
      </c>
      <c r="D220" s="125" t="s">
        <v>2287</v>
      </c>
      <c r="F220" s="125">
        <v>1.0</v>
      </c>
      <c r="H220" s="125" t="s">
        <v>30</v>
      </c>
      <c r="K220" s="125" t="s">
        <v>172</v>
      </c>
      <c r="O220" s="125" t="s">
        <v>74</v>
      </c>
      <c r="P220" s="125" t="s">
        <v>189</v>
      </c>
    </row>
    <row r="221" ht="15.75" customHeight="1">
      <c r="B221" s="125" t="s">
        <v>233</v>
      </c>
      <c r="C221" s="125" t="s">
        <v>1908</v>
      </c>
      <c r="D221" s="125" t="s">
        <v>1909</v>
      </c>
      <c r="F221" s="125">
        <v>1.0</v>
      </c>
      <c r="H221" s="125" t="s">
        <v>30</v>
      </c>
      <c r="K221" s="125">
        <v>216.0</v>
      </c>
      <c r="O221" s="125" t="s">
        <v>74</v>
      </c>
      <c r="P221" s="125" t="s">
        <v>189</v>
      </c>
    </row>
    <row r="222" ht="15.75" customHeight="1">
      <c r="B222" s="125" t="s">
        <v>490</v>
      </c>
      <c r="C222" s="125" t="s">
        <v>2288</v>
      </c>
      <c r="D222" s="125" t="s">
        <v>2241</v>
      </c>
      <c r="F222" s="125">
        <v>0.5</v>
      </c>
      <c r="H222" s="125" t="s">
        <v>30</v>
      </c>
      <c r="K222" s="125">
        <v>402.0</v>
      </c>
      <c r="O222" s="125" t="s">
        <v>74</v>
      </c>
      <c r="P222" s="125" t="s">
        <v>189</v>
      </c>
    </row>
    <row r="223" ht="15.75" customHeight="1">
      <c r="B223" s="125" t="s">
        <v>368</v>
      </c>
      <c r="C223" s="125" t="s">
        <v>2284</v>
      </c>
      <c r="D223" s="125" t="s">
        <v>2241</v>
      </c>
      <c r="F223" s="125">
        <v>1.25</v>
      </c>
      <c r="H223" s="125" t="s">
        <v>30</v>
      </c>
      <c r="K223" s="125" t="s">
        <v>172</v>
      </c>
      <c r="O223" s="125" t="s">
        <v>74</v>
      </c>
      <c r="P223" s="125" t="s">
        <v>189</v>
      </c>
    </row>
    <row r="224" ht="15.75" customHeight="1">
      <c r="B224" s="125" t="s">
        <v>2289</v>
      </c>
      <c r="C224" s="125" t="s">
        <v>2284</v>
      </c>
      <c r="D224" s="125" t="s">
        <v>2241</v>
      </c>
      <c r="F224" s="125">
        <v>0.5</v>
      </c>
      <c r="H224" s="125" t="s">
        <v>30</v>
      </c>
      <c r="K224" s="125" t="s">
        <v>172</v>
      </c>
      <c r="O224" s="125" t="s">
        <v>74</v>
      </c>
      <c r="P224" s="125" t="s">
        <v>189</v>
      </c>
    </row>
    <row r="225" ht="15.75" customHeight="1">
      <c r="B225" s="125" t="s">
        <v>2290</v>
      </c>
      <c r="C225" s="125" t="s">
        <v>2291</v>
      </c>
      <c r="D225" s="125" t="s">
        <v>2292</v>
      </c>
      <c r="F225" s="125">
        <v>1.0</v>
      </c>
      <c r="H225" s="125" t="s">
        <v>30</v>
      </c>
      <c r="I225" s="125" t="s">
        <v>2253</v>
      </c>
      <c r="O225" s="125" t="s">
        <v>74</v>
      </c>
      <c r="P225" s="125" t="s">
        <v>188</v>
      </c>
    </row>
    <row r="226" ht="15.75" customHeight="1">
      <c r="B226" s="125" t="s">
        <v>2293</v>
      </c>
      <c r="C226" s="125" t="s">
        <v>2208</v>
      </c>
      <c r="D226" s="125" t="s">
        <v>782</v>
      </c>
      <c r="F226" s="125">
        <v>1.0</v>
      </c>
      <c r="H226" s="125" t="s">
        <v>30</v>
      </c>
      <c r="I226" s="125" t="s">
        <v>2049</v>
      </c>
      <c r="O226" s="125" t="s">
        <v>74</v>
      </c>
      <c r="P226" s="125" t="s">
        <v>188</v>
      </c>
    </row>
    <row r="227" ht="15.75" customHeight="1">
      <c r="B227" s="125" t="s">
        <v>2294</v>
      </c>
      <c r="C227" s="125" t="s">
        <v>2210</v>
      </c>
      <c r="D227" s="125" t="s">
        <v>782</v>
      </c>
      <c r="F227" s="125">
        <v>1.0</v>
      </c>
      <c r="H227" s="125" t="s">
        <v>30</v>
      </c>
      <c r="I227" s="125" t="s">
        <v>2049</v>
      </c>
      <c r="O227" s="125" t="s">
        <v>74</v>
      </c>
      <c r="P227" s="125" t="s">
        <v>188</v>
      </c>
    </row>
    <row r="228" ht="15.75" customHeight="1">
      <c r="B228" s="125" t="s">
        <v>2201</v>
      </c>
      <c r="C228" s="125" t="s">
        <v>2202</v>
      </c>
      <c r="D228" s="125" t="s">
        <v>782</v>
      </c>
      <c r="F228" s="125">
        <v>3.0</v>
      </c>
      <c r="H228" s="125" t="s">
        <v>30</v>
      </c>
      <c r="I228" s="125" t="s">
        <v>2049</v>
      </c>
      <c r="O228" s="125" t="s">
        <v>74</v>
      </c>
      <c r="P228" s="125" t="s">
        <v>188</v>
      </c>
    </row>
    <row r="229" ht="15.75" customHeight="1">
      <c r="B229" s="125" t="s">
        <v>2214</v>
      </c>
      <c r="C229" s="125" t="s">
        <v>1892</v>
      </c>
      <c r="D229" s="125" t="s">
        <v>782</v>
      </c>
      <c r="F229" s="125">
        <v>2.0</v>
      </c>
      <c r="H229" s="125" t="s">
        <v>30</v>
      </c>
      <c r="I229" s="125" t="s">
        <v>2049</v>
      </c>
      <c r="O229" s="125" t="s">
        <v>74</v>
      </c>
      <c r="P229" s="125" t="s">
        <v>188</v>
      </c>
    </row>
    <row r="230" ht="15.75" customHeight="1">
      <c r="B230" s="125" t="s">
        <v>2295</v>
      </c>
      <c r="C230" s="125" t="s">
        <v>2212</v>
      </c>
      <c r="D230" s="125" t="s">
        <v>398</v>
      </c>
      <c r="F230" s="125">
        <v>1.0</v>
      </c>
      <c r="H230" s="125" t="s">
        <v>30</v>
      </c>
      <c r="I230" s="125" t="s">
        <v>2049</v>
      </c>
      <c r="O230" s="125" t="s">
        <v>74</v>
      </c>
      <c r="P230" s="125" t="s">
        <v>188</v>
      </c>
    </row>
    <row r="231" ht="15.75" customHeight="1">
      <c r="B231" s="125" t="s">
        <v>396</v>
      </c>
      <c r="C231" s="125" t="s">
        <v>397</v>
      </c>
      <c r="D231" s="125" t="s">
        <v>398</v>
      </c>
      <c r="F231" s="125">
        <v>1.0</v>
      </c>
      <c r="H231" s="125" t="s">
        <v>30</v>
      </c>
      <c r="I231" s="125" t="s">
        <v>2049</v>
      </c>
      <c r="O231" s="125" t="s">
        <v>74</v>
      </c>
      <c r="P231" s="125" t="s">
        <v>188</v>
      </c>
    </row>
    <row r="232" ht="15.75" customHeight="1">
      <c r="B232" s="125" t="s">
        <v>2296</v>
      </c>
      <c r="C232" s="125" t="s">
        <v>1868</v>
      </c>
      <c r="D232" s="125" t="s">
        <v>398</v>
      </c>
      <c r="F232" s="125">
        <v>0.25</v>
      </c>
      <c r="H232" s="125" t="s">
        <v>30</v>
      </c>
      <c r="I232" s="125" t="s">
        <v>2049</v>
      </c>
      <c r="O232" s="125" t="s">
        <v>74</v>
      </c>
      <c r="P232" s="125" t="s">
        <v>188</v>
      </c>
    </row>
    <row r="233" ht="15.75" customHeight="1">
      <c r="B233" s="125" t="s">
        <v>1867</v>
      </c>
      <c r="C233" s="125" t="s">
        <v>1868</v>
      </c>
      <c r="D233" s="125" t="s">
        <v>398</v>
      </c>
      <c r="F233" s="125">
        <v>2.0</v>
      </c>
      <c r="H233" s="125" t="s">
        <v>30</v>
      </c>
      <c r="I233" s="125" t="s">
        <v>2049</v>
      </c>
      <c r="O233" s="125" t="s">
        <v>74</v>
      </c>
      <c r="P233" s="125" t="s">
        <v>188</v>
      </c>
    </row>
    <row r="234" ht="15.75" customHeight="1">
      <c r="B234" s="125" t="s">
        <v>989</v>
      </c>
      <c r="C234" s="125" t="s">
        <v>1869</v>
      </c>
      <c r="D234" s="125" t="s">
        <v>1870</v>
      </c>
      <c r="F234" s="125">
        <v>2.0</v>
      </c>
      <c r="H234" s="125" t="s">
        <v>30</v>
      </c>
      <c r="I234" s="125" t="s">
        <v>2049</v>
      </c>
      <c r="O234" s="125" t="s">
        <v>74</v>
      </c>
      <c r="P234" s="125" t="s">
        <v>188</v>
      </c>
    </row>
    <row r="235" ht="15.75" customHeight="1">
      <c r="B235" s="125" t="s">
        <v>2297</v>
      </c>
      <c r="C235" s="125" t="s">
        <v>2298</v>
      </c>
      <c r="D235" s="125" t="s">
        <v>2299</v>
      </c>
      <c r="F235" s="125">
        <v>0.75</v>
      </c>
      <c r="H235" s="125" t="s">
        <v>30</v>
      </c>
      <c r="I235" s="125" t="s">
        <v>2049</v>
      </c>
      <c r="O235" s="125" t="s">
        <v>74</v>
      </c>
      <c r="P235" s="125" t="s">
        <v>188</v>
      </c>
    </row>
    <row r="236" ht="15.75" customHeight="1">
      <c r="B236" s="125" t="s">
        <v>664</v>
      </c>
      <c r="C236" s="125" t="s">
        <v>2278</v>
      </c>
      <c r="D236" s="125" t="s">
        <v>2300</v>
      </c>
      <c r="F236" s="125">
        <v>0.25</v>
      </c>
      <c r="H236" s="125" t="s">
        <v>30</v>
      </c>
      <c r="I236" s="125" t="s">
        <v>2049</v>
      </c>
      <c r="O236" s="125" t="s">
        <v>74</v>
      </c>
      <c r="P236" s="125" t="s">
        <v>188</v>
      </c>
    </row>
    <row r="237" ht="15.75" customHeight="1">
      <c r="B237" s="125" t="s">
        <v>2301</v>
      </c>
      <c r="C237" s="125" t="s">
        <v>1870</v>
      </c>
      <c r="D237" s="125" t="s">
        <v>2302</v>
      </c>
      <c r="F237" s="125">
        <v>1.0</v>
      </c>
      <c r="H237" s="125" t="s">
        <v>30</v>
      </c>
      <c r="I237" s="125" t="s">
        <v>2049</v>
      </c>
      <c r="O237" s="125" t="s">
        <v>74</v>
      </c>
      <c r="P237" s="125" t="s">
        <v>188</v>
      </c>
    </row>
    <row r="238" ht="15.75" customHeight="1">
      <c r="B238" s="125" t="s">
        <v>2303</v>
      </c>
      <c r="C238" s="125" t="s">
        <v>1870</v>
      </c>
      <c r="D238" s="125" t="s">
        <v>2302</v>
      </c>
      <c r="F238" s="125">
        <v>1.0</v>
      </c>
      <c r="H238" s="125" t="s">
        <v>30</v>
      </c>
      <c r="I238" s="125" t="s">
        <v>2049</v>
      </c>
      <c r="O238" s="125" t="s">
        <v>74</v>
      </c>
      <c r="P238" s="125" t="s">
        <v>188</v>
      </c>
    </row>
    <row r="239" ht="15.75" customHeight="1">
      <c r="B239" s="125" t="s">
        <v>2250</v>
      </c>
      <c r="C239" s="125" t="s">
        <v>2251</v>
      </c>
      <c r="D239" s="125" t="s">
        <v>2252</v>
      </c>
      <c r="F239" s="125">
        <v>1.0</v>
      </c>
      <c r="H239" s="125" t="s">
        <v>30</v>
      </c>
      <c r="I239" s="125" t="s">
        <v>2049</v>
      </c>
      <c r="O239" s="125" t="s">
        <v>74</v>
      </c>
      <c r="P239" s="125" t="s">
        <v>188</v>
      </c>
    </row>
    <row r="240" ht="15.75" customHeight="1">
      <c r="B240" s="125" t="s">
        <v>1417</v>
      </c>
      <c r="C240" s="125" t="s">
        <v>2304</v>
      </c>
      <c r="D240" s="125" t="s">
        <v>2305</v>
      </c>
      <c r="F240" s="125">
        <v>1.0</v>
      </c>
      <c r="H240" s="125" t="s">
        <v>30</v>
      </c>
      <c r="I240" s="125" t="s">
        <v>2049</v>
      </c>
      <c r="O240" s="125" t="s">
        <v>74</v>
      </c>
      <c r="P240" s="125" t="s">
        <v>188</v>
      </c>
    </row>
    <row r="241" ht="15.75" customHeight="1">
      <c r="B241" s="125" t="s">
        <v>2306</v>
      </c>
      <c r="C241" s="125" t="s">
        <v>2307</v>
      </c>
      <c r="D241" s="125" t="s">
        <v>2308</v>
      </c>
      <c r="F241" s="125">
        <v>1.0</v>
      </c>
      <c r="H241" s="125" t="s">
        <v>30</v>
      </c>
      <c r="I241" s="125" t="s">
        <v>2049</v>
      </c>
      <c r="O241" s="125" t="s">
        <v>74</v>
      </c>
      <c r="P241" s="125" t="s">
        <v>188</v>
      </c>
    </row>
    <row r="242" ht="15.75" customHeight="1">
      <c r="B242" s="125" t="s">
        <v>2235</v>
      </c>
      <c r="C242" s="125" t="s">
        <v>2309</v>
      </c>
      <c r="D242" s="125" t="s">
        <v>2261</v>
      </c>
      <c r="F242" s="125">
        <v>0.5</v>
      </c>
      <c r="H242" s="125" t="s">
        <v>30</v>
      </c>
      <c r="I242" s="125" t="s">
        <v>2049</v>
      </c>
      <c r="O242" s="125" t="s">
        <v>74</v>
      </c>
      <c r="P242" s="125" t="s">
        <v>188</v>
      </c>
    </row>
    <row r="243" ht="15.75" customHeight="1">
      <c r="B243" s="125" t="s">
        <v>2310</v>
      </c>
      <c r="C243" s="125" t="s">
        <v>478</v>
      </c>
      <c r="D243" s="125" t="s">
        <v>2261</v>
      </c>
      <c r="F243" s="125">
        <v>1.0</v>
      </c>
      <c r="H243" s="125" t="s">
        <v>30</v>
      </c>
      <c r="I243" s="125" t="s">
        <v>2049</v>
      </c>
      <c r="O243" s="125" t="s">
        <v>74</v>
      </c>
      <c r="P243" s="125" t="s">
        <v>188</v>
      </c>
    </row>
    <row r="244" ht="15.75" customHeight="1">
      <c r="B244" s="125" t="s">
        <v>1817</v>
      </c>
      <c r="C244" s="125" t="s">
        <v>2311</v>
      </c>
      <c r="D244" s="125" t="s">
        <v>2261</v>
      </c>
      <c r="F244" s="125">
        <v>1.0</v>
      </c>
      <c r="H244" s="125" t="s">
        <v>30</v>
      </c>
      <c r="I244" s="125" t="s">
        <v>2049</v>
      </c>
      <c r="O244" s="125" t="s">
        <v>74</v>
      </c>
      <c r="P244" s="125" t="s">
        <v>188</v>
      </c>
    </row>
    <row r="245" ht="15.75" customHeight="1">
      <c r="B245" s="125" t="s">
        <v>2312</v>
      </c>
      <c r="C245" s="125" t="s">
        <v>478</v>
      </c>
      <c r="D245" s="125" t="s">
        <v>2261</v>
      </c>
      <c r="F245" s="125">
        <v>1.0</v>
      </c>
      <c r="H245" s="125" t="s">
        <v>30</v>
      </c>
      <c r="I245" s="125" t="s">
        <v>2049</v>
      </c>
      <c r="O245" s="125" t="s">
        <v>74</v>
      </c>
      <c r="P245" s="125" t="s">
        <v>188</v>
      </c>
    </row>
    <row r="246" ht="15.75" customHeight="1">
      <c r="B246" s="125" t="s">
        <v>2313</v>
      </c>
      <c r="C246" s="125" t="s">
        <v>2278</v>
      </c>
      <c r="D246" s="125" t="s">
        <v>2261</v>
      </c>
      <c r="F246" s="125">
        <v>1.0</v>
      </c>
      <c r="H246" s="125" t="s">
        <v>30</v>
      </c>
      <c r="I246" s="125" t="s">
        <v>2049</v>
      </c>
      <c r="O246" s="125" t="s">
        <v>74</v>
      </c>
      <c r="P246" s="125" t="s">
        <v>188</v>
      </c>
    </row>
    <row r="247" ht="15.75" customHeight="1">
      <c r="B247" s="125" t="s">
        <v>2314</v>
      </c>
      <c r="C247" s="125" t="s">
        <v>2315</v>
      </c>
      <c r="D247" s="125" t="s">
        <v>2261</v>
      </c>
      <c r="F247" s="125">
        <v>1.0</v>
      </c>
      <c r="H247" s="125" t="s">
        <v>30</v>
      </c>
      <c r="I247" s="125" t="s">
        <v>2049</v>
      </c>
      <c r="O247" s="125" t="s">
        <v>74</v>
      </c>
      <c r="P247" s="125" t="s">
        <v>188</v>
      </c>
    </row>
    <row r="248" ht="15.75" customHeight="1">
      <c r="B248" s="125" t="s">
        <v>728</v>
      </c>
      <c r="C248" s="125" t="s">
        <v>2316</v>
      </c>
      <c r="D248" s="125" t="s">
        <v>2317</v>
      </c>
      <c r="F248" s="125">
        <v>1.0</v>
      </c>
      <c r="H248" s="125" t="s">
        <v>30</v>
      </c>
      <c r="I248" s="125" t="s">
        <v>2049</v>
      </c>
      <c r="O248" s="125" t="s">
        <v>74</v>
      </c>
      <c r="P248" s="125" t="s">
        <v>188</v>
      </c>
    </row>
    <row r="249" ht="15.75" customHeight="1">
      <c r="B249" s="125" t="s">
        <v>2318</v>
      </c>
      <c r="C249" s="125" t="s">
        <v>585</v>
      </c>
      <c r="D249" s="125" t="s">
        <v>2317</v>
      </c>
      <c r="F249" s="125">
        <v>1.0</v>
      </c>
      <c r="H249" s="125" t="s">
        <v>30</v>
      </c>
      <c r="I249" s="125" t="s">
        <v>2049</v>
      </c>
      <c r="O249" s="125" t="s">
        <v>74</v>
      </c>
      <c r="P249" s="125" t="s">
        <v>188</v>
      </c>
    </row>
    <row r="250" ht="15.75" customHeight="1">
      <c r="B250" s="125" t="s">
        <v>2319</v>
      </c>
      <c r="C250" s="125" t="s">
        <v>2320</v>
      </c>
      <c r="D250" s="125" t="s">
        <v>2321</v>
      </c>
      <c r="F250" s="125">
        <v>1.0</v>
      </c>
      <c r="H250" s="125" t="s">
        <v>30</v>
      </c>
      <c r="I250" s="125" t="s">
        <v>2049</v>
      </c>
      <c r="O250" s="125" t="s">
        <v>74</v>
      </c>
      <c r="P250" s="125" t="s">
        <v>188</v>
      </c>
    </row>
    <row r="251" ht="15.75" customHeight="1">
      <c r="B251" s="125" t="s">
        <v>420</v>
      </c>
      <c r="C251" s="125" t="s">
        <v>1876</v>
      </c>
      <c r="D251" s="125" t="s">
        <v>1877</v>
      </c>
      <c r="F251" s="125">
        <v>2.0</v>
      </c>
      <c r="H251" s="125" t="s">
        <v>30</v>
      </c>
      <c r="I251" s="125" t="s">
        <v>2049</v>
      </c>
      <c r="O251" s="125" t="s">
        <v>74</v>
      </c>
      <c r="P251" s="125" t="s">
        <v>188</v>
      </c>
    </row>
    <row r="252" ht="15.75" customHeight="1">
      <c r="B252" s="125" t="s">
        <v>2322</v>
      </c>
      <c r="C252" s="125" t="s">
        <v>2323</v>
      </c>
      <c r="D252" s="125" t="s">
        <v>2324</v>
      </c>
      <c r="F252" s="125">
        <v>1.0</v>
      </c>
      <c r="H252" s="125" t="s">
        <v>30</v>
      </c>
      <c r="I252" s="125" t="s">
        <v>2049</v>
      </c>
      <c r="O252" s="125" t="s">
        <v>74</v>
      </c>
      <c r="P252" s="125" t="s">
        <v>188</v>
      </c>
    </row>
    <row r="253" ht="15.75" customHeight="1">
      <c r="B253" s="125" t="s">
        <v>954</v>
      </c>
      <c r="C253" s="125" t="s">
        <v>1878</v>
      </c>
      <c r="D253" s="125" t="s">
        <v>941</v>
      </c>
      <c r="F253" s="125">
        <v>2.0</v>
      </c>
      <c r="H253" s="125" t="s">
        <v>30</v>
      </c>
      <c r="I253" s="125" t="s">
        <v>2049</v>
      </c>
      <c r="O253" s="125" t="s">
        <v>74</v>
      </c>
      <c r="P253" s="125" t="s">
        <v>188</v>
      </c>
    </row>
    <row r="254" ht="15.75" customHeight="1">
      <c r="B254" s="125" t="s">
        <v>927</v>
      </c>
      <c r="C254" s="125" t="s">
        <v>1879</v>
      </c>
      <c r="D254" s="125" t="s">
        <v>1880</v>
      </c>
      <c r="F254" s="125">
        <v>1.0</v>
      </c>
      <c r="H254" s="125" t="s">
        <v>30</v>
      </c>
      <c r="I254" s="125" t="s">
        <v>2049</v>
      </c>
      <c r="O254" s="125" t="s">
        <v>74</v>
      </c>
      <c r="P254" s="125" t="s">
        <v>188</v>
      </c>
    </row>
    <row r="255" ht="15.75" customHeight="1">
      <c r="B255" s="125" t="s">
        <v>2325</v>
      </c>
      <c r="C255" s="125" t="s">
        <v>2326</v>
      </c>
      <c r="D255" s="125" t="s">
        <v>1025</v>
      </c>
      <c r="F255" s="125">
        <v>1.0</v>
      </c>
      <c r="H255" s="125" t="s">
        <v>30</v>
      </c>
      <c r="I255" s="125" t="s">
        <v>2049</v>
      </c>
      <c r="O255" s="125" t="s">
        <v>74</v>
      </c>
      <c r="P255" s="125" t="s">
        <v>188</v>
      </c>
    </row>
    <row r="256" ht="15.75" customHeight="1">
      <c r="B256" s="125" t="s">
        <v>2327</v>
      </c>
      <c r="C256" s="125" t="s">
        <v>1870</v>
      </c>
      <c r="D256" s="125" t="s">
        <v>350</v>
      </c>
      <c r="F256" s="125">
        <v>1.0</v>
      </c>
      <c r="H256" s="125" t="s">
        <v>30</v>
      </c>
      <c r="I256" s="125" t="s">
        <v>2049</v>
      </c>
      <c r="O256" s="125" t="s">
        <v>74</v>
      </c>
      <c r="P256" s="125" t="s">
        <v>188</v>
      </c>
    </row>
    <row r="257" ht="15.75" customHeight="1">
      <c r="B257" s="125" t="s">
        <v>2328</v>
      </c>
      <c r="C257" s="125" t="s">
        <v>1870</v>
      </c>
      <c r="D257" s="125" t="s">
        <v>350</v>
      </c>
      <c r="F257" s="125">
        <v>1.0</v>
      </c>
      <c r="H257" s="125" t="s">
        <v>30</v>
      </c>
      <c r="I257" s="125" t="s">
        <v>2049</v>
      </c>
      <c r="O257" s="125" t="s">
        <v>74</v>
      </c>
      <c r="P257" s="125" t="s">
        <v>188</v>
      </c>
    </row>
    <row r="258" ht="15.75" customHeight="1">
      <c r="B258" s="125" t="s">
        <v>1040</v>
      </c>
      <c r="C258" s="125" t="s">
        <v>2224</v>
      </c>
      <c r="D258" s="125" t="s">
        <v>1884</v>
      </c>
      <c r="F258" s="125">
        <v>1.0</v>
      </c>
      <c r="H258" s="125" t="s">
        <v>30</v>
      </c>
      <c r="I258" s="125" t="s">
        <v>2049</v>
      </c>
      <c r="O258" s="125" t="s">
        <v>74</v>
      </c>
      <c r="P258" s="125" t="s">
        <v>188</v>
      </c>
    </row>
    <row r="259" ht="15.75" customHeight="1">
      <c r="B259" s="125" t="s">
        <v>93</v>
      </c>
      <c r="C259" s="125" t="s">
        <v>2261</v>
      </c>
      <c r="D259" s="125" t="s">
        <v>2262</v>
      </c>
      <c r="F259" s="125">
        <v>2.5</v>
      </c>
      <c r="H259" s="125" t="s">
        <v>30</v>
      </c>
      <c r="I259" s="125" t="s">
        <v>2049</v>
      </c>
      <c r="O259" s="125" t="s">
        <v>74</v>
      </c>
      <c r="P259" s="125" t="s">
        <v>188</v>
      </c>
    </row>
    <row r="260" ht="15.75" customHeight="1">
      <c r="B260" s="125" t="s">
        <v>2329</v>
      </c>
      <c r="C260" s="125" t="s">
        <v>1892</v>
      </c>
      <c r="D260" s="125" t="s">
        <v>2330</v>
      </c>
      <c r="F260" s="125">
        <v>0.5</v>
      </c>
      <c r="H260" s="125" t="s">
        <v>30</v>
      </c>
      <c r="I260" s="125" t="s">
        <v>2049</v>
      </c>
      <c r="O260" s="125" t="s">
        <v>74</v>
      </c>
      <c r="P260" s="125" t="s">
        <v>188</v>
      </c>
    </row>
    <row r="261" ht="15.75" customHeight="1">
      <c r="B261" s="125" t="s">
        <v>2159</v>
      </c>
      <c r="C261" s="125" t="s">
        <v>2263</v>
      </c>
      <c r="D261" s="125" t="s">
        <v>2264</v>
      </c>
      <c r="F261" s="125">
        <v>0.5</v>
      </c>
      <c r="H261" s="125" t="s">
        <v>30</v>
      </c>
      <c r="I261" s="125" t="s">
        <v>2049</v>
      </c>
      <c r="O261" s="125" t="s">
        <v>74</v>
      </c>
      <c r="P261" s="125" t="s">
        <v>188</v>
      </c>
    </row>
    <row r="262" ht="15.75" customHeight="1">
      <c r="B262" s="125" t="s">
        <v>2331</v>
      </c>
      <c r="C262" s="125" t="s">
        <v>403</v>
      </c>
      <c r="D262" s="125" t="s">
        <v>2332</v>
      </c>
      <c r="F262" s="125">
        <v>1.0</v>
      </c>
      <c r="H262" s="125" t="s">
        <v>30</v>
      </c>
      <c r="I262" s="125" t="s">
        <v>2049</v>
      </c>
      <c r="O262" s="125" t="s">
        <v>74</v>
      </c>
      <c r="P262" s="125" t="s">
        <v>188</v>
      </c>
    </row>
    <row r="263" ht="15.75" customHeight="1">
      <c r="B263" s="125" t="s">
        <v>2333</v>
      </c>
      <c r="C263" s="125" t="s">
        <v>516</v>
      </c>
      <c r="D263" s="125" t="s">
        <v>2284</v>
      </c>
      <c r="F263" s="125">
        <v>1.0</v>
      </c>
      <c r="H263" s="125" t="s">
        <v>30</v>
      </c>
      <c r="I263" s="125" t="s">
        <v>2049</v>
      </c>
      <c r="O263" s="125" t="s">
        <v>74</v>
      </c>
      <c r="P263" s="125" t="s">
        <v>188</v>
      </c>
    </row>
    <row r="264" ht="15.75" customHeight="1">
      <c r="B264" s="125" t="s">
        <v>165</v>
      </c>
      <c r="C264" s="125" t="s">
        <v>2265</v>
      </c>
      <c r="D264" s="125" t="s">
        <v>2266</v>
      </c>
      <c r="F264" s="125">
        <v>3.0</v>
      </c>
      <c r="H264" s="125" t="s">
        <v>30</v>
      </c>
      <c r="I264" s="125" t="s">
        <v>2049</v>
      </c>
      <c r="O264" s="125" t="s">
        <v>74</v>
      </c>
      <c r="P264" s="125" t="s">
        <v>188</v>
      </c>
    </row>
    <row r="265" ht="15.75" customHeight="1">
      <c r="B265" s="125" t="s">
        <v>2334</v>
      </c>
      <c r="C265" s="125" t="s">
        <v>782</v>
      </c>
      <c r="D265" s="125" t="s">
        <v>2335</v>
      </c>
      <c r="F265" s="125">
        <v>1.0</v>
      </c>
      <c r="H265" s="125" t="s">
        <v>30</v>
      </c>
      <c r="I265" s="125" t="s">
        <v>2049</v>
      </c>
      <c r="O265" s="125" t="s">
        <v>74</v>
      </c>
      <c r="P265" s="125" t="s">
        <v>188</v>
      </c>
    </row>
    <row r="266" ht="15.75" customHeight="1">
      <c r="B266" s="125" t="s">
        <v>2336</v>
      </c>
      <c r="C266" s="125" t="s">
        <v>2337</v>
      </c>
      <c r="D266" s="125" t="s">
        <v>2338</v>
      </c>
      <c r="F266" s="125">
        <v>1.0</v>
      </c>
      <c r="H266" s="125" t="s">
        <v>30</v>
      </c>
      <c r="I266" s="125" t="s">
        <v>2049</v>
      </c>
      <c r="O266" s="125" t="s">
        <v>74</v>
      </c>
      <c r="P266" s="125" t="s">
        <v>188</v>
      </c>
    </row>
    <row r="267" ht="15.75" customHeight="1">
      <c r="B267" s="125" t="s">
        <v>2339</v>
      </c>
      <c r="C267" s="125" t="s">
        <v>2287</v>
      </c>
      <c r="D267" s="125" t="s">
        <v>400</v>
      </c>
      <c r="F267" s="125">
        <v>1.0</v>
      </c>
      <c r="H267" s="125" t="s">
        <v>30</v>
      </c>
      <c r="I267" s="125" t="s">
        <v>2049</v>
      </c>
      <c r="O267" s="125" t="s">
        <v>74</v>
      </c>
      <c r="P267" s="125" t="s">
        <v>188</v>
      </c>
    </row>
    <row r="268" ht="15.75" customHeight="1">
      <c r="B268" s="125" t="s">
        <v>748</v>
      </c>
      <c r="C268" s="125" t="s">
        <v>1367</v>
      </c>
      <c r="D268" s="125" t="s">
        <v>2340</v>
      </c>
      <c r="F268" s="125">
        <v>1.0</v>
      </c>
      <c r="H268" s="125" t="s">
        <v>30</v>
      </c>
      <c r="I268" s="125" t="s">
        <v>2049</v>
      </c>
      <c r="O268" s="125" t="s">
        <v>74</v>
      </c>
      <c r="P268" s="125" t="s">
        <v>188</v>
      </c>
    </row>
    <row r="269" ht="15.75" customHeight="1">
      <c r="B269" s="125" t="s">
        <v>2341</v>
      </c>
      <c r="C269" s="125" t="s">
        <v>2342</v>
      </c>
      <c r="D269" s="125" t="s">
        <v>2343</v>
      </c>
      <c r="F269" s="125">
        <v>0.5</v>
      </c>
      <c r="H269" s="125" t="s">
        <v>30</v>
      </c>
      <c r="I269" s="125" t="s">
        <v>2049</v>
      </c>
      <c r="O269" s="125" t="s">
        <v>74</v>
      </c>
      <c r="P269" s="125" t="s">
        <v>188</v>
      </c>
    </row>
    <row r="270" ht="15.75" customHeight="1">
      <c r="B270" s="125" t="s">
        <v>2344</v>
      </c>
      <c r="C270" s="125" t="s">
        <v>2345</v>
      </c>
      <c r="D270" s="125" t="s">
        <v>2276</v>
      </c>
      <c r="F270" s="125">
        <v>1.0</v>
      </c>
      <c r="H270" s="125" t="s">
        <v>30</v>
      </c>
      <c r="I270" s="125" t="s">
        <v>2049</v>
      </c>
      <c r="O270" s="125" t="s">
        <v>74</v>
      </c>
      <c r="P270" s="125" t="s">
        <v>188</v>
      </c>
    </row>
    <row r="271" ht="15.75" customHeight="1">
      <c r="B271" s="125" t="s">
        <v>2275</v>
      </c>
      <c r="C271" s="125" t="s">
        <v>2241</v>
      </c>
      <c r="D271" s="125" t="s">
        <v>2276</v>
      </c>
      <c r="F271" s="125">
        <v>3.5</v>
      </c>
      <c r="H271" s="125" t="s">
        <v>30</v>
      </c>
      <c r="I271" s="125" t="s">
        <v>2049</v>
      </c>
      <c r="O271" s="125" t="s">
        <v>74</v>
      </c>
      <c r="P271" s="125" t="s">
        <v>188</v>
      </c>
    </row>
    <row r="272" ht="15.75" customHeight="1">
      <c r="B272" s="125" t="s">
        <v>2277</v>
      </c>
      <c r="C272" s="125" t="s">
        <v>2278</v>
      </c>
      <c r="D272" s="125" t="s">
        <v>2276</v>
      </c>
      <c r="F272" s="125">
        <v>1.0</v>
      </c>
      <c r="H272" s="125" t="s">
        <v>30</v>
      </c>
      <c r="I272" s="125" t="s">
        <v>2049</v>
      </c>
      <c r="O272" s="125" t="s">
        <v>74</v>
      </c>
      <c r="P272" s="125" t="s">
        <v>188</v>
      </c>
    </row>
    <row r="273" ht="15.75" customHeight="1">
      <c r="B273" s="125" t="s">
        <v>2346</v>
      </c>
      <c r="C273" s="125" t="s">
        <v>1915</v>
      </c>
      <c r="D273" s="125" t="s">
        <v>2276</v>
      </c>
      <c r="F273" s="125">
        <v>1.5</v>
      </c>
      <c r="H273" s="125" t="s">
        <v>30</v>
      </c>
      <c r="I273" s="125" t="s">
        <v>2049</v>
      </c>
      <c r="O273" s="125" t="s">
        <v>74</v>
      </c>
      <c r="P273" s="125" t="s">
        <v>188</v>
      </c>
    </row>
    <row r="274" ht="15.75" customHeight="1">
      <c r="B274" s="125" t="s">
        <v>2287</v>
      </c>
      <c r="C274" s="125" t="s">
        <v>1874</v>
      </c>
      <c r="D274" s="125" t="s">
        <v>2347</v>
      </c>
      <c r="F274" s="125">
        <v>0.5</v>
      </c>
      <c r="H274" s="125" t="s">
        <v>30</v>
      </c>
      <c r="I274" s="125" t="s">
        <v>2049</v>
      </c>
      <c r="O274" s="125" t="s">
        <v>74</v>
      </c>
      <c r="P274" s="125" t="s">
        <v>188</v>
      </c>
    </row>
    <row r="275" ht="15.75" customHeight="1">
      <c r="B275" s="125" t="s">
        <v>2348</v>
      </c>
      <c r="C275" s="125" t="s">
        <v>2349</v>
      </c>
      <c r="D275" s="125" t="s">
        <v>2350</v>
      </c>
      <c r="F275" s="125">
        <v>0.75</v>
      </c>
      <c r="H275" s="125" t="s">
        <v>30</v>
      </c>
      <c r="I275" s="125" t="s">
        <v>2049</v>
      </c>
      <c r="O275" s="125" t="s">
        <v>74</v>
      </c>
      <c r="P275" s="125" t="s">
        <v>188</v>
      </c>
    </row>
    <row r="276" ht="15.75" customHeight="1">
      <c r="B276" s="125" t="s">
        <v>2351</v>
      </c>
      <c r="C276" s="125" t="s">
        <v>2352</v>
      </c>
      <c r="D276" s="125" t="s">
        <v>478</v>
      </c>
      <c r="F276" s="125">
        <v>1.0</v>
      </c>
      <c r="H276" s="125" t="s">
        <v>30</v>
      </c>
      <c r="I276" s="125" t="s">
        <v>2049</v>
      </c>
      <c r="O276" s="125" t="s">
        <v>74</v>
      </c>
      <c r="P276" s="125" t="s">
        <v>188</v>
      </c>
    </row>
    <row r="277" ht="15.75" customHeight="1">
      <c r="B277" s="125" t="s">
        <v>585</v>
      </c>
      <c r="C277" s="125" t="s">
        <v>2284</v>
      </c>
      <c r="D277" s="125" t="s">
        <v>478</v>
      </c>
      <c r="F277" s="125">
        <v>2.5</v>
      </c>
      <c r="H277" s="125" t="s">
        <v>30</v>
      </c>
      <c r="I277" s="125" t="s">
        <v>2049</v>
      </c>
      <c r="O277" s="125" t="s">
        <v>74</v>
      </c>
      <c r="P277" s="125" t="s">
        <v>188</v>
      </c>
    </row>
    <row r="278" ht="15.75" customHeight="1">
      <c r="B278" s="125" t="s">
        <v>1897</v>
      </c>
      <c r="C278" s="125" t="s">
        <v>1898</v>
      </c>
      <c r="D278" s="125" t="s">
        <v>1899</v>
      </c>
      <c r="F278" s="125">
        <v>2.0</v>
      </c>
      <c r="H278" s="125" t="s">
        <v>30</v>
      </c>
      <c r="I278" s="125" t="s">
        <v>2049</v>
      </c>
      <c r="O278" s="125" t="s">
        <v>74</v>
      </c>
      <c r="P278" s="125" t="s">
        <v>188</v>
      </c>
    </row>
    <row r="279" ht="15.75" customHeight="1">
      <c r="B279" s="125" t="s">
        <v>2353</v>
      </c>
      <c r="C279" s="125" t="s">
        <v>2320</v>
      </c>
      <c r="D279" s="125" t="s">
        <v>2354</v>
      </c>
      <c r="F279" s="125">
        <v>1.0</v>
      </c>
      <c r="H279" s="125" t="s">
        <v>30</v>
      </c>
      <c r="I279" s="125" t="s">
        <v>2049</v>
      </c>
      <c r="O279" s="125" t="s">
        <v>74</v>
      </c>
      <c r="P279" s="125" t="s">
        <v>188</v>
      </c>
    </row>
    <row r="280" ht="15.75" customHeight="1">
      <c r="B280" s="125" t="s">
        <v>2355</v>
      </c>
      <c r="C280" s="125" t="s">
        <v>2356</v>
      </c>
      <c r="D280" s="125" t="s">
        <v>2357</v>
      </c>
      <c r="F280" s="125">
        <v>1.0</v>
      </c>
      <c r="H280" s="125" t="s">
        <v>30</v>
      </c>
      <c r="I280" s="125" t="s">
        <v>2049</v>
      </c>
      <c r="O280" s="125" t="s">
        <v>74</v>
      </c>
      <c r="P280" s="125" t="s">
        <v>188</v>
      </c>
    </row>
    <row r="281" ht="15.75" customHeight="1">
      <c r="B281" s="125" t="s">
        <v>2358</v>
      </c>
      <c r="C281" s="125" t="s">
        <v>2359</v>
      </c>
      <c r="D281" s="125" t="s">
        <v>2360</v>
      </c>
      <c r="F281" s="125">
        <v>1.5</v>
      </c>
      <c r="H281" s="125" t="s">
        <v>30</v>
      </c>
      <c r="I281" s="125" t="s">
        <v>2049</v>
      </c>
      <c r="O281" s="125" t="s">
        <v>74</v>
      </c>
      <c r="P281" s="125" t="s">
        <v>188</v>
      </c>
    </row>
    <row r="282" ht="15.75" customHeight="1">
      <c r="B282" s="125" t="s">
        <v>2215</v>
      </c>
      <c r="C282" s="125" t="s">
        <v>2287</v>
      </c>
      <c r="D282" s="125" t="s">
        <v>2361</v>
      </c>
      <c r="F282" s="125">
        <v>1.0</v>
      </c>
      <c r="H282" s="125" t="s">
        <v>30</v>
      </c>
      <c r="I282" s="125" t="s">
        <v>2049</v>
      </c>
      <c r="O282" s="125" t="s">
        <v>74</v>
      </c>
      <c r="P282" s="125" t="s">
        <v>188</v>
      </c>
    </row>
    <row r="283" ht="15.75" customHeight="1">
      <c r="B283" s="125" t="s">
        <v>2362</v>
      </c>
      <c r="C283" s="125" t="s">
        <v>117</v>
      </c>
      <c r="D283" s="125" t="s">
        <v>2287</v>
      </c>
      <c r="F283" s="125">
        <v>1.0</v>
      </c>
      <c r="H283" s="125" t="s">
        <v>30</v>
      </c>
      <c r="I283" s="125" t="s">
        <v>2049</v>
      </c>
      <c r="O283" s="125" t="s">
        <v>74</v>
      </c>
      <c r="P283" s="125" t="s">
        <v>188</v>
      </c>
    </row>
    <row r="284" ht="15.75" customHeight="1">
      <c r="B284" s="125" t="s">
        <v>2363</v>
      </c>
      <c r="C284" s="125" t="s">
        <v>2242</v>
      </c>
      <c r="D284" s="125" t="s">
        <v>2364</v>
      </c>
      <c r="F284" s="125">
        <v>1.0</v>
      </c>
      <c r="H284" s="125" t="s">
        <v>30</v>
      </c>
      <c r="I284" s="125" t="s">
        <v>2049</v>
      </c>
      <c r="O284" s="125" t="s">
        <v>74</v>
      </c>
      <c r="P284" s="125" t="s">
        <v>188</v>
      </c>
    </row>
    <row r="285" ht="15.75" customHeight="1">
      <c r="B285" s="125" t="s">
        <v>2289</v>
      </c>
      <c r="C285" s="125" t="s">
        <v>2284</v>
      </c>
      <c r="D285" s="125" t="s">
        <v>2241</v>
      </c>
      <c r="F285" s="125">
        <v>0.5</v>
      </c>
      <c r="H285" s="125" t="s">
        <v>30</v>
      </c>
      <c r="I285" s="125" t="s">
        <v>2049</v>
      </c>
      <c r="O285" s="125" t="s">
        <v>74</v>
      </c>
      <c r="P285" s="125" t="s">
        <v>188</v>
      </c>
    </row>
    <row r="286" ht="15.75" customHeight="1">
      <c r="B286" s="125" t="s">
        <v>368</v>
      </c>
      <c r="C286" s="125" t="s">
        <v>2284</v>
      </c>
      <c r="D286" s="125" t="s">
        <v>2241</v>
      </c>
      <c r="F286" s="125">
        <v>1.25</v>
      </c>
      <c r="H286" s="125" t="s">
        <v>30</v>
      </c>
      <c r="I286" s="125" t="s">
        <v>2049</v>
      </c>
      <c r="O286" s="125" t="s">
        <v>74</v>
      </c>
      <c r="P286" s="125" t="s">
        <v>188</v>
      </c>
    </row>
    <row r="287" ht="15.75" customHeight="1">
      <c r="B287" s="125" t="s">
        <v>2365</v>
      </c>
      <c r="C287" s="125" t="s">
        <v>2366</v>
      </c>
      <c r="D287" s="125" t="s">
        <v>1914</v>
      </c>
      <c r="F287" s="125">
        <v>1.0</v>
      </c>
      <c r="H287" s="125" t="s">
        <v>30</v>
      </c>
      <c r="I287" s="125" t="s">
        <v>2049</v>
      </c>
      <c r="O287" s="125" t="s">
        <v>74</v>
      </c>
      <c r="P287" s="125" t="s">
        <v>188</v>
      </c>
    </row>
    <row r="288" ht="15.75" customHeight="1">
      <c r="B288" s="125" t="s">
        <v>2367</v>
      </c>
      <c r="C288" s="125" t="s">
        <v>2368</v>
      </c>
      <c r="D288" s="125" t="s">
        <v>2369</v>
      </c>
      <c r="F288" s="125">
        <v>1.0</v>
      </c>
      <c r="H288" s="125" t="s">
        <v>30</v>
      </c>
      <c r="I288" s="125" t="s">
        <v>2049</v>
      </c>
      <c r="O288" s="125" t="s">
        <v>74</v>
      </c>
      <c r="P288" s="125" t="s">
        <v>188</v>
      </c>
    </row>
    <row r="289" ht="15.75" customHeight="1">
      <c r="B289" s="125" t="s">
        <v>2370</v>
      </c>
      <c r="C289" s="125" t="s">
        <v>2371</v>
      </c>
      <c r="D289" s="125" t="s">
        <v>2206</v>
      </c>
      <c r="F289" s="125">
        <v>1.0</v>
      </c>
      <c r="H289" s="125" t="s">
        <v>30</v>
      </c>
      <c r="I289" s="125" t="s">
        <v>2049</v>
      </c>
      <c r="O289" s="125" t="s">
        <v>74</v>
      </c>
      <c r="P289" s="125" t="s">
        <v>188</v>
      </c>
    </row>
    <row r="290" ht="15.75" customHeight="1">
      <c r="B290" s="125" t="s">
        <v>2372</v>
      </c>
      <c r="C290" s="125" t="s">
        <v>2373</v>
      </c>
      <c r="D290" s="125" t="s">
        <v>2206</v>
      </c>
      <c r="F290" s="125">
        <v>1.0</v>
      </c>
      <c r="H290" s="125" t="s">
        <v>30</v>
      </c>
      <c r="I290" s="125" t="s">
        <v>2049</v>
      </c>
      <c r="O290" s="125" t="s">
        <v>74</v>
      </c>
      <c r="P290" s="125" t="s">
        <v>188</v>
      </c>
    </row>
    <row r="291" ht="15.75" customHeight="1">
      <c r="B291" s="125" t="s">
        <v>2374</v>
      </c>
      <c r="C291" s="125" t="s">
        <v>2347</v>
      </c>
      <c r="D291" s="125" t="s">
        <v>2375</v>
      </c>
      <c r="F291" s="125">
        <v>0.75</v>
      </c>
      <c r="H291" s="125" t="s">
        <v>30</v>
      </c>
      <c r="I291" s="125" t="s">
        <v>2049</v>
      </c>
      <c r="O291" s="125" t="s">
        <v>74</v>
      </c>
      <c r="P291" s="125" t="s">
        <v>188</v>
      </c>
    </row>
    <row r="292" ht="15.75" customHeight="1">
      <c r="B292" s="125" t="s">
        <v>2376</v>
      </c>
      <c r="C292" s="125" t="s">
        <v>2229</v>
      </c>
      <c r="D292" s="125" t="s">
        <v>2377</v>
      </c>
      <c r="F292" s="125">
        <v>0.25</v>
      </c>
      <c r="H292" s="125" t="s">
        <v>30</v>
      </c>
      <c r="I292" s="125" t="s">
        <v>2049</v>
      </c>
      <c r="O292" s="125" t="s">
        <v>74</v>
      </c>
      <c r="P292" s="125" t="s">
        <v>188</v>
      </c>
    </row>
    <row r="293" ht="15.75" customHeight="1">
      <c r="B293" s="125" t="s">
        <v>711</v>
      </c>
      <c r="C293" s="125" t="s">
        <v>2278</v>
      </c>
      <c r="D293" s="125" t="s">
        <v>2378</v>
      </c>
      <c r="F293" s="125">
        <v>1.0</v>
      </c>
      <c r="H293" s="125" t="s">
        <v>30</v>
      </c>
      <c r="I293" s="125" t="s">
        <v>2049</v>
      </c>
      <c r="O293" s="125" t="s">
        <v>74</v>
      </c>
      <c r="P293" s="125" t="s">
        <v>188</v>
      </c>
    </row>
    <row r="294" ht="15.75" customHeight="1">
      <c r="B294" s="125" t="s">
        <v>2379</v>
      </c>
      <c r="C294" s="125" t="s">
        <v>982</v>
      </c>
      <c r="D294" s="125" t="s">
        <v>2380</v>
      </c>
      <c r="F294" s="125">
        <v>0.75</v>
      </c>
      <c r="H294" s="125" t="s">
        <v>30</v>
      </c>
      <c r="I294" s="125" t="s">
        <v>2049</v>
      </c>
      <c r="O294" s="125" t="s">
        <v>74</v>
      </c>
      <c r="P294" s="125" t="s">
        <v>188</v>
      </c>
    </row>
    <row r="295" ht="15.75" customHeight="1">
      <c r="B295" s="125" t="s">
        <v>1155</v>
      </c>
      <c r="C295" s="125" t="s">
        <v>1870</v>
      </c>
      <c r="D295" s="125" t="s">
        <v>332</v>
      </c>
      <c r="F295" s="125">
        <v>1.0</v>
      </c>
      <c r="H295" s="125" t="s">
        <v>30</v>
      </c>
      <c r="I295" s="125" t="s">
        <v>2049</v>
      </c>
      <c r="O295" s="125" t="s">
        <v>74</v>
      </c>
      <c r="P295" s="125" t="s">
        <v>188</v>
      </c>
    </row>
    <row r="296" ht="15.75" customHeight="1">
      <c r="B296" s="125" t="s">
        <v>936</v>
      </c>
      <c r="C296" s="125" t="s">
        <v>1870</v>
      </c>
      <c r="D296" s="125" t="s">
        <v>332</v>
      </c>
      <c r="F296" s="125">
        <v>1.5</v>
      </c>
      <c r="H296" s="125" t="s">
        <v>30</v>
      </c>
      <c r="I296" s="125" t="s">
        <v>2049</v>
      </c>
      <c r="O296" s="125" t="s">
        <v>74</v>
      </c>
      <c r="P296" s="125" t="s">
        <v>188</v>
      </c>
    </row>
    <row r="297" ht="15.75" customHeight="1">
      <c r="B297" s="125" t="s">
        <v>103</v>
      </c>
      <c r="C297" s="125" t="s">
        <v>2352</v>
      </c>
      <c r="D297" s="125" t="s">
        <v>403</v>
      </c>
      <c r="F297" s="125">
        <v>1.0</v>
      </c>
      <c r="H297" s="125" t="s">
        <v>30</v>
      </c>
      <c r="I297" s="125" t="s">
        <v>2049</v>
      </c>
      <c r="O297" s="125" t="s">
        <v>74</v>
      </c>
      <c r="P297" s="125" t="s">
        <v>188</v>
      </c>
    </row>
    <row r="298" ht="15.75" customHeight="1">
      <c r="B298" s="125" t="s">
        <v>2381</v>
      </c>
      <c r="C298" s="125" t="s">
        <v>1872</v>
      </c>
      <c r="D298" s="125" t="s">
        <v>404</v>
      </c>
      <c r="F298" s="125">
        <v>1.25</v>
      </c>
      <c r="H298" s="125" t="s">
        <v>30</v>
      </c>
      <c r="I298" s="125" t="s">
        <v>2049</v>
      </c>
      <c r="O298" s="125" t="s">
        <v>74</v>
      </c>
      <c r="P298" s="125" t="s">
        <v>188</v>
      </c>
    </row>
    <row r="299" ht="15.75" customHeight="1">
      <c r="B299" s="125" t="s">
        <v>130</v>
      </c>
      <c r="C299" s="125" t="s">
        <v>1737</v>
      </c>
      <c r="D299" s="125" t="s">
        <v>1160</v>
      </c>
      <c r="F299" s="125">
        <v>2.0</v>
      </c>
      <c r="H299" s="125" t="s">
        <v>30</v>
      </c>
      <c r="I299" s="125" t="s">
        <v>2049</v>
      </c>
      <c r="O299" s="125" t="s">
        <v>74</v>
      </c>
      <c r="P299" s="125" t="s">
        <v>188</v>
      </c>
    </row>
    <row r="300" ht="15.75" customHeight="1">
      <c r="B300" s="125" t="s">
        <v>2382</v>
      </c>
      <c r="C300" s="125" t="s">
        <v>1922</v>
      </c>
      <c r="D300" s="125" t="s">
        <v>1920</v>
      </c>
      <c r="F300" s="125">
        <v>0.5</v>
      </c>
      <c r="H300" s="125" t="s">
        <v>30</v>
      </c>
      <c r="I300" s="125" t="s">
        <v>2049</v>
      </c>
      <c r="O300" s="125" t="s">
        <v>74</v>
      </c>
      <c r="P300" s="125" t="s">
        <v>188</v>
      </c>
    </row>
    <row r="301" ht="15.75" customHeight="1">
      <c r="B301" s="125" t="s">
        <v>2383</v>
      </c>
      <c r="C301" s="125" t="s">
        <v>2284</v>
      </c>
      <c r="D301" s="125" t="s">
        <v>1922</v>
      </c>
      <c r="F301" s="125">
        <v>1.0</v>
      </c>
      <c r="H301" s="125" t="s">
        <v>30</v>
      </c>
      <c r="I301" s="125" t="s">
        <v>2049</v>
      </c>
      <c r="O301" s="125" t="s">
        <v>74</v>
      </c>
      <c r="P301" s="125" t="s">
        <v>188</v>
      </c>
    </row>
    <row r="302" ht="15.75" customHeight="1">
      <c r="B302" s="125" t="s">
        <v>2384</v>
      </c>
      <c r="C302" s="125" t="s">
        <v>2232</v>
      </c>
      <c r="D302" s="125" t="s">
        <v>2385</v>
      </c>
      <c r="F302" s="125">
        <v>0.75</v>
      </c>
      <c r="H302" s="125" t="s">
        <v>30</v>
      </c>
      <c r="I302" s="125" t="s">
        <v>2049</v>
      </c>
      <c r="O302" s="125" t="s">
        <v>74</v>
      </c>
      <c r="P302" s="125" t="s">
        <v>188</v>
      </c>
    </row>
    <row r="303" ht="15.75" customHeight="1">
      <c r="B303" s="125" t="s">
        <v>2386</v>
      </c>
      <c r="C303" s="125" t="s">
        <v>2242</v>
      </c>
      <c r="D303" s="125" t="s">
        <v>1874</v>
      </c>
      <c r="F303" s="125">
        <v>1.0</v>
      </c>
      <c r="H303" s="125" t="s">
        <v>30</v>
      </c>
      <c r="I303" s="125" t="s">
        <v>2049</v>
      </c>
      <c r="O303" s="125" t="s">
        <v>74</v>
      </c>
      <c r="P303" s="125" t="s">
        <v>188</v>
      </c>
    </row>
    <row r="304" ht="15.75" customHeight="1">
      <c r="B304" s="125" t="s">
        <v>2387</v>
      </c>
      <c r="C304" s="125" t="s">
        <v>403</v>
      </c>
      <c r="D304" s="125" t="s">
        <v>1874</v>
      </c>
      <c r="F304" s="125">
        <v>0.75</v>
      </c>
      <c r="H304" s="125" t="s">
        <v>30</v>
      </c>
      <c r="I304" s="125" t="s">
        <v>2049</v>
      </c>
      <c r="O304" s="125" t="s">
        <v>74</v>
      </c>
      <c r="P304" s="125" t="s">
        <v>188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C$304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2388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127" t="s">
        <v>13</v>
      </c>
      <c r="H9" s="128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127" t="s">
        <v>13</v>
      </c>
      <c r="W9" s="141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129"/>
      <c r="H10" s="130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129"/>
      <c r="W10" s="39"/>
      <c r="X10" s="39"/>
    </row>
    <row r="11" ht="14.25" customHeight="1">
      <c r="A11" s="49" t="s">
        <v>19</v>
      </c>
      <c r="B11" s="49">
        <f t="shared" ref="B11:U11" si="1">SUM(B12:B23)</f>
        <v>125</v>
      </c>
      <c r="C11" s="50">
        <f t="shared" si="1"/>
        <v>63.6</v>
      </c>
      <c r="D11" s="51">
        <f t="shared" si="1"/>
        <v>0</v>
      </c>
      <c r="E11" s="51">
        <f t="shared" si="1"/>
        <v>105.3</v>
      </c>
      <c r="F11" s="51">
        <f t="shared" si="1"/>
        <v>0</v>
      </c>
      <c r="G11" s="54">
        <f t="shared" si="1"/>
        <v>1</v>
      </c>
      <c r="H11" s="131">
        <f t="shared" si="1"/>
        <v>0</v>
      </c>
      <c r="I11" s="53">
        <f t="shared" si="1"/>
        <v>19</v>
      </c>
      <c r="J11" s="51">
        <f t="shared" si="1"/>
        <v>0</v>
      </c>
      <c r="K11" s="51">
        <f t="shared" si="1"/>
        <v>16.5</v>
      </c>
      <c r="L11" s="51">
        <f t="shared" si="1"/>
        <v>0</v>
      </c>
      <c r="M11" s="54">
        <f t="shared" si="1"/>
        <v>4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39.5</v>
      </c>
      <c r="R11" s="50">
        <f t="shared" si="1"/>
        <v>82.6</v>
      </c>
      <c r="S11" s="51">
        <f t="shared" si="1"/>
        <v>0</v>
      </c>
      <c r="T11" s="51">
        <f t="shared" si="1"/>
        <v>121.8</v>
      </c>
      <c r="U11" s="51">
        <f t="shared" si="1"/>
        <v>0</v>
      </c>
      <c r="V11" s="54"/>
      <c r="W11" s="131">
        <f>SUM(W12:W23)</f>
        <v>204.4</v>
      </c>
      <c r="X11" s="56"/>
      <c r="Y11" s="57"/>
      <c r="Z11" s="57"/>
    </row>
    <row r="12" ht="14.25" customHeight="1">
      <c r="A12" s="58" t="s">
        <v>20</v>
      </c>
      <c r="B12" s="79">
        <v>0.0</v>
      </c>
      <c r="C12" s="62"/>
      <c r="D12" s="80"/>
      <c r="E12" s="80"/>
      <c r="F12" s="80"/>
      <c r="G12" s="83"/>
      <c r="H12" s="132"/>
      <c r="I12" s="60"/>
      <c r="J12" s="80"/>
      <c r="K12" s="80"/>
      <c r="L12" s="80"/>
      <c r="M12" s="83"/>
      <c r="N12" s="62"/>
      <c r="O12" s="80"/>
      <c r="P12" s="59"/>
      <c r="Q12" s="61">
        <f t="shared" ref="Q12:Q22" si="4">SUM(I12:P12)</f>
        <v>0</v>
      </c>
      <c r="R12" s="62">
        <f t="shared" ref="R12:S12" si="2">C12+I12</f>
        <v>0</v>
      </c>
      <c r="S12" s="80">
        <f t="shared" si="2"/>
        <v>0</v>
      </c>
      <c r="T12" s="80">
        <f t="shared" ref="T12:U12" si="3">E12+K12+N12</f>
        <v>0</v>
      </c>
      <c r="U12" s="80">
        <f t="shared" si="3"/>
        <v>0</v>
      </c>
      <c r="V12" s="83"/>
      <c r="W12" s="132">
        <f t="shared" ref="W12:W22" si="7">SUM(R12:V12)</f>
        <v>0</v>
      </c>
      <c r="X12" s="64"/>
    </row>
    <row r="13" ht="14.25" customHeight="1">
      <c r="A13" s="58" t="s">
        <v>21</v>
      </c>
      <c r="B13" s="79">
        <v>11.0</v>
      </c>
      <c r="C13" s="88">
        <v>2.5</v>
      </c>
      <c r="D13" s="80"/>
      <c r="E13" s="85">
        <v>5.5</v>
      </c>
      <c r="F13" s="80"/>
      <c r="G13" s="83"/>
      <c r="H13" s="132"/>
      <c r="I13" s="60"/>
      <c r="J13" s="80"/>
      <c r="K13" s="85">
        <v>3.0</v>
      </c>
      <c r="L13" s="80"/>
      <c r="M13" s="83"/>
      <c r="N13" s="62"/>
      <c r="O13" s="80"/>
      <c r="P13" s="59"/>
      <c r="Q13" s="61">
        <f t="shared" si="4"/>
        <v>3</v>
      </c>
      <c r="R13" s="62">
        <f t="shared" ref="R13:S13" si="5">C13+I13</f>
        <v>2.5</v>
      </c>
      <c r="S13" s="80">
        <f t="shared" si="5"/>
        <v>0</v>
      </c>
      <c r="T13" s="80">
        <f t="shared" ref="T13:U13" si="6">E13+K13+N13</f>
        <v>8.5</v>
      </c>
      <c r="U13" s="80">
        <f t="shared" si="6"/>
        <v>0</v>
      </c>
      <c r="V13" s="83"/>
      <c r="W13" s="132">
        <f t="shared" si="7"/>
        <v>11</v>
      </c>
      <c r="X13" s="64"/>
    </row>
    <row r="14" ht="14.25" customHeight="1">
      <c r="A14" s="58" t="s">
        <v>22</v>
      </c>
      <c r="B14" s="79">
        <v>0.0</v>
      </c>
      <c r="C14" s="62"/>
      <c r="D14" s="80"/>
      <c r="E14" s="80"/>
      <c r="F14" s="80"/>
      <c r="G14" s="83"/>
      <c r="H14" s="132"/>
      <c r="I14" s="60"/>
      <c r="J14" s="80"/>
      <c r="K14" s="80"/>
      <c r="L14" s="80"/>
      <c r="M14" s="83"/>
      <c r="N14" s="62"/>
      <c r="O14" s="80"/>
      <c r="P14" s="59"/>
      <c r="Q14" s="61">
        <f t="shared" si="4"/>
        <v>0</v>
      </c>
      <c r="R14" s="62">
        <f t="shared" ref="R14:S14" si="8">C14+I14</f>
        <v>0</v>
      </c>
      <c r="S14" s="80">
        <f t="shared" si="8"/>
        <v>0</v>
      </c>
      <c r="T14" s="80">
        <f t="shared" ref="T14:U14" si="9">E14+K14+N14</f>
        <v>0</v>
      </c>
      <c r="U14" s="80">
        <f t="shared" si="9"/>
        <v>0</v>
      </c>
      <c r="V14" s="83"/>
      <c r="W14" s="132">
        <f t="shared" si="7"/>
        <v>0</v>
      </c>
      <c r="X14" s="64"/>
    </row>
    <row r="15" ht="14.25" customHeight="1">
      <c r="A15" s="58" t="s">
        <v>23</v>
      </c>
      <c r="B15" s="79">
        <v>0.0</v>
      </c>
      <c r="C15" s="62"/>
      <c r="D15" s="80"/>
      <c r="E15" s="80"/>
      <c r="F15" s="80"/>
      <c r="G15" s="83"/>
      <c r="H15" s="132"/>
      <c r="I15" s="60"/>
      <c r="J15" s="80"/>
      <c r="K15" s="80"/>
      <c r="L15" s="80"/>
      <c r="M15" s="83"/>
      <c r="N15" s="62"/>
      <c r="O15" s="80"/>
      <c r="P15" s="59"/>
      <c r="Q15" s="61">
        <f t="shared" si="4"/>
        <v>0</v>
      </c>
      <c r="R15" s="62">
        <f t="shared" ref="R15:S15" si="10">C15+I15</f>
        <v>0</v>
      </c>
      <c r="S15" s="80">
        <f t="shared" si="10"/>
        <v>0</v>
      </c>
      <c r="T15" s="80">
        <f t="shared" ref="T15:U15" si="11">E15+K15+N15</f>
        <v>0</v>
      </c>
      <c r="U15" s="80">
        <f t="shared" si="11"/>
        <v>0</v>
      </c>
      <c r="V15" s="83"/>
      <c r="W15" s="132">
        <f t="shared" si="7"/>
        <v>0</v>
      </c>
      <c r="X15" s="64"/>
    </row>
    <row r="16" ht="14.25" customHeight="1">
      <c r="A16" s="58" t="s">
        <v>24</v>
      </c>
      <c r="B16" s="79">
        <v>0.0</v>
      </c>
      <c r="C16" s="62"/>
      <c r="D16" s="80"/>
      <c r="E16" s="80"/>
      <c r="F16" s="80"/>
      <c r="G16" s="83"/>
      <c r="H16" s="132"/>
      <c r="I16" s="60"/>
      <c r="J16" s="80"/>
      <c r="K16" s="80"/>
      <c r="L16" s="80"/>
      <c r="M16" s="83"/>
      <c r="N16" s="62"/>
      <c r="O16" s="80"/>
      <c r="P16" s="59"/>
      <c r="Q16" s="61">
        <f t="shared" si="4"/>
        <v>0</v>
      </c>
      <c r="R16" s="62">
        <f t="shared" ref="R16:S16" si="12">C16+I16</f>
        <v>0</v>
      </c>
      <c r="S16" s="80">
        <f t="shared" si="12"/>
        <v>0</v>
      </c>
      <c r="T16" s="80">
        <f t="shared" ref="T16:U16" si="13">E16+K16+N16</f>
        <v>0</v>
      </c>
      <c r="U16" s="80">
        <f t="shared" si="13"/>
        <v>0</v>
      </c>
      <c r="V16" s="83"/>
      <c r="W16" s="132">
        <f t="shared" si="7"/>
        <v>0</v>
      </c>
      <c r="X16" s="64"/>
    </row>
    <row r="17" ht="14.25" customHeight="1">
      <c r="A17" s="58" t="s">
        <v>25</v>
      </c>
      <c r="B17" s="79">
        <v>4.0</v>
      </c>
      <c r="C17" s="62"/>
      <c r="D17" s="80"/>
      <c r="E17" s="80"/>
      <c r="F17" s="80"/>
      <c r="G17" s="83"/>
      <c r="H17" s="132"/>
      <c r="I17" s="60"/>
      <c r="J17" s="80"/>
      <c r="K17" s="85">
        <v>4.0</v>
      </c>
      <c r="L17" s="80"/>
      <c r="M17" s="83"/>
      <c r="N17" s="62"/>
      <c r="O17" s="80"/>
      <c r="P17" s="59"/>
      <c r="Q17" s="61">
        <f t="shared" si="4"/>
        <v>4</v>
      </c>
      <c r="R17" s="62">
        <f t="shared" ref="R17:S17" si="14">C17+I17</f>
        <v>0</v>
      </c>
      <c r="S17" s="80">
        <f t="shared" si="14"/>
        <v>0</v>
      </c>
      <c r="T17" s="80">
        <f t="shared" ref="T17:U17" si="15">E17+K17+N17</f>
        <v>4</v>
      </c>
      <c r="U17" s="80">
        <f t="shared" si="15"/>
        <v>0</v>
      </c>
      <c r="V17" s="83"/>
      <c r="W17" s="132">
        <f t="shared" si="7"/>
        <v>4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3"/>
      <c r="H18" s="132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U18" si="17">E18+K18+N18</f>
        <v>0</v>
      </c>
      <c r="U18" s="80">
        <f t="shared" si="17"/>
        <v>0</v>
      </c>
      <c r="V18" s="83"/>
      <c r="W18" s="132">
        <f t="shared" si="7"/>
        <v>0</v>
      </c>
      <c r="X18" s="64"/>
    </row>
    <row r="19" ht="14.25" customHeight="1">
      <c r="A19" s="58" t="s">
        <v>27</v>
      </c>
      <c r="B19" s="79">
        <v>35.0</v>
      </c>
      <c r="C19" s="88">
        <v>37.0</v>
      </c>
      <c r="D19" s="80"/>
      <c r="E19" s="80"/>
      <c r="F19" s="80"/>
      <c r="G19" s="83"/>
      <c r="H19" s="132"/>
      <c r="I19" s="87">
        <v>18.0</v>
      </c>
      <c r="J19" s="80"/>
      <c r="K19" s="80"/>
      <c r="L19" s="80"/>
      <c r="M19" s="83"/>
      <c r="N19" s="62"/>
      <c r="O19" s="80"/>
      <c r="P19" s="59"/>
      <c r="Q19" s="61">
        <f t="shared" si="4"/>
        <v>18</v>
      </c>
      <c r="R19" s="62">
        <f t="shared" ref="R19:S19" si="18">C19+I19</f>
        <v>55</v>
      </c>
      <c r="S19" s="80">
        <f t="shared" si="18"/>
        <v>0</v>
      </c>
      <c r="T19" s="80">
        <f t="shared" ref="T19:U19" si="19">E19+K19+N19</f>
        <v>0</v>
      </c>
      <c r="U19" s="80">
        <f t="shared" si="19"/>
        <v>0</v>
      </c>
      <c r="V19" s="83"/>
      <c r="W19" s="132">
        <f t="shared" si="7"/>
        <v>55</v>
      </c>
      <c r="X19" s="64"/>
    </row>
    <row r="20" ht="14.25" customHeight="1">
      <c r="A20" s="58" t="s">
        <v>28</v>
      </c>
      <c r="B20" s="79">
        <v>75.0</v>
      </c>
      <c r="C20" s="88">
        <v>24.1</v>
      </c>
      <c r="D20" s="80"/>
      <c r="E20" s="85">
        <v>99.8</v>
      </c>
      <c r="F20" s="80"/>
      <c r="G20" s="86">
        <v>1.0</v>
      </c>
      <c r="H20" s="132"/>
      <c r="I20" s="87">
        <v>1.0</v>
      </c>
      <c r="J20" s="80"/>
      <c r="K20" s="85">
        <v>9.5</v>
      </c>
      <c r="L20" s="80"/>
      <c r="M20" s="86">
        <v>4.0</v>
      </c>
      <c r="N20" s="62"/>
      <c r="O20" s="80"/>
      <c r="P20" s="59"/>
      <c r="Q20" s="61">
        <f t="shared" si="4"/>
        <v>14.5</v>
      </c>
      <c r="R20" s="62">
        <f t="shared" ref="R20:S20" si="20">C20+I20</f>
        <v>25.1</v>
      </c>
      <c r="S20" s="80">
        <f t="shared" si="20"/>
        <v>0</v>
      </c>
      <c r="T20" s="80">
        <f t="shared" ref="T20:U20" si="21">E20+K20+N20</f>
        <v>109.3</v>
      </c>
      <c r="U20" s="80">
        <f t="shared" si="21"/>
        <v>0</v>
      </c>
      <c r="V20" s="83"/>
      <c r="W20" s="132">
        <f t="shared" si="7"/>
        <v>134.4</v>
      </c>
      <c r="X20" s="64"/>
    </row>
    <row r="21" ht="14.25" customHeight="1">
      <c r="A21" s="58" t="s">
        <v>29</v>
      </c>
      <c r="B21" s="79">
        <v>0.0</v>
      </c>
      <c r="C21" s="62"/>
      <c r="D21" s="80"/>
      <c r="E21" s="80"/>
      <c r="F21" s="80"/>
      <c r="G21" s="83"/>
      <c r="H21" s="132"/>
      <c r="I21" s="60"/>
      <c r="J21" s="80"/>
      <c r="K21" s="80"/>
      <c r="L21" s="80"/>
      <c r="M21" s="83"/>
      <c r="N21" s="62"/>
      <c r="O21" s="80"/>
      <c r="P21" s="59"/>
      <c r="Q21" s="61">
        <f t="shared" si="4"/>
        <v>0</v>
      </c>
      <c r="R21" s="62">
        <f t="shared" ref="R21:S21" si="22">C21+I21</f>
        <v>0</v>
      </c>
      <c r="S21" s="80">
        <f t="shared" si="22"/>
        <v>0</v>
      </c>
      <c r="T21" s="80">
        <f t="shared" ref="T21:U21" si="23">E21+K21+N21</f>
        <v>0</v>
      </c>
      <c r="U21" s="80">
        <f t="shared" si="23"/>
        <v>0</v>
      </c>
      <c r="V21" s="83"/>
      <c r="W21" s="132">
        <f t="shared" si="7"/>
        <v>0</v>
      </c>
      <c r="X21" s="64"/>
    </row>
    <row r="22" ht="14.25" customHeight="1">
      <c r="A22" s="58" t="s">
        <v>30</v>
      </c>
      <c r="B22" s="79">
        <v>0.0</v>
      </c>
      <c r="C22" s="62"/>
      <c r="D22" s="80"/>
      <c r="E22" s="80"/>
      <c r="F22" s="80"/>
      <c r="G22" s="83"/>
      <c r="H22" s="132"/>
      <c r="I22" s="60"/>
      <c r="J22" s="80"/>
      <c r="K22" s="80"/>
      <c r="L22" s="80"/>
      <c r="M22" s="83"/>
      <c r="N22" s="62"/>
      <c r="O22" s="80"/>
      <c r="P22" s="59"/>
      <c r="Q22" s="61">
        <f t="shared" si="4"/>
        <v>0</v>
      </c>
      <c r="R22" s="62">
        <f t="shared" ref="R22:S22" si="24">C22+I22</f>
        <v>0</v>
      </c>
      <c r="S22" s="80">
        <f t="shared" si="24"/>
        <v>0</v>
      </c>
      <c r="T22" s="80">
        <f t="shared" ref="T22:U22" si="25">E22+K22+N22</f>
        <v>0</v>
      </c>
      <c r="U22" s="80">
        <f t="shared" si="25"/>
        <v>0</v>
      </c>
      <c r="V22" s="83"/>
      <c r="W22" s="132">
        <f t="shared" si="7"/>
        <v>0</v>
      </c>
      <c r="X22" s="64"/>
    </row>
    <row r="23" ht="14.25" customHeight="1">
      <c r="A23" s="65"/>
      <c r="B23" s="65"/>
      <c r="C23" s="70"/>
      <c r="D23" s="68"/>
      <c r="E23" s="68"/>
      <c r="F23" s="68"/>
      <c r="G23" s="69"/>
      <c r="H23" s="133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9"/>
      <c r="W23" s="133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>
      <c r="A27" s="75"/>
      <c r="B27" s="7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4" width="15.75"/>
    <col customWidth="1" min="5" max="5" width="8.75"/>
    <col customWidth="1" min="6" max="6" width="7.5"/>
    <col customWidth="1" min="7" max="7" width="10.5"/>
    <col customWidth="1" min="8" max="8" width="13.0"/>
    <col customWidth="1" min="9" max="13" width="10.0"/>
    <col customWidth="1" min="14" max="14" width="7.0"/>
    <col customWidth="1" min="15" max="15" width="15.13"/>
    <col customWidth="1" min="16" max="16" width="5.38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485</v>
      </c>
      <c r="J5" s="91"/>
      <c r="K5" s="134" t="s">
        <v>486</v>
      </c>
      <c r="L5" s="91"/>
      <c r="M5" s="134" t="s">
        <v>2389</v>
      </c>
      <c r="N5" s="91"/>
      <c r="O5" s="91"/>
    </row>
    <row r="6" ht="14.25" customHeight="1">
      <c r="A6" s="135" t="s">
        <v>2388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1897</v>
      </c>
      <c r="C9" s="118" t="s">
        <v>2390</v>
      </c>
      <c r="D9" s="118" t="s">
        <v>2391</v>
      </c>
      <c r="E9" s="117"/>
      <c r="F9" s="118">
        <v>1.0</v>
      </c>
      <c r="G9" s="117"/>
      <c r="H9" s="118" t="s">
        <v>21</v>
      </c>
      <c r="I9" s="137"/>
      <c r="J9" s="120"/>
      <c r="K9" s="121" t="s">
        <v>549</v>
      </c>
      <c r="L9" s="120"/>
      <c r="M9" s="120"/>
      <c r="N9" s="120"/>
      <c r="O9" s="121" t="s">
        <v>54</v>
      </c>
      <c r="P9" s="125" t="s">
        <v>189</v>
      </c>
    </row>
    <row r="10" ht="14.25" customHeight="1">
      <c r="A10" s="117"/>
      <c r="B10" s="118" t="s">
        <v>2392</v>
      </c>
      <c r="C10" s="118" t="s">
        <v>1316</v>
      </c>
      <c r="D10" s="118" t="s">
        <v>2320</v>
      </c>
      <c r="E10" s="117"/>
      <c r="F10" s="118">
        <v>1.0</v>
      </c>
      <c r="G10" s="117"/>
      <c r="H10" s="118" t="s">
        <v>21</v>
      </c>
      <c r="I10" s="137"/>
      <c r="J10" s="120"/>
      <c r="K10" s="121" t="s">
        <v>549</v>
      </c>
      <c r="L10" s="120"/>
      <c r="M10" s="120"/>
      <c r="N10" s="120"/>
      <c r="O10" s="121" t="s">
        <v>74</v>
      </c>
      <c r="P10" s="125" t="s">
        <v>189</v>
      </c>
    </row>
    <row r="11" ht="14.25" customHeight="1">
      <c r="A11" s="117" t="s">
        <v>19</v>
      </c>
      <c r="B11" s="118" t="s">
        <v>2393</v>
      </c>
      <c r="C11" s="118" t="s">
        <v>736</v>
      </c>
      <c r="D11" s="118" t="s">
        <v>2320</v>
      </c>
      <c r="E11" s="117"/>
      <c r="F11" s="118">
        <v>1.0</v>
      </c>
      <c r="G11" s="117"/>
      <c r="H11" s="118" t="s">
        <v>21</v>
      </c>
      <c r="I11" s="137"/>
      <c r="J11" s="120"/>
      <c r="K11" s="121" t="s">
        <v>549</v>
      </c>
      <c r="L11" s="120"/>
      <c r="M11" s="120"/>
      <c r="N11" s="120"/>
      <c r="O11" s="121" t="s">
        <v>74</v>
      </c>
      <c r="P11" s="125" t="s">
        <v>189</v>
      </c>
    </row>
    <row r="12" ht="14.25" customHeight="1">
      <c r="A12" s="117" t="s">
        <v>20</v>
      </c>
      <c r="B12" s="118" t="s">
        <v>2394</v>
      </c>
      <c r="C12" s="118" t="s">
        <v>2391</v>
      </c>
      <c r="D12" s="118" t="s">
        <v>2395</v>
      </c>
      <c r="E12" s="117"/>
      <c r="F12" s="118">
        <v>1.0</v>
      </c>
      <c r="G12" s="117"/>
      <c r="H12" s="118" t="s">
        <v>21</v>
      </c>
      <c r="I12" s="137"/>
      <c r="J12" s="120"/>
      <c r="K12" s="121" t="s">
        <v>549</v>
      </c>
      <c r="L12" s="120"/>
      <c r="M12" s="120"/>
      <c r="N12" s="120"/>
      <c r="O12" s="121" t="s">
        <v>74</v>
      </c>
      <c r="P12" s="125" t="s">
        <v>189</v>
      </c>
    </row>
    <row r="13" ht="14.25" customHeight="1">
      <c r="A13" s="117" t="s">
        <v>21</v>
      </c>
      <c r="B13" s="118" t="s">
        <v>2396</v>
      </c>
      <c r="C13" s="118" t="s">
        <v>2397</v>
      </c>
      <c r="D13" s="118" t="s">
        <v>413</v>
      </c>
      <c r="E13" s="117"/>
      <c r="F13" s="118">
        <v>1.0</v>
      </c>
      <c r="G13" s="117"/>
      <c r="H13" s="118" t="s">
        <v>21</v>
      </c>
      <c r="I13" s="137" t="s">
        <v>992</v>
      </c>
      <c r="J13" s="120"/>
      <c r="K13" s="120"/>
      <c r="L13" s="120"/>
      <c r="M13" s="120"/>
      <c r="N13" s="120"/>
      <c r="O13" s="121" t="s">
        <v>54</v>
      </c>
      <c r="P13" s="125" t="s">
        <v>188</v>
      </c>
    </row>
    <row r="14" ht="14.25" customHeight="1">
      <c r="A14" s="117" t="s">
        <v>22</v>
      </c>
      <c r="B14" s="118" t="s">
        <v>2398</v>
      </c>
      <c r="C14" s="118" t="s">
        <v>2391</v>
      </c>
      <c r="D14" s="118" t="s">
        <v>2399</v>
      </c>
      <c r="E14" s="117"/>
      <c r="F14" s="118">
        <v>1.0</v>
      </c>
      <c r="G14" s="117"/>
      <c r="H14" s="118" t="s">
        <v>21</v>
      </c>
      <c r="I14" s="137"/>
      <c r="J14" s="120"/>
      <c r="K14" s="121" t="s">
        <v>549</v>
      </c>
      <c r="L14" s="120"/>
      <c r="M14" s="120"/>
      <c r="N14" s="120"/>
      <c r="O14" s="121" t="s">
        <v>54</v>
      </c>
      <c r="P14" s="125" t="s">
        <v>189</v>
      </c>
    </row>
    <row r="15" ht="14.25" customHeight="1">
      <c r="A15" s="117" t="s">
        <v>23</v>
      </c>
      <c r="B15" s="118" t="s">
        <v>2400</v>
      </c>
      <c r="C15" s="118" t="s">
        <v>88</v>
      </c>
      <c r="D15" s="118" t="s">
        <v>84</v>
      </c>
      <c r="E15" s="117"/>
      <c r="F15" s="118">
        <v>1.5</v>
      </c>
      <c r="G15" s="117"/>
      <c r="H15" s="118" t="s">
        <v>21</v>
      </c>
      <c r="I15" s="137"/>
      <c r="J15" s="120"/>
      <c r="K15" s="121" t="s">
        <v>58</v>
      </c>
      <c r="L15" s="120"/>
      <c r="M15" s="120"/>
      <c r="N15" s="120"/>
      <c r="O15" s="121" t="s">
        <v>54</v>
      </c>
      <c r="P15" s="125" t="s">
        <v>189</v>
      </c>
    </row>
    <row r="16" ht="14.25" customHeight="1">
      <c r="A16" s="117" t="s">
        <v>24</v>
      </c>
      <c r="B16" s="118" t="s">
        <v>2401</v>
      </c>
      <c r="C16" s="118" t="s">
        <v>2397</v>
      </c>
      <c r="D16" s="118" t="s">
        <v>2402</v>
      </c>
      <c r="E16" s="117"/>
      <c r="F16" s="118">
        <v>0.5</v>
      </c>
      <c r="G16" s="117"/>
      <c r="H16" s="118" t="s">
        <v>21</v>
      </c>
      <c r="I16" s="137" t="s">
        <v>1977</v>
      </c>
      <c r="J16" s="120"/>
      <c r="K16" s="120"/>
      <c r="L16" s="120"/>
      <c r="M16" s="120"/>
      <c r="N16" s="120"/>
      <c r="O16" s="121" t="s">
        <v>54</v>
      </c>
      <c r="P16" s="125" t="s">
        <v>188</v>
      </c>
    </row>
    <row r="17" ht="14.25" customHeight="1">
      <c r="A17" s="117" t="s">
        <v>25</v>
      </c>
      <c r="B17" s="118" t="s">
        <v>2403</v>
      </c>
      <c r="C17" s="118" t="s">
        <v>2404</v>
      </c>
      <c r="D17" s="118" t="s">
        <v>2405</v>
      </c>
      <c r="E17" s="117"/>
      <c r="F17" s="118">
        <v>1.0</v>
      </c>
      <c r="G17" s="117"/>
      <c r="H17" s="118" t="s">
        <v>21</v>
      </c>
      <c r="I17" s="137"/>
      <c r="J17" s="120"/>
      <c r="K17" s="121" t="s">
        <v>549</v>
      </c>
      <c r="L17" s="120"/>
      <c r="M17" s="120"/>
      <c r="N17" s="120"/>
      <c r="O17" s="121" t="s">
        <v>54</v>
      </c>
      <c r="P17" s="125" t="s">
        <v>189</v>
      </c>
    </row>
    <row r="18" ht="14.25" customHeight="1">
      <c r="A18" s="117" t="s">
        <v>26</v>
      </c>
      <c r="B18" s="118" t="s">
        <v>2406</v>
      </c>
      <c r="C18" s="118" t="s">
        <v>69</v>
      </c>
      <c r="D18" s="118" t="s">
        <v>70</v>
      </c>
      <c r="E18" s="117"/>
      <c r="F18" s="118">
        <v>1.0</v>
      </c>
      <c r="G18" s="117"/>
      <c r="H18" s="118" t="s">
        <v>21</v>
      </c>
      <c r="I18" s="137" t="s">
        <v>1977</v>
      </c>
      <c r="J18" s="120"/>
      <c r="K18" s="120"/>
      <c r="L18" s="120"/>
      <c r="M18" s="120"/>
      <c r="N18" s="120"/>
      <c r="O18" s="121" t="s">
        <v>54</v>
      </c>
      <c r="P18" s="125" t="s">
        <v>188</v>
      </c>
    </row>
    <row r="19" ht="14.25" customHeight="1">
      <c r="A19" s="117" t="s">
        <v>27</v>
      </c>
      <c r="B19" s="118" t="s">
        <v>2407</v>
      </c>
      <c r="C19" s="118" t="s">
        <v>2408</v>
      </c>
      <c r="D19" s="118" t="s">
        <v>2409</v>
      </c>
      <c r="E19" s="117"/>
      <c r="F19" s="118">
        <v>1.0</v>
      </c>
      <c r="G19" s="117"/>
      <c r="H19" s="118" t="s">
        <v>21</v>
      </c>
      <c r="I19" s="137"/>
      <c r="J19" s="120"/>
      <c r="K19" s="121" t="s">
        <v>549</v>
      </c>
      <c r="L19" s="120"/>
      <c r="M19" s="120"/>
      <c r="N19" s="120"/>
      <c r="O19" s="121" t="s">
        <v>54</v>
      </c>
      <c r="P19" s="125" t="s">
        <v>189</v>
      </c>
    </row>
    <row r="20" ht="14.25" customHeight="1">
      <c r="A20" s="117" t="s">
        <v>28</v>
      </c>
      <c r="B20" s="118" t="s">
        <v>2410</v>
      </c>
      <c r="C20" s="118" t="s">
        <v>2411</v>
      </c>
      <c r="D20" s="118" t="s">
        <v>123</v>
      </c>
      <c r="E20" s="117"/>
      <c r="F20" s="118">
        <v>0.6</v>
      </c>
      <c r="G20" s="117"/>
      <c r="H20" s="118" t="s">
        <v>25</v>
      </c>
      <c r="I20" s="137"/>
      <c r="J20" s="120"/>
      <c r="K20" s="121" t="s">
        <v>53</v>
      </c>
      <c r="L20" s="120"/>
      <c r="M20" s="120"/>
      <c r="N20" s="120"/>
      <c r="O20" s="121" t="s">
        <v>74</v>
      </c>
      <c r="P20" s="125" t="s">
        <v>189</v>
      </c>
    </row>
    <row r="21" ht="14.25" customHeight="1">
      <c r="A21" s="122" t="s">
        <v>29</v>
      </c>
      <c r="B21" s="123" t="s">
        <v>2412</v>
      </c>
      <c r="C21" s="123" t="s">
        <v>665</v>
      </c>
      <c r="D21" s="123" t="s">
        <v>303</v>
      </c>
      <c r="E21" s="124"/>
      <c r="F21" s="123">
        <v>1.1</v>
      </c>
      <c r="G21" s="124"/>
      <c r="H21" s="123" t="s">
        <v>25</v>
      </c>
      <c r="I21" s="121"/>
      <c r="J21" s="120"/>
      <c r="K21" s="121" t="s">
        <v>155</v>
      </c>
      <c r="L21" s="120"/>
      <c r="M21" s="120"/>
      <c r="N21" s="120"/>
      <c r="O21" s="121" t="s">
        <v>74</v>
      </c>
      <c r="P21" s="125" t="s">
        <v>189</v>
      </c>
    </row>
    <row r="22" ht="14.25" customHeight="1">
      <c r="A22" s="122" t="s">
        <v>30</v>
      </c>
      <c r="B22" s="123" t="s">
        <v>2413</v>
      </c>
      <c r="C22" s="123" t="s">
        <v>1384</v>
      </c>
      <c r="D22" s="123" t="s">
        <v>2414</v>
      </c>
      <c r="E22" s="124"/>
      <c r="F22" s="123">
        <v>1.2</v>
      </c>
      <c r="G22" s="124"/>
      <c r="H22" s="123" t="s">
        <v>25</v>
      </c>
      <c r="I22" s="121"/>
      <c r="J22" s="120"/>
      <c r="K22" s="121" t="s">
        <v>172</v>
      </c>
      <c r="L22" s="120"/>
      <c r="M22" s="120"/>
      <c r="N22" s="120"/>
      <c r="O22" s="121" t="s">
        <v>74</v>
      </c>
      <c r="P22" s="125" t="s">
        <v>189</v>
      </c>
    </row>
    <row r="23" ht="14.25" customHeight="1">
      <c r="B23" s="125" t="s">
        <v>1192</v>
      </c>
      <c r="C23" s="125" t="s">
        <v>2415</v>
      </c>
      <c r="D23" s="125" t="s">
        <v>2416</v>
      </c>
      <c r="F23" s="125">
        <v>1.1</v>
      </c>
      <c r="H23" s="125" t="s">
        <v>25</v>
      </c>
      <c r="K23" s="125" t="s">
        <v>155</v>
      </c>
      <c r="O23" s="125" t="s">
        <v>74</v>
      </c>
      <c r="P23" s="125" t="s">
        <v>189</v>
      </c>
    </row>
    <row r="24" ht="14.25" customHeight="1">
      <c r="B24" s="125" t="s">
        <v>2417</v>
      </c>
      <c r="C24" s="125" t="s">
        <v>2418</v>
      </c>
      <c r="D24" s="125" t="s">
        <v>1739</v>
      </c>
      <c r="F24" s="125">
        <v>1.0</v>
      </c>
      <c r="H24" s="125" t="s">
        <v>27</v>
      </c>
      <c r="I24" s="125" t="s">
        <v>1102</v>
      </c>
      <c r="O24" s="125" t="s">
        <v>54</v>
      </c>
      <c r="P24" s="125" t="s">
        <v>188</v>
      </c>
    </row>
    <row r="25" ht="14.25" customHeight="1">
      <c r="B25" s="125" t="s">
        <v>317</v>
      </c>
      <c r="C25" s="125" t="s">
        <v>2419</v>
      </c>
      <c r="D25" s="125" t="s">
        <v>676</v>
      </c>
      <c r="F25" s="125">
        <v>2.0</v>
      </c>
      <c r="H25" s="125" t="s">
        <v>27</v>
      </c>
      <c r="I25" s="125" t="s">
        <v>1977</v>
      </c>
      <c r="O25" s="125" t="s">
        <v>74</v>
      </c>
      <c r="P25" s="125" t="s">
        <v>188</v>
      </c>
    </row>
    <row r="26" ht="14.25" customHeight="1">
      <c r="A26" s="126">
        <f>-A29</f>
        <v>0</v>
      </c>
      <c r="B26" s="125" t="s">
        <v>2420</v>
      </c>
      <c r="C26" s="125" t="s">
        <v>2421</v>
      </c>
      <c r="D26" s="125" t="s">
        <v>1253</v>
      </c>
      <c r="F26" s="125">
        <v>2.0</v>
      </c>
      <c r="H26" s="125" t="s">
        <v>27</v>
      </c>
      <c r="I26" s="125" t="s">
        <v>1102</v>
      </c>
      <c r="O26" s="125" t="s">
        <v>74</v>
      </c>
      <c r="P26" s="125" t="s">
        <v>188</v>
      </c>
    </row>
    <row r="27" ht="14.25" customHeight="1">
      <c r="B27" s="125" t="s">
        <v>284</v>
      </c>
      <c r="C27" s="125" t="s">
        <v>2422</v>
      </c>
      <c r="D27" s="125" t="s">
        <v>785</v>
      </c>
      <c r="F27" s="125">
        <v>1.0</v>
      </c>
      <c r="H27" s="125" t="s">
        <v>27</v>
      </c>
      <c r="I27" s="125" t="s">
        <v>992</v>
      </c>
      <c r="O27" s="125" t="s">
        <v>54</v>
      </c>
      <c r="P27" s="125" t="s">
        <v>188</v>
      </c>
    </row>
    <row r="28" ht="14.25" customHeight="1">
      <c r="B28" s="125" t="s">
        <v>2423</v>
      </c>
      <c r="C28" s="125" t="s">
        <v>219</v>
      </c>
      <c r="D28" s="125" t="s">
        <v>785</v>
      </c>
      <c r="F28" s="125">
        <v>5.0</v>
      </c>
      <c r="H28" s="125" t="s">
        <v>27</v>
      </c>
      <c r="I28" s="125" t="s">
        <v>992</v>
      </c>
      <c r="O28" s="125" t="s">
        <v>54</v>
      </c>
      <c r="P28" s="125" t="s">
        <v>188</v>
      </c>
    </row>
    <row r="29" ht="14.25" customHeight="1">
      <c r="B29" s="125" t="s">
        <v>1673</v>
      </c>
      <c r="C29" s="125" t="s">
        <v>1737</v>
      </c>
      <c r="D29" s="125" t="s">
        <v>796</v>
      </c>
      <c r="F29" s="125">
        <v>2.0</v>
      </c>
      <c r="H29" s="125" t="s">
        <v>27</v>
      </c>
      <c r="I29" s="125" t="s">
        <v>1102</v>
      </c>
      <c r="O29" s="125" t="s">
        <v>74</v>
      </c>
      <c r="P29" s="125" t="s">
        <v>188</v>
      </c>
    </row>
    <row r="30" ht="14.25" customHeight="1">
      <c r="B30" s="125" t="s">
        <v>331</v>
      </c>
      <c r="C30" s="125" t="s">
        <v>2424</v>
      </c>
      <c r="D30" s="125" t="s">
        <v>796</v>
      </c>
      <c r="F30" s="125">
        <v>1.0</v>
      </c>
      <c r="H30" s="125" t="s">
        <v>27</v>
      </c>
      <c r="I30" s="125" t="s">
        <v>1102</v>
      </c>
      <c r="O30" s="125" t="s">
        <v>54</v>
      </c>
      <c r="P30" s="125" t="s">
        <v>188</v>
      </c>
    </row>
    <row r="31" ht="14.25" customHeight="1">
      <c r="B31" s="125" t="s">
        <v>1525</v>
      </c>
      <c r="C31" s="125" t="s">
        <v>1737</v>
      </c>
      <c r="D31" s="125" t="s">
        <v>796</v>
      </c>
      <c r="F31" s="125">
        <v>1.0</v>
      </c>
      <c r="H31" s="125" t="s">
        <v>27</v>
      </c>
      <c r="I31" s="125" t="s">
        <v>1102</v>
      </c>
      <c r="O31" s="125" t="s">
        <v>54</v>
      </c>
      <c r="P31" s="125" t="s">
        <v>188</v>
      </c>
    </row>
    <row r="32" ht="14.25" customHeight="1">
      <c r="B32" s="125" t="s">
        <v>1449</v>
      </c>
      <c r="C32" s="125" t="s">
        <v>1737</v>
      </c>
      <c r="D32" s="125" t="s">
        <v>796</v>
      </c>
      <c r="F32" s="125">
        <v>1.0</v>
      </c>
      <c r="H32" s="125" t="s">
        <v>27</v>
      </c>
      <c r="I32" s="125" t="s">
        <v>1102</v>
      </c>
      <c r="O32" s="125" t="s">
        <v>74</v>
      </c>
      <c r="P32" s="125" t="s">
        <v>188</v>
      </c>
    </row>
    <row r="33" ht="14.25" customHeight="1">
      <c r="B33" s="125" t="s">
        <v>2425</v>
      </c>
      <c r="C33" s="125" t="s">
        <v>744</v>
      </c>
      <c r="D33" s="125" t="s">
        <v>621</v>
      </c>
      <c r="F33" s="125">
        <v>1.0</v>
      </c>
      <c r="H33" s="125" t="s">
        <v>27</v>
      </c>
      <c r="I33" s="125" t="s">
        <v>1977</v>
      </c>
      <c r="O33" s="125" t="s">
        <v>54</v>
      </c>
      <c r="P33" s="125" t="s">
        <v>188</v>
      </c>
    </row>
    <row r="34" ht="14.25" customHeight="1">
      <c r="B34" s="125" t="s">
        <v>815</v>
      </c>
      <c r="C34" s="125" t="s">
        <v>691</v>
      </c>
      <c r="D34" s="125" t="s">
        <v>679</v>
      </c>
      <c r="F34" s="125">
        <v>2.0</v>
      </c>
      <c r="H34" s="125" t="s">
        <v>27</v>
      </c>
      <c r="I34" s="125" t="s">
        <v>992</v>
      </c>
      <c r="O34" s="125" t="s">
        <v>54</v>
      </c>
      <c r="P34" s="125" t="s">
        <v>188</v>
      </c>
    </row>
    <row r="35" ht="14.25" customHeight="1">
      <c r="B35" s="125" t="s">
        <v>1111</v>
      </c>
      <c r="C35" s="125" t="s">
        <v>323</v>
      </c>
      <c r="D35" s="125" t="s">
        <v>2426</v>
      </c>
      <c r="F35" s="125">
        <v>1.0</v>
      </c>
      <c r="H35" s="125" t="s">
        <v>27</v>
      </c>
      <c r="I35" s="125" t="s">
        <v>1977</v>
      </c>
      <c r="O35" s="125" t="s">
        <v>54</v>
      </c>
      <c r="P35" s="125" t="s">
        <v>188</v>
      </c>
    </row>
    <row r="36" ht="14.25" customHeight="1">
      <c r="B36" s="125" t="s">
        <v>2427</v>
      </c>
      <c r="C36" s="125" t="s">
        <v>681</v>
      </c>
      <c r="D36" s="125" t="s">
        <v>323</v>
      </c>
      <c r="F36" s="125">
        <v>1.0</v>
      </c>
      <c r="H36" s="125" t="s">
        <v>27</v>
      </c>
      <c r="I36" s="125" t="s">
        <v>1102</v>
      </c>
      <c r="O36" s="125" t="s">
        <v>54</v>
      </c>
      <c r="P36" s="125" t="s">
        <v>188</v>
      </c>
    </row>
    <row r="37" ht="14.25" customHeight="1">
      <c r="B37" s="125" t="s">
        <v>2428</v>
      </c>
      <c r="C37" s="125" t="s">
        <v>2429</v>
      </c>
      <c r="D37" s="125" t="s">
        <v>69</v>
      </c>
      <c r="F37" s="125">
        <v>1.0</v>
      </c>
      <c r="H37" s="125" t="s">
        <v>27</v>
      </c>
      <c r="I37" s="125" t="s">
        <v>1977</v>
      </c>
      <c r="O37" s="125" t="s">
        <v>74</v>
      </c>
      <c r="P37" s="125" t="s">
        <v>188</v>
      </c>
    </row>
    <row r="38" ht="14.25" customHeight="1">
      <c r="B38" s="125" t="s">
        <v>2430</v>
      </c>
      <c r="C38" s="125" t="s">
        <v>2431</v>
      </c>
      <c r="D38" s="125" t="s">
        <v>687</v>
      </c>
      <c r="F38" s="125">
        <v>1.0</v>
      </c>
      <c r="H38" s="125" t="s">
        <v>27</v>
      </c>
      <c r="I38" s="125" t="s">
        <v>1102</v>
      </c>
      <c r="O38" s="125" t="s">
        <v>74</v>
      </c>
      <c r="P38" s="125" t="s">
        <v>188</v>
      </c>
    </row>
    <row r="39" ht="14.25" customHeight="1">
      <c r="B39" s="125" t="s">
        <v>1192</v>
      </c>
      <c r="C39" s="125" t="s">
        <v>2432</v>
      </c>
      <c r="D39" s="125" t="s">
        <v>2433</v>
      </c>
      <c r="F39" s="125">
        <v>1.0</v>
      </c>
      <c r="H39" s="125" t="s">
        <v>27</v>
      </c>
      <c r="I39" s="125" t="s">
        <v>1977</v>
      </c>
      <c r="O39" s="125" t="s">
        <v>74</v>
      </c>
      <c r="P39" s="125" t="s">
        <v>188</v>
      </c>
    </row>
    <row r="40" ht="14.25" customHeight="1">
      <c r="B40" s="125" t="s">
        <v>2434</v>
      </c>
      <c r="C40" s="125" t="s">
        <v>779</v>
      </c>
      <c r="D40" s="125" t="s">
        <v>864</v>
      </c>
      <c r="F40" s="125">
        <v>1.0</v>
      </c>
      <c r="H40" s="125" t="s">
        <v>27</v>
      </c>
      <c r="I40" s="125" t="s">
        <v>1977</v>
      </c>
      <c r="O40" s="125" t="s">
        <v>74</v>
      </c>
      <c r="P40" s="125" t="s">
        <v>188</v>
      </c>
    </row>
    <row r="41" ht="14.25" customHeight="1">
      <c r="B41" s="125" t="s">
        <v>2435</v>
      </c>
      <c r="C41" s="125" t="s">
        <v>687</v>
      </c>
      <c r="D41" s="125" t="s">
        <v>2436</v>
      </c>
      <c r="F41" s="125">
        <v>2.0</v>
      </c>
      <c r="H41" s="125" t="s">
        <v>27</v>
      </c>
      <c r="I41" s="125" t="s">
        <v>992</v>
      </c>
      <c r="O41" s="125" t="s">
        <v>74</v>
      </c>
      <c r="P41" s="125" t="s">
        <v>188</v>
      </c>
    </row>
    <row r="42" ht="14.25" customHeight="1">
      <c r="B42" s="125" t="s">
        <v>90</v>
      </c>
      <c r="C42" s="125" t="s">
        <v>2437</v>
      </c>
      <c r="D42" s="125" t="s">
        <v>1438</v>
      </c>
      <c r="E42" s="125" t="s">
        <v>137</v>
      </c>
      <c r="F42" s="125">
        <v>2.0</v>
      </c>
      <c r="H42" s="125" t="s">
        <v>27</v>
      </c>
      <c r="I42" s="125" t="s">
        <v>1977</v>
      </c>
      <c r="O42" s="125" t="s">
        <v>54</v>
      </c>
      <c r="P42" s="125" t="s">
        <v>188</v>
      </c>
    </row>
    <row r="43" ht="14.25" customHeight="1">
      <c r="B43" s="125" t="s">
        <v>2438</v>
      </c>
      <c r="C43" s="125" t="s">
        <v>2439</v>
      </c>
      <c r="D43" s="125" t="s">
        <v>1438</v>
      </c>
      <c r="F43" s="125">
        <v>1.0</v>
      </c>
      <c r="H43" s="125" t="s">
        <v>27</v>
      </c>
      <c r="I43" s="125" t="s">
        <v>1102</v>
      </c>
      <c r="O43" s="125" t="s">
        <v>54</v>
      </c>
      <c r="P43" s="125" t="s">
        <v>188</v>
      </c>
    </row>
    <row r="44" ht="14.25" customHeight="1">
      <c r="B44" s="125" t="s">
        <v>2440</v>
      </c>
      <c r="C44" s="125" t="s">
        <v>878</v>
      </c>
      <c r="D44" s="125" t="s">
        <v>879</v>
      </c>
      <c r="F44" s="125">
        <v>2.0</v>
      </c>
      <c r="H44" s="125" t="s">
        <v>27</v>
      </c>
      <c r="I44" s="125" t="s">
        <v>992</v>
      </c>
      <c r="O44" s="125" t="s">
        <v>54</v>
      </c>
      <c r="P44" s="125" t="s">
        <v>188</v>
      </c>
    </row>
    <row r="45" ht="14.25" customHeight="1">
      <c r="B45" s="125" t="s">
        <v>2441</v>
      </c>
      <c r="C45" s="125" t="s">
        <v>323</v>
      </c>
      <c r="D45" s="125" t="s">
        <v>879</v>
      </c>
      <c r="F45" s="125">
        <v>1.0</v>
      </c>
      <c r="H45" s="125" t="s">
        <v>27</v>
      </c>
      <c r="I45" s="125" t="s">
        <v>992</v>
      </c>
      <c r="O45" s="125" t="s">
        <v>74</v>
      </c>
      <c r="P45" s="125" t="s">
        <v>188</v>
      </c>
    </row>
    <row r="46" ht="14.25" customHeight="1">
      <c r="B46" s="125" t="s">
        <v>695</v>
      </c>
      <c r="C46" s="125" t="s">
        <v>2442</v>
      </c>
      <c r="D46" s="125" t="s">
        <v>810</v>
      </c>
      <c r="F46" s="125">
        <v>1.0</v>
      </c>
      <c r="H46" s="125" t="s">
        <v>27</v>
      </c>
      <c r="I46" s="125" t="s">
        <v>1102</v>
      </c>
      <c r="O46" s="125" t="s">
        <v>54</v>
      </c>
      <c r="P46" s="125" t="s">
        <v>188</v>
      </c>
    </row>
    <row r="47" ht="14.25" customHeight="1">
      <c r="B47" s="125" t="s">
        <v>2211</v>
      </c>
      <c r="C47" s="125" t="s">
        <v>2443</v>
      </c>
      <c r="D47" s="125" t="s">
        <v>76</v>
      </c>
      <c r="F47" s="125">
        <v>1.0</v>
      </c>
      <c r="H47" s="125" t="s">
        <v>27</v>
      </c>
      <c r="I47" s="125" t="s">
        <v>1102</v>
      </c>
      <c r="O47" s="125" t="s">
        <v>74</v>
      </c>
      <c r="P47" s="125" t="s">
        <v>188</v>
      </c>
    </row>
    <row r="48" ht="14.25" customHeight="1">
      <c r="B48" s="125" t="s">
        <v>2444</v>
      </c>
      <c r="C48" s="125" t="s">
        <v>357</v>
      </c>
      <c r="D48" s="125" t="s">
        <v>889</v>
      </c>
      <c r="F48" s="125">
        <v>5.0</v>
      </c>
      <c r="H48" s="125" t="s">
        <v>27</v>
      </c>
      <c r="I48" s="125" t="s">
        <v>1102</v>
      </c>
      <c r="O48" s="125" t="s">
        <v>54</v>
      </c>
      <c r="P48" s="125" t="s">
        <v>188</v>
      </c>
    </row>
    <row r="49" ht="14.25" customHeight="1">
      <c r="B49" s="125" t="s">
        <v>2445</v>
      </c>
      <c r="C49" s="125" t="s">
        <v>1737</v>
      </c>
      <c r="D49" s="125" t="s">
        <v>2446</v>
      </c>
      <c r="F49" s="125">
        <v>1.0</v>
      </c>
      <c r="H49" s="125" t="s">
        <v>27</v>
      </c>
      <c r="I49" s="125" t="s">
        <v>1102</v>
      </c>
      <c r="O49" s="125" t="s">
        <v>74</v>
      </c>
      <c r="P49" s="125" t="s">
        <v>188</v>
      </c>
    </row>
    <row r="50" ht="14.25" customHeight="1">
      <c r="B50" s="125" t="s">
        <v>420</v>
      </c>
      <c r="C50" s="125" t="s">
        <v>767</v>
      </c>
      <c r="D50" s="125" t="s">
        <v>727</v>
      </c>
      <c r="F50" s="125">
        <v>1.0</v>
      </c>
      <c r="H50" s="125" t="s">
        <v>27</v>
      </c>
      <c r="I50" s="125" t="s">
        <v>1102</v>
      </c>
      <c r="O50" s="125" t="s">
        <v>54</v>
      </c>
      <c r="P50" s="125" t="s">
        <v>188</v>
      </c>
    </row>
    <row r="51" ht="14.25" customHeight="1">
      <c r="B51" s="125" t="s">
        <v>2447</v>
      </c>
      <c r="C51" s="125" t="s">
        <v>1160</v>
      </c>
      <c r="D51" s="125" t="s">
        <v>1249</v>
      </c>
      <c r="F51" s="125">
        <v>1.0</v>
      </c>
      <c r="H51" s="125" t="s">
        <v>27</v>
      </c>
      <c r="I51" s="125" t="s">
        <v>992</v>
      </c>
      <c r="O51" s="125" t="s">
        <v>54</v>
      </c>
      <c r="P51" s="125" t="s">
        <v>188</v>
      </c>
    </row>
    <row r="52" ht="14.25" customHeight="1">
      <c r="B52" s="125" t="s">
        <v>2448</v>
      </c>
      <c r="C52" s="125" t="s">
        <v>2449</v>
      </c>
      <c r="D52" s="125" t="s">
        <v>2450</v>
      </c>
      <c r="F52" s="125">
        <v>1.0</v>
      </c>
      <c r="H52" s="125" t="s">
        <v>27</v>
      </c>
      <c r="I52" s="125" t="s">
        <v>1102</v>
      </c>
      <c r="O52" s="125" t="s">
        <v>74</v>
      </c>
      <c r="P52" s="125" t="s">
        <v>188</v>
      </c>
    </row>
    <row r="53" ht="14.25" customHeight="1">
      <c r="B53" s="125" t="s">
        <v>2117</v>
      </c>
      <c r="C53" s="125" t="s">
        <v>793</v>
      </c>
      <c r="D53" s="125" t="s">
        <v>881</v>
      </c>
      <c r="F53" s="125">
        <v>4.0</v>
      </c>
      <c r="H53" s="125" t="s">
        <v>27</v>
      </c>
      <c r="I53" s="125" t="s">
        <v>992</v>
      </c>
      <c r="O53" s="125" t="s">
        <v>54</v>
      </c>
      <c r="P53" s="125" t="s">
        <v>188</v>
      </c>
    </row>
    <row r="54" ht="14.25" customHeight="1">
      <c r="B54" s="125" t="s">
        <v>2451</v>
      </c>
      <c r="C54" s="125" t="s">
        <v>2452</v>
      </c>
      <c r="D54" s="125" t="s">
        <v>881</v>
      </c>
      <c r="F54" s="125">
        <v>1.0</v>
      </c>
      <c r="H54" s="125" t="s">
        <v>27</v>
      </c>
      <c r="I54" s="125" t="s">
        <v>992</v>
      </c>
      <c r="O54" s="125" t="s">
        <v>54</v>
      </c>
      <c r="P54" s="125" t="s">
        <v>188</v>
      </c>
    </row>
    <row r="55" ht="14.25" customHeight="1">
      <c r="B55" s="125" t="s">
        <v>2451</v>
      </c>
      <c r="C55" s="125" t="s">
        <v>793</v>
      </c>
      <c r="D55" s="125" t="s">
        <v>881</v>
      </c>
      <c r="E55" s="125" t="s">
        <v>86</v>
      </c>
      <c r="F55" s="125">
        <v>1.0</v>
      </c>
      <c r="H55" s="125" t="s">
        <v>27</v>
      </c>
      <c r="I55" s="125" t="s">
        <v>992</v>
      </c>
      <c r="O55" s="125" t="s">
        <v>54</v>
      </c>
      <c r="P55" s="125" t="s">
        <v>188</v>
      </c>
    </row>
    <row r="56" ht="14.25" customHeight="1">
      <c r="B56" s="125" t="s">
        <v>2453</v>
      </c>
      <c r="C56" s="125" t="s">
        <v>2454</v>
      </c>
      <c r="D56" s="125" t="s">
        <v>2455</v>
      </c>
      <c r="F56" s="125">
        <v>1.0</v>
      </c>
      <c r="H56" s="125" t="s">
        <v>27</v>
      </c>
      <c r="I56" s="125" t="s">
        <v>992</v>
      </c>
      <c r="O56" s="125" t="s">
        <v>74</v>
      </c>
      <c r="P56" s="125" t="s">
        <v>188</v>
      </c>
    </row>
    <row r="57" ht="14.25" customHeight="1">
      <c r="B57" s="125" t="s">
        <v>2456</v>
      </c>
      <c r="C57" s="125" t="s">
        <v>1443</v>
      </c>
      <c r="D57" s="125" t="s">
        <v>117</v>
      </c>
      <c r="F57" s="125">
        <v>2.0</v>
      </c>
      <c r="H57" s="125" t="s">
        <v>27</v>
      </c>
      <c r="I57" s="125" t="s">
        <v>1102</v>
      </c>
      <c r="O57" s="125" t="s">
        <v>54</v>
      </c>
      <c r="P57" s="125" t="s">
        <v>188</v>
      </c>
    </row>
    <row r="58" ht="14.25" customHeight="1">
      <c r="B58" s="125" t="s">
        <v>582</v>
      </c>
      <c r="C58" s="125" t="s">
        <v>2457</v>
      </c>
      <c r="D58" s="125" t="s">
        <v>921</v>
      </c>
      <c r="E58" s="125" t="s">
        <v>86</v>
      </c>
      <c r="F58" s="125">
        <v>2.0</v>
      </c>
      <c r="H58" s="125" t="s">
        <v>27</v>
      </c>
      <c r="I58" s="125" t="s">
        <v>1102</v>
      </c>
      <c r="O58" s="125" t="s">
        <v>54</v>
      </c>
      <c r="P58" s="125" t="s">
        <v>188</v>
      </c>
    </row>
    <row r="59" ht="14.25" customHeight="1">
      <c r="B59" s="125" t="s">
        <v>2458</v>
      </c>
      <c r="C59" s="125" t="s">
        <v>2459</v>
      </c>
      <c r="D59" s="125" t="s">
        <v>2460</v>
      </c>
      <c r="F59" s="125">
        <v>1.0</v>
      </c>
      <c r="H59" s="125" t="s">
        <v>28</v>
      </c>
      <c r="I59" s="125" t="s">
        <v>179</v>
      </c>
      <c r="O59" s="125" t="s">
        <v>74</v>
      </c>
      <c r="P59" s="125" t="s">
        <v>188</v>
      </c>
    </row>
    <row r="60" ht="14.25" customHeight="1">
      <c r="B60" s="125" t="s">
        <v>2461</v>
      </c>
      <c r="C60" s="125" t="s">
        <v>1281</v>
      </c>
      <c r="D60" s="125" t="s">
        <v>2462</v>
      </c>
      <c r="F60" s="125">
        <v>1.6</v>
      </c>
      <c r="H60" s="125" t="s">
        <v>28</v>
      </c>
      <c r="K60" s="125" t="s">
        <v>172</v>
      </c>
      <c r="O60" s="125" t="s">
        <v>54</v>
      </c>
      <c r="P60" s="125" t="s">
        <v>189</v>
      </c>
    </row>
    <row r="61" ht="14.25" customHeight="1">
      <c r="B61" s="125" t="s">
        <v>2463</v>
      </c>
      <c r="C61" s="125" t="s">
        <v>2464</v>
      </c>
      <c r="D61" s="125" t="s">
        <v>2465</v>
      </c>
      <c r="F61" s="125">
        <v>2.0</v>
      </c>
      <c r="H61" s="125" t="s">
        <v>28</v>
      </c>
      <c r="K61" s="125" t="s">
        <v>172</v>
      </c>
      <c r="O61" s="125" t="s">
        <v>54</v>
      </c>
      <c r="P61" s="125" t="s">
        <v>189</v>
      </c>
    </row>
    <row r="62" ht="14.25" customHeight="1">
      <c r="B62" s="125" t="s">
        <v>2466</v>
      </c>
      <c r="C62" s="125" t="s">
        <v>2464</v>
      </c>
      <c r="D62" s="125" t="s">
        <v>2465</v>
      </c>
      <c r="F62" s="125">
        <v>1.2</v>
      </c>
      <c r="H62" s="125" t="s">
        <v>28</v>
      </c>
      <c r="K62" s="125" t="s">
        <v>172</v>
      </c>
      <c r="O62" s="125" t="s">
        <v>54</v>
      </c>
      <c r="P62" s="125" t="s">
        <v>189</v>
      </c>
    </row>
    <row r="63" ht="14.25" customHeight="1">
      <c r="B63" s="125" t="s">
        <v>233</v>
      </c>
      <c r="C63" s="125" t="s">
        <v>2467</v>
      </c>
      <c r="D63" s="125" t="s">
        <v>2465</v>
      </c>
      <c r="F63" s="125">
        <v>2.0</v>
      </c>
      <c r="H63" s="125" t="s">
        <v>28</v>
      </c>
      <c r="K63" s="125" t="s">
        <v>172</v>
      </c>
      <c r="O63" s="125" t="s">
        <v>54</v>
      </c>
      <c r="P63" s="125" t="s">
        <v>189</v>
      </c>
    </row>
    <row r="64" ht="14.25" customHeight="1">
      <c r="B64" s="125" t="s">
        <v>2468</v>
      </c>
      <c r="C64" s="125" t="s">
        <v>1499</v>
      </c>
      <c r="D64" s="125" t="s">
        <v>2465</v>
      </c>
      <c r="F64" s="125">
        <v>1.4</v>
      </c>
      <c r="H64" s="125" t="s">
        <v>28</v>
      </c>
      <c r="K64" s="125" t="s">
        <v>172</v>
      </c>
      <c r="O64" s="125" t="s">
        <v>54</v>
      </c>
      <c r="P64" s="125" t="s">
        <v>189</v>
      </c>
    </row>
    <row r="65" ht="14.25" customHeight="1">
      <c r="B65" s="125" t="s">
        <v>1368</v>
      </c>
      <c r="C65" s="125" t="s">
        <v>2464</v>
      </c>
      <c r="D65" s="125" t="s">
        <v>2465</v>
      </c>
      <c r="F65" s="125">
        <v>2.4</v>
      </c>
      <c r="H65" s="125" t="s">
        <v>28</v>
      </c>
      <c r="K65" s="125" t="s">
        <v>172</v>
      </c>
      <c r="O65" s="125" t="s">
        <v>54</v>
      </c>
      <c r="P65" s="125" t="s">
        <v>189</v>
      </c>
    </row>
    <row r="66" ht="14.25" customHeight="1">
      <c r="B66" s="125" t="s">
        <v>2469</v>
      </c>
      <c r="C66" s="125" t="s">
        <v>2470</v>
      </c>
      <c r="D66" s="125" t="s">
        <v>2471</v>
      </c>
      <c r="F66" s="125">
        <v>2.0</v>
      </c>
      <c r="H66" s="125" t="s">
        <v>28</v>
      </c>
      <c r="K66" s="125" t="s">
        <v>53</v>
      </c>
      <c r="O66" s="125" t="s">
        <v>54</v>
      </c>
      <c r="P66" s="125" t="s">
        <v>189</v>
      </c>
    </row>
    <row r="67" ht="14.25" customHeight="1">
      <c r="B67" s="125" t="s">
        <v>1015</v>
      </c>
      <c r="C67" s="125" t="s">
        <v>2472</v>
      </c>
      <c r="D67" s="125" t="s">
        <v>2111</v>
      </c>
      <c r="F67" s="125">
        <v>1.8</v>
      </c>
      <c r="H67" s="125" t="s">
        <v>28</v>
      </c>
      <c r="K67" s="125" t="s">
        <v>155</v>
      </c>
      <c r="O67" s="125" t="s">
        <v>54</v>
      </c>
      <c r="P67" s="125" t="s">
        <v>189</v>
      </c>
    </row>
    <row r="68" ht="14.25" customHeight="1">
      <c r="B68" s="125" t="s">
        <v>2233</v>
      </c>
      <c r="C68" s="125" t="s">
        <v>2473</v>
      </c>
      <c r="D68" s="125" t="s">
        <v>1163</v>
      </c>
      <c r="F68" s="125">
        <v>0.5</v>
      </c>
      <c r="H68" s="125" t="s">
        <v>28</v>
      </c>
      <c r="K68" s="125" t="s">
        <v>155</v>
      </c>
      <c r="O68" s="125" t="s">
        <v>74</v>
      </c>
      <c r="P68" s="125" t="s">
        <v>189</v>
      </c>
    </row>
    <row r="69" ht="14.25" customHeight="1">
      <c r="B69" s="125" t="s">
        <v>844</v>
      </c>
      <c r="C69" s="125" t="s">
        <v>2474</v>
      </c>
      <c r="D69" s="125" t="s">
        <v>2475</v>
      </c>
      <c r="F69" s="125">
        <v>1.0</v>
      </c>
      <c r="H69" s="125" t="s">
        <v>28</v>
      </c>
      <c r="K69" s="125" t="s">
        <v>155</v>
      </c>
      <c r="O69" s="125" t="s">
        <v>54</v>
      </c>
      <c r="P69" s="125" t="s">
        <v>189</v>
      </c>
    </row>
    <row r="70" ht="14.25" customHeight="1">
      <c r="B70" s="125" t="s">
        <v>518</v>
      </c>
      <c r="D70" s="125" t="s">
        <v>2475</v>
      </c>
      <c r="F70" s="125">
        <v>2.9</v>
      </c>
      <c r="H70" s="125" t="s">
        <v>28</v>
      </c>
      <c r="K70" s="125" t="s">
        <v>53</v>
      </c>
      <c r="O70" s="125" t="s">
        <v>54</v>
      </c>
      <c r="P70" s="125" t="s">
        <v>189</v>
      </c>
    </row>
    <row r="71" ht="14.25" customHeight="1">
      <c r="B71" s="125" t="s">
        <v>2476</v>
      </c>
      <c r="C71" s="125" t="s">
        <v>2477</v>
      </c>
      <c r="D71" s="125" t="s">
        <v>2478</v>
      </c>
      <c r="F71" s="125">
        <v>1.0</v>
      </c>
      <c r="H71" s="125" t="s">
        <v>28</v>
      </c>
      <c r="K71" s="125" t="s">
        <v>155</v>
      </c>
      <c r="O71" s="125" t="s">
        <v>54</v>
      </c>
      <c r="P71" s="125" t="s">
        <v>189</v>
      </c>
    </row>
    <row r="72" ht="14.25" customHeight="1">
      <c r="B72" s="125" t="s">
        <v>2479</v>
      </c>
      <c r="C72" s="125" t="s">
        <v>2112</v>
      </c>
      <c r="D72" s="125" t="s">
        <v>2113</v>
      </c>
      <c r="F72" s="125">
        <v>1.0</v>
      </c>
      <c r="H72" s="125" t="s">
        <v>28</v>
      </c>
      <c r="K72" s="125" t="s">
        <v>53</v>
      </c>
      <c r="O72" s="125" t="s">
        <v>54</v>
      </c>
      <c r="P72" s="125" t="s">
        <v>189</v>
      </c>
    </row>
    <row r="73" ht="14.25" customHeight="1">
      <c r="B73" s="125" t="s">
        <v>2480</v>
      </c>
      <c r="C73" s="125" t="s">
        <v>2481</v>
      </c>
      <c r="D73" s="125" t="s">
        <v>2482</v>
      </c>
      <c r="F73" s="125">
        <v>1.0</v>
      </c>
      <c r="H73" s="125" t="s">
        <v>28</v>
      </c>
      <c r="M73" s="125" t="s">
        <v>740</v>
      </c>
      <c r="O73" s="125" t="s">
        <v>74</v>
      </c>
      <c r="P73" s="125" t="s">
        <v>190</v>
      </c>
    </row>
    <row r="74" ht="14.25" customHeight="1">
      <c r="B74" s="125" t="s">
        <v>2483</v>
      </c>
      <c r="C74" s="125" t="s">
        <v>2484</v>
      </c>
      <c r="D74" s="125" t="s">
        <v>2485</v>
      </c>
      <c r="F74" s="125">
        <v>1.0</v>
      </c>
      <c r="H74" s="125" t="s">
        <v>28</v>
      </c>
      <c r="M74" s="125" t="s">
        <v>133</v>
      </c>
      <c r="O74" s="125" t="s">
        <v>74</v>
      </c>
      <c r="P74" s="125" t="s">
        <v>190</v>
      </c>
    </row>
    <row r="75" ht="14.25" customHeight="1">
      <c r="B75" s="125" t="s">
        <v>2486</v>
      </c>
      <c r="C75" s="125" t="s">
        <v>2487</v>
      </c>
      <c r="D75" s="125" t="s">
        <v>2485</v>
      </c>
      <c r="F75" s="125">
        <v>1.0</v>
      </c>
      <c r="H75" s="125" t="s">
        <v>28</v>
      </c>
      <c r="M75" s="125" t="s">
        <v>133</v>
      </c>
      <c r="O75" s="125" t="s">
        <v>74</v>
      </c>
      <c r="P75" s="125" t="s">
        <v>190</v>
      </c>
    </row>
    <row r="76" ht="14.25" customHeight="1">
      <c r="B76" s="125" t="s">
        <v>2488</v>
      </c>
      <c r="C76" s="125" t="s">
        <v>2489</v>
      </c>
      <c r="D76" s="125" t="s">
        <v>1619</v>
      </c>
      <c r="E76" s="125" t="s">
        <v>86</v>
      </c>
      <c r="F76" s="125">
        <v>2.5</v>
      </c>
      <c r="H76" s="125" t="s">
        <v>28</v>
      </c>
      <c r="I76" s="125" t="s">
        <v>924</v>
      </c>
      <c r="O76" s="125" t="s">
        <v>54</v>
      </c>
      <c r="P76" s="125" t="s">
        <v>188</v>
      </c>
    </row>
    <row r="77" ht="14.25" customHeight="1">
      <c r="B77" s="125" t="s">
        <v>608</v>
      </c>
      <c r="C77" s="125" t="s">
        <v>2490</v>
      </c>
      <c r="D77" s="125" t="s">
        <v>2491</v>
      </c>
      <c r="F77" s="125">
        <v>2.6</v>
      </c>
      <c r="H77" s="125" t="s">
        <v>28</v>
      </c>
      <c r="I77" s="125" t="s">
        <v>924</v>
      </c>
      <c r="O77" s="125" t="s">
        <v>54</v>
      </c>
      <c r="P77" s="125" t="s">
        <v>188</v>
      </c>
    </row>
    <row r="78" ht="14.25" customHeight="1">
      <c r="B78" s="125" t="s">
        <v>1404</v>
      </c>
      <c r="C78" s="125" t="s">
        <v>181</v>
      </c>
      <c r="D78" s="125" t="s">
        <v>2492</v>
      </c>
      <c r="F78" s="125">
        <v>1.0</v>
      </c>
      <c r="H78" s="125" t="s">
        <v>28</v>
      </c>
      <c r="K78" s="125" t="s">
        <v>172</v>
      </c>
      <c r="O78" s="125" t="s">
        <v>54</v>
      </c>
      <c r="P78" s="125" t="s">
        <v>189</v>
      </c>
    </row>
    <row r="79" ht="14.25" customHeight="1">
      <c r="B79" s="125" t="s">
        <v>733</v>
      </c>
      <c r="C79" s="125" t="s">
        <v>2449</v>
      </c>
      <c r="D79" s="125" t="s">
        <v>2492</v>
      </c>
      <c r="F79" s="125">
        <v>1.0</v>
      </c>
      <c r="H79" s="125" t="s">
        <v>28</v>
      </c>
      <c r="K79" s="125" t="s">
        <v>172</v>
      </c>
      <c r="O79" s="125" t="s">
        <v>54</v>
      </c>
      <c r="P79" s="125" t="s">
        <v>189</v>
      </c>
    </row>
    <row r="80" ht="14.25" customHeight="1">
      <c r="B80" s="125" t="s">
        <v>1227</v>
      </c>
      <c r="C80" s="125" t="s">
        <v>2493</v>
      </c>
      <c r="D80" s="125" t="s">
        <v>465</v>
      </c>
      <c r="F80" s="125">
        <v>1.0</v>
      </c>
      <c r="H80" s="125" t="s">
        <v>28</v>
      </c>
      <c r="K80" s="125" t="s">
        <v>172</v>
      </c>
      <c r="O80" s="125" t="s">
        <v>54</v>
      </c>
      <c r="P80" s="125" t="s">
        <v>189</v>
      </c>
    </row>
    <row r="81" ht="14.25" customHeight="1">
      <c r="B81" s="125" t="s">
        <v>2494</v>
      </c>
      <c r="C81" s="125" t="s">
        <v>464</v>
      </c>
      <c r="D81" s="125" t="s">
        <v>465</v>
      </c>
      <c r="F81" s="125">
        <v>1.0</v>
      </c>
      <c r="H81" s="125" t="s">
        <v>28</v>
      </c>
      <c r="K81" s="125" t="s">
        <v>53</v>
      </c>
      <c r="O81" s="125" t="s">
        <v>74</v>
      </c>
      <c r="P81" s="125" t="s">
        <v>189</v>
      </c>
    </row>
    <row r="82" ht="14.25" customHeight="1">
      <c r="B82" s="125" t="s">
        <v>1607</v>
      </c>
      <c r="C82" s="125" t="s">
        <v>800</v>
      </c>
      <c r="D82" s="125" t="s">
        <v>2495</v>
      </c>
      <c r="F82" s="125">
        <v>1.0</v>
      </c>
      <c r="H82" s="125" t="s">
        <v>28</v>
      </c>
      <c r="K82" s="125" t="s">
        <v>155</v>
      </c>
      <c r="O82" s="125" t="s">
        <v>54</v>
      </c>
      <c r="P82" s="125" t="s">
        <v>189</v>
      </c>
    </row>
    <row r="83" ht="14.25" customHeight="1">
      <c r="B83" s="125" t="s">
        <v>748</v>
      </c>
      <c r="C83" s="125" t="s">
        <v>708</v>
      </c>
      <c r="D83" s="125" t="s">
        <v>1758</v>
      </c>
      <c r="F83" s="125">
        <v>1.5</v>
      </c>
      <c r="H83" s="125" t="s">
        <v>28</v>
      </c>
      <c r="K83" s="125" t="s">
        <v>155</v>
      </c>
      <c r="O83" s="125" t="s">
        <v>54</v>
      </c>
      <c r="P83" s="125" t="s">
        <v>189</v>
      </c>
    </row>
    <row r="84" ht="14.25" customHeight="1">
      <c r="B84" s="125" t="s">
        <v>2496</v>
      </c>
      <c r="C84" s="125" t="s">
        <v>2497</v>
      </c>
      <c r="D84" s="125" t="s">
        <v>2498</v>
      </c>
      <c r="F84" s="125">
        <v>2.6</v>
      </c>
      <c r="H84" s="125" t="s">
        <v>28</v>
      </c>
      <c r="K84" s="125" t="s">
        <v>53</v>
      </c>
      <c r="O84" s="125" t="s">
        <v>54</v>
      </c>
      <c r="P84" s="125" t="s">
        <v>189</v>
      </c>
    </row>
    <row r="85" ht="14.25" customHeight="1">
      <c r="B85" s="125" t="s">
        <v>1343</v>
      </c>
      <c r="C85" s="125" t="s">
        <v>1210</v>
      </c>
      <c r="D85" s="125" t="s">
        <v>507</v>
      </c>
      <c r="F85" s="125">
        <v>2.5</v>
      </c>
      <c r="H85" s="125" t="s">
        <v>28</v>
      </c>
      <c r="K85" s="125" t="s">
        <v>53</v>
      </c>
      <c r="O85" s="125" t="s">
        <v>54</v>
      </c>
      <c r="P85" s="125" t="s">
        <v>189</v>
      </c>
    </row>
    <row r="86" ht="14.25" customHeight="1">
      <c r="B86" s="125" t="s">
        <v>267</v>
      </c>
      <c r="C86" s="125" t="s">
        <v>2499</v>
      </c>
      <c r="D86" s="125" t="s">
        <v>314</v>
      </c>
      <c r="F86" s="125">
        <v>1.0</v>
      </c>
      <c r="H86" s="125" t="s">
        <v>28</v>
      </c>
      <c r="K86" s="125" t="s">
        <v>155</v>
      </c>
      <c r="O86" s="125" t="s">
        <v>54</v>
      </c>
      <c r="P86" s="125" t="s">
        <v>189</v>
      </c>
    </row>
    <row r="87" ht="14.25" customHeight="1">
      <c r="B87" s="125" t="s">
        <v>1015</v>
      </c>
      <c r="C87" s="125" t="s">
        <v>2500</v>
      </c>
      <c r="D87" s="125" t="s">
        <v>352</v>
      </c>
      <c r="F87" s="125">
        <v>2.0</v>
      </c>
      <c r="H87" s="125" t="s">
        <v>28</v>
      </c>
      <c r="K87" s="125" t="s">
        <v>53</v>
      </c>
      <c r="O87" s="125" t="s">
        <v>74</v>
      </c>
      <c r="P87" s="125" t="s">
        <v>189</v>
      </c>
    </row>
    <row r="88" ht="14.25" customHeight="1">
      <c r="B88" s="125" t="s">
        <v>2398</v>
      </c>
      <c r="C88" s="125" t="s">
        <v>588</v>
      </c>
      <c r="D88" s="125" t="s">
        <v>352</v>
      </c>
      <c r="F88" s="125">
        <v>1.0</v>
      </c>
      <c r="H88" s="125" t="s">
        <v>28</v>
      </c>
      <c r="M88" s="125" t="s">
        <v>509</v>
      </c>
      <c r="O88" s="125" t="s">
        <v>74</v>
      </c>
      <c r="P88" s="125" t="s">
        <v>190</v>
      </c>
    </row>
    <row r="89" ht="14.25" customHeight="1">
      <c r="B89" s="125" t="s">
        <v>2501</v>
      </c>
      <c r="C89" s="125" t="s">
        <v>292</v>
      </c>
      <c r="D89" s="125" t="s">
        <v>352</v>
      </c>
      <c r="F89" s="125">
        <v>1.5</v>
      </c>
      <c r="H89" s="125" t="s">
        <v>28</v>
      </c>
      <c r="K89" s="125" t="s">
        <v>155</v>
      </c>
      <c r="O89" s="125" t="s">
        <v>54</v>
      </c>
      <c r="P89" s="125" t="s">
        <v>189</v>
      </c>
    </row>
    <row r="90" ht="14.25" customHeight="1">
      <c r="B90" s="125" t="s">
        <v>2502</v>
      </c>
      <c r="C90" s="125" t="s">
        <v>2503</v>
      </c>
      <c r="D90" s="125" t="s">
        <v>2481</v>
      </c>
      <c r="F90" s="125">
        <v>1.0</v>
      </c>
      <c r="H90" s="125" t="s">
        <v>28</v>
      </c>
      <c r="M90" s="125" t="s">
        <v>133</v>
      </c>
      <c r="O90" s="125" t="s">
        <v>54</v>
      </c>
      <c r="P90" s="125" t="s">
        <v>190</v>
      </c>
    </row>
    <row r="91" ht="14.25" customHeight="1">
      <c r="B91" s="125" t="s">
        <v>2504</v>
      </c>
      <c r="C91" s="125" t="s">
        <v>2505</v>
      </c>
      <c r="D91" s="125" t="s">
        <v>1765</v>
      </c>
      <c r="F91" s="125">
        <v>2.6</v>
      </c>
      <c r="H91" s="125" t="s">
        <v>28</v>
      </c>
      <c r="I91" s="125" t="s">
        <v>179</v>
      </c>
      <c r="O91" s="125" t="s">
        <v>54</v>
      </c>
      <c r="P91" s="125" t="s">
        <v>188</v>
      </c>
    </row>
    <row r="92" ht="14.25" customHeight="1">
      <c r="B92" s="125" t="s">
        <v>2506</v>
      </c>
      <c r="C92" s="125" t="s">
        <v>2139</v>
      </c>
      <c r="D92" s="125" t="s">
        <v>1786</v>
      </c>
      <c r="E92" s="125" t="s">
        <v>137</v>
      </c>
      <c r="F92" s="125">
        <v>1.0</v>
      </c>
      <c r="H92" s="125" t="s">
        <v>28</v>
      </c>
      <c r="I92" s="125" t="s">
        <v>179</v>
      </c>
      <c r="O92" s="125" t="s">
        <v>54</v>
      </c>
      <c r="P92" s="125" t="s">
        <v>188</v>
      </c>
    </row>
    <row r="93" ht="14.25" customHeight="1">
      <c r="B93" s="125" t="s">
        <v>2507</v>
      </c>
      <c r="C93" s="125" t="s">
        <v>2139</v>
      </c>
      <c r="D93" s="125" t="s">
        <v>1786</v>
      </c>
      <c r="F93" s="125">
        <v>1.5</v>
      </c>
      <c r="H93" s="125" t="s">
        <v>28</v>
      </c>
      <c r="I93" s="125" t="s">
        <v>179</v>
      </c>
      <c r="O93" s="125" t="s">
        <v>54</v>
      </c>
      <c r="P93" s="125" t="s">
        <v>188</v>
      </c>
    </row>
    <row r="94" ht="14.25" customHeight="1">
      <c r="B94" s="125" t="s">
        <v>2508</v>
      </c>
      <c r="C94" s="125" t="s">
        <v>2509</v>
      </c>
      <c r="D94" s="125" t="s">
        <v>541</v>
      </c>
      <c r="F94" s="125">
        <v>2.0</v>
      </c>
      <c r="H94" s="125" t="s">
        <v>28</v>
      </c>
      <c r="K94" s="125" t="s">
        <v>172</v>
      </c>
      <c r="O94" s="125" t="s">
        <v>54</v>
      </c>
      <c r="P94" s="125" t="s">
        <v>189</v>
      </c>
    </row>
    <row r="95" ht="14.25" customHeight="1">
      <c r="B95" s="125" t="s">
        <v>2510</v>
      </c>
      <c r="C95" s="125" t="s">
        <v>2142</v>
      </c>
      <c r="D95" s="125" t="s">
        <v>2141</v>
      </c>
      <c r="F95" s="125">
        <v>2.2</v>
      </c>
      <c r="H95" s="125" t="s">
        <v>28</v>
      </c>
      <c r="K95" s="125" t="s">
        <v>155</v>
      </c>
      <c r="O95" s="125" t="s">
        <v>54</v>
      </c>
      <c r="P95" s="125" t="s">
        <v>189</v>
      </c>
    </row>
    <row r="96" ht="14.25" customHeight="1">
      <c r="B96" s="125" t="s">
        <v>2511</v>
      </c>
      <c r="C96" s="125" t="s">
        <v>2512</v>
      </c>
      <c r="D96" s="125" t="s">
        <v>2141</v>
      </c>
      <c r="F96" s="125">
        <v>2.0</v>
      </c>
      <c r="H96" s="125" t="s">
        <v>28</v>
      </c>
      <c r="K96" s="125" t="s">
        <v>53</v>
      </c>
      <c r="O96" s="125" t="s">
        <v>54</v>
      </c>
      <c r="P96" s="125" t="s">
        <v>189</v>
      </c>
    </row>
    <row r="97" ht="14.25" customHeight="1">
      <c r="B97" s="125" t="s">
        <v>2233</v>
      </c>
      <c r="C97" s="125" t="s">
        <v>117</v>
      </c>
      <c r="D97" s="125" t="s">
        <v>2513</v>
      </c>
      <c r="F97" s="125">
        <v>2.0</v>
      </c>
      <c r="H97" s="125" t="s">
        <v>28</v>
      </c>
      <c r="K97" s="125" t="s">
        <v>53</v>
      </c>
      <c r="O97" s="125" t="s">
        <v>54</v>
      </c>
      <c r="P97" s="125" t="s">
        <v>189</v>
      </c>
    </row>
    <row r="98" ht="14.25" customHeight="1">
      <c r="B98" s="125" t="s">
        <v>2514</v>
      </c>
      <c r="C98" s="125" t="s">
        <v>2515</v>
      </c>
      <c r="D98" s="125" t="s">
        <v>2516</v>
      </c>
      <c r="F98" s="125">
        <v>2.0</v>
      </c>
      <c r="H98" s="125" t="s">
        <v>28</v>
      </c>
      <c r="K98" s="125" t="s">
        <v>53</v>
      </c>
      <c r="O98" s="125" t="s">
        <v>54</v>
      </c>
      <c r="P98" s="125" t="s">
        <v>189</v>
      </c>
    </row>
    <row r="99" ht="14.25" customHeight="1">
      <c r="B99" s="125" t="s">
        <v>2517</v>
      </c>
      <c r="C99" s="125" t="s">
        <v>2518</v>
      </c>
      <c r="D99" s="125" t="s">
        <v>2144</v>
      </c>
      <c r="F99" s="125">
        <v>1.0</v>
      </c>
      <c r="H99" s="125" t="s">
        <v>28</v>
      </c>
      <c r="K99" s="125" t="s">
        <v>148</v>
      </c>
      <c r="O99" s="125" t="s">
        <v>54</v>
      </c>
      <c r="P99" s="125" t="s">
        <v>189</v>
      </c>
    </row>
    <row r="100" ht="14.25" customHeight="1">
      <c r="B100" s="125" t="s">
        <v>2406</v>
      </c>
      <c r="C100" s="125" t="s">
        <v>2519</v>
      </c>
      <c r="D100" s="125" t="s">
        <v>2520</v>
      </c>
      <c r="F100" s="125">
        <v>1.5</v>
      </c>
      <c r="H100" s="125" t="s">
        <v>28</v>
      </c>
      <c r="K100" s="125" t="s">
        <v>2521</v>
      </c>
      <c r="O100" s="125" t="s">
        <v>54</v>
      </c>
      <c r="P100" s="125" t="s">
        <v>189</v>
      </c>
    </row>
    <row r="101" ht="14.25" customHeight="1">
      <c r="B101" s="125" t="s">
        <v>2522</v>
      </c>
      <c r="C101" s="125" t="s">
        <v>2158</v>
      </c>
      <c r="D101" s="125" t="s">
        <v>2520</v>
      </c>
      <c r="F101" s="125">
        <v>1.5</v>
      </c>
      <c r="H101" s="125" t="s">
        <v>28</v>
      </c>
      <c r="K101" s="125" t="s">
        <v>2523</v>
      </c>
      <c r="O101" s="125" t="s">
        <v>54</v>
      </c>
      <c r="P101" s="125" t="s">
        <v>189</v>
      </c>
    </row>
    <row r="102" ht="14.25" customHeight="1">
      <c r="B102" s="125" t="s">
        <v>2524</v>
      </c>
      <c r="C102" s="125" t="s">
        <v>2525</v>
      </c>
      <c r="D102" s="125" t="s">
        <v>2526</v>
      </c>
      <c r="F102" s="125">
        <v>1.2</v>
      </c>
      <c r="H102" s="125" t="s">
        <v>28</v>
      </c>
      <c r="I102" s="125" t="s">
        <v>196</v>
      </c>
      <c r="O102" s="125" t="s">
        <v>54</v>
      </c>
      <c r="P102" s="125" t="s">
        <v>188</v>
      </c>
    </row>
    <row r="103" ht="14.25" customHeight="1">
      <c r="B103" s="125" t="s">
        <v>1192</v>
      </c>
      <c r="C103" s="125" t="s">
        <v>2155</v>
      </c>
      <c r="D103" s="125" t="s">
        <v>2527</v>
      </c>
      <c r="F103" s="125">
        <v>1.0</v>
      </c>
      <c r="H103" s="125" t="s">
        <v>28</v>
      </c>
      <c r="K103" s="125" t="s">
        <v>172</v>
      </c>
      <c r="O103" s="125" t="s">
        <v>74</v>
      </c>
      <c r="P103" s="125" t="s">
        <v>189</v>
      </c>
    </row>
    <row r="104" ht="14.25" customHeight="1">
      <c r="B104" s="125" t="s">
        <v>594</v>
      </c>
      <c r="C104" s="125" t="s">
        <v>1800</v>
      </c>
      <c r="D104" s="125" t="s">
        <v>1799</v>
      </c>
      <c r="F104" s="125">
        <v>1.0</v>
      </c>
      <c r="H104" s="125" t="s">
        <v>28</v>
      </c>
      <c r="K104" s="125" t="s">
        <v>172</v>
      </c>
      <c r="O104" s="125" t="s">
        <v>54</v>
      </c>
      <c r="P104" s="125" t="s">
        <v>189</v>
      </c>
    </row>
    <row r="105" ht="14.25" customHeight="1">
      <c r="B105" s="125" t="s">
        <v>2528</v>
      </c>
      <c r="C105" s="125" t="s">
        <v>2529</v>
      </c>
      <c r="D105" s="125" t="s">
        <v>2042</v>
      </c>
      <c r="F105" s="125">
        <v>2.0</v>
      </c>
      <c r="H105" s="125" t="s">
        <v>28</v>
      </c>
      <c r="K105" s="125" t="s">
        <v>155</v>
      </c>
      <c r="O105" s="125" t="s">
        <v>54</v>
      </c>
      <c r="P105" s="125" t="s">
        <v>189</v>
      </c>
    </row>
    <row r="106" ht="14.25" customHeight="1">
      <c r="B106" s="125" t="s">
        <v>1357</v>
      </c>
      <c r="C106" s="125" t="s">
        <v>2530</v>
      </c>
      <c r="D106" s="125" t="s">
        <v>418</v>
      </c>
      <c r="E106" s="125" t="s">
        <v>86</v>
      </c>
      <c r="F106" s="125">
        <v>5.2</v>
      </c>
      <c r="H106" s="125" t="s">
        <v>28</v>
      </c>
      <c r="I106" s="125" t="s">
        <v>179</v>
      </c>
      <c r="O106" s="125" t="s">
        <v>54</v>
      </c>
      <c r="P106" s="125" t="s">
        <v>188</v>
      </c>
    </row>
    <row r="107" ht="14.25" customHeight="1">
      <c r="B107" s="125" t="s">
        <v>2531</v>
      </c>
      <c r="C107" s="125" t="s">
        <v>2532</v>
      </c>
      <c r="D107" s="125" t="s">
        <v>956</v>
      </c>
      <c r="F107" s="125">
        <v>3.0</v>
      </c>
      <c r="H107" s="125" t="s">
        <v>28</v>
      </c>
      <c r="I107" s="125" t="s">
        <v>179</v>
      </c>
      <c r="O107" s="125" t="s">
        <v>54</v>
      </c>
      <c r="P107" s="125" t="s">
        <v>188</v>
      </c>
    </row>
    <row r="108" ht="14.25" customHeight="1">
      <c r="B108" s="125" t="s">
        <v>319</v>
      </c>
      <c r="C108" s="125" t="s">
        <v>488</v>
      </c>
      <c r="D108" s="125" t="s">
        <v>956</v>
      </c>
      <c r="F108" s="125">
        <v>2.0</v>
      </c>
      <c r="H108" s="125" t="s">
        <v>28</v>
      </c>
      <c r="K108" s="125" t="s">
        <v>155</v>
      </c>
      <c r="O108" s="125" t="s">
        <v>54</v>
      </c>
      <c r="P108" s="125" t="s">
        <v>189</v>
      </c>
    </row>
    <row r="109" ht="14.25" customHeight="1">
      <c r="B109" s="125" t="s">
        <v>444</v>
      </c>
      <c r="C109" s="125" t="s">
        <v>171</v>
      </c>
      <c r="D109" s="125" t="s">
        <v>734</v>
      </c>
      <c r="F109" s="125">
        <v>1.8</v>
      </c>
      <c r="H109" s="125" t="s">
        <v>28</v>
      </c>
      <c r="K109" s="125" t="s">
        <v>155</v>
      </c>
      <c r="O109" s="125" t="s">
        <v>54</v>
      </c>
      <c r="P109" s="125" t="s">
        <v>189</v>
      </c>
    </row>
    <row r="110" ht="14.25" customHeight="1">
      <c r="B110" s="125" t="s">
        <v>2533</v>
      </c>
      <c r="C110" s="125" t="s">
        <v>1088</v>
      </c>
      <c r="D110" s="125" t="s">
        <v>2534</v>
      </c>
      <c r="F110" s="125">
        <v>2.0</v>
      </c>
      <c r="H110" s="125" t="s">
        <v>28</v>
      </c>
      <c r="K110" s="125" t="s">
        <v>172</v>
      </c>
      <c r="O110" s="125" t="s">
        <v>54</v>
      </c>
      <c r="P110" s="125" t="s">
        <v>189</v>
      </c>
    </row>
    <row r="111" ht="14.25" customHeight="1">
      <c r="B111" s="125" t="s">
        <v>2535</v>
      </c>
      <c r="C111" s="125" t="s">
        <v>2536</v>
      </c>
      <c r="D111" s="125" t="s">
        <v>350</v>
      </c>
      <c r="F111" s="125">
        <v>2.0</v>
      </c>
      <c r="H111" s="125" t="s">
        <v>28</v>
      </c>
      <c r="K111" s="125" t="s">
        <v>155</v>
      </c>
      <c r="O111" s="125" t="s">
        <v>54</v>
      </c>
      <c r="P111" s="125" t="s">
        <v>189</v>
      </c>
    </row>
    <row r="112" ht="14.25" customHeight="1">
      <c r="B112" s="125" t="s">
        <v>2235</v>
      </c>
      <c r="C112" s="125" t="s">
        <v>2537</v>
      </c>
      <c r="D112" s="125" t="s">
        <v>350</v>
      </c>
      <c r="F112" s="125">
        <v>2.5</v>
      </c>
      <c r="H112" s="125" t="s">
        <v>28</v>
      </c>
      <c r="I112" s="125" t="s">
        <v>179</v>
      </c>
      <c r="O112" s="125" t="s">
        <v>54</v>
      </c>
      <c r="P112" s="125" t="s">
        <v>188</v>
      </c>
    </row>
    <row r="113" ht="14.25" customHeight="1">
      <c r="B113" s="125" t="s">
        <v>2538</v>
      </c>
      <c r="C113" s="125" t="s">
        <v>2539</v>
      </c>
      <c r="D113" s="125" t="s">
        <v>2540</v>
      </c>
      <c r="F113" s="125">
        <v>1.5</v>
      </c>
      <c r="H113" s="125" t="s">
        <v>28</v>
      </c>
      <c r="K113" s="125" t="s">
        <v>53</v>
      </c>
      <c r="O113" s="125" t="s">
        <v>54</v>
      </c>
      <c r="P113" s="125" t="s">
        <v>189</v>
      </c>
    </row>
    <row r="114" ht="14.25" customHeight="1">
      <c r="B114" s="125" t="s">
        <v>1606</v>
      </c>
      <c r="C114" s="125" t="s">
        <v>734</v>
      </c>
      <c r="D114" s="125" t="s">
        <v>2541</v>
      </c>
      <c r="F114" s="125">
        <v>2.4</v>
      </c>
      <c r="H114" s="125" t="s">
        <v>28</v>
      </c>
      <c r="K114" s="125" t="s">
        <v>172</v>
      </c>
      <c r="O114" s="125" t="s">
        <v>54</v>
      </c>
      <c r="P114" s="125" t="s">
        <v>189</v>
      </c>
    </row>
    <row r="115" ht="14.25" customHeight="1">
      <c r="B115" s="125" t="s">
        <v>2542</v>
      </c>
      <c r="C115" s="125" t="s">
        <v>1936</v>
      </c>
      <c r="D115" s="125" t="s">
        <v>2155</v>
      </c>
      <c r="F115" s="125">
        <v>2.0</v>
      </c>
      <c r="H115" s="125" t="s">
        <v>28</v>
      </c>
      <c r="K115" s="125" t="s">
        <v>172</v>
      </c>
      <c r="O115" s="125" t="s">
        <v>54</v>
      </c>
      <c r="P115" s="125" t="s">
        <v>189</v>
      </c>
    </row>
    <row r="116" ht="14.25" customHeight="1">
      <c r="B116" s="125" t="s">
        <v>2543</v>
      </c>
      <c r="C116" s="125" t="s">
        <v>2544</v>
      </c>
      <c r="D116" s="125" t="s">
        <v>1002</v>
      </c>
      <c r="F116" s="125">
        <v>2.0</v>
      </c>
      <c r="H116" s="125" t="s">
        <v>28</v>
      </c>
      <c r="K116" s="125" t="s">
        <v>172</v>
      </c>
      <c r="O116" s="125" t="s">
        <v>54</v>
      </c>
      <c r="P116" s="125" t="s">
        <v>189</v>
      </c>
    </row>
    <row r="117" ht="14.25" customHeight="1">
      <c r="B117" s="125" t="s">
        <v>2545</v>
      </c>
      <c r="C117" s="125" t="s">
        <v>1245</v>
      </c>
      <c r="D117" s="125" t="s">
        <v>840</v>
      </c>
      <c r="F117" s="125">
        <v>2.0</v>
      </c>
      <c r="H117" s="125" t="s">
        <v>28</v>
      </c>
      <c r="K117" s="125" t="s">
        <v>155</v>
      </c>
      <c r="O117" s="125" t="s">
        <v>54</v>
      </c>
      <c r="P117" s="125" t="s">
        <v>189</v>
      </c>
    </row>
    <row r="118" ht="14.25" customHeight="1">
      <c r="B118" s="125" t="s">
        <v>2546</v>
      </c>
      <c r="C118" s="125" t="s">
        <v>478</v>
      </c>
      <c r="D118" s="125" t="s">
        <v>2547</v>
      </c>
      <c r="F118" s="125">
        <v>2.0</v>
      </c>
      <c r="H118" s="125" t="s">
        <v>28</v>
      </c>
      <c r="K118" s="125" t="s">
        <v>155</v>
      </c>
      <c r="O118" s="125" t="s">
        <v>54</v>
      </c>
      <c r="P118" s="125" t="s">
        <v>189</v>
      </c>
    </row>
    <row r="119" ht="14.25" customHeight="1">
      <c r="B119" s="125" t="s">
        <v>2548</v>
      </c>
      <c r="C119" s="125" t="s">
        <v>2549</v>
      </c>
      <c r="D119" s="125" t="s">
        <v>2550</v>
      </c>
      <c r="F119" s="125">
        <v>5.3</v>
      </c>
      <c r="H119" s="125" t="s">
        <v>28</v>
      </c>
      <c r="K119" s="125" t="s">
        <v>172</v>
      </c>
      <c r="O119" s="125" t="s">
        <v>54</v>
      </c>
      <c r="P119" s="125" t="s">
        <v>189</v>
      </c>
    </row>
    <row r="120" ht="14.25" customHeight="1">
      <c r="B120" s="125" t="s">
        <v>2551</v>
      </c>
      <c r="C120" s="125" t="s">
        <v>2465</v>
      </c>
      <c r="D120" s="125" t="s">
        <v>508</v>
      </c>
      <c r="F120" s="125">
        <v>2.0</v>
      </c>
      <c r="H120" s="125" t="s">
        <v>28</v>
      </c>
      <c r="K120" s="125" t="s">
        <v>172</v>
      </c>
      <c r="O120" s="125" t="s">
        <v>54</v>
      </c>
      <c r="P120" s="125" t="s">
        <v>189</v>
      </c>
    </row>
    <row r="121" ht="14.25" customHeight="1">
      <c r="B121" s="125" t="s">
        <v>2249</v>
      </c>
      <c r="C121" s="125" t="s">
        <v>2552</v>
      </c>
      <c r="D121" s="125" t="s">
        <v>2553</v>
      </c>
      <c r="F121" s="125">
        <v>2.0</v>
      </c>
      <c r="H121" s="125" t="s">
        <v>28</v>
      </c>
      <c r="I121" s="125" t="s">
        <v>179</v>
      </c>
      <c r="O121" s="125" t="s">
        <v>54</v>
      </c>
      <c r="P121" s="125" t="s">
        <v>188</v>
      </c>
    </row>
    <row r="122" ht="14.25" customHeight="1">
      <c r="B122" s="125" t="s">
        <v>2554</v>
      </c>
      <c r="C122" s="125" t="s">
        <v>2555</v>
      </c>
      <c r="D122" s="125" t="s">
        <v>2160</v>
      </c>
      <c r="F122" s="125">
        <v>2.0</v>
      </c>
      <c r="H122" s="125" t="s">
        <v>28</v>
      </c>
      <c r="K122" s="125" t="s">
        <v>53</v>
      </c>
      <c r="O122" s="125" t="s">
        <v>54</v>
      </c>
      <c r="P122" s="125" t="s">
        <v>189</v>
      </c>
    </row>
    <row r="123" ht="14.25" customHeight="1">
      <c r="B123" s="125" t="s">
        <v>2556</v>
      </c>
      <c r="C123" s="125" t="s">
        <v>2160</v>
      </c>
      <c r="D123" s="125" t="s">
        <v>2557</v>
      </c>
      <c r="F123" s="125">
        <v>2.0</v>
      </c>
      <c r="H123" s="125" t="s">
        <v>28</v>
      </c>
      <c r="K123" s="125" t="s">
        <v>53</v>
      </c>
      <c r="O123" s="125" t="s">
        <v>54</v>
      </c>
      <c r="P123" s="125" t="s">
        <v>189</v>
      </c>
    </row>
    <row r="124" ht="14.25" customHeight="1">
      <c r="B124" s="125" t="s">
        <v>774</v>
      </c>
      <c r="C124" s="125" t="s">
        <v>219</v>
      </c>
      <c r="D124" s="125" t="s">
        <v>2171</v>
      </c>
      <c r="F124" s="125">
        <v>2.0</v>
      </c>
      <c r="H124" s="125" t="s">
        <v>28</v>
      </c>
      <c r="K124" s="125" t="s">
        <v>155</v>
      </c>
      <c r="O124" s="125" t="s">
        <v>54</v>
      </c>
      <c r="P124" s="125" t="s">
        <v>189</v>
      </c>
    </row>
    <row r="125" ht="14.25" customHeight="1">
      <c r="B125" s="125" t="s">
        <v>2558</v>
      </c>
      <c r="C125" s="125" t="s">
        <v>2547</v>
      </c>
      <c r="D125" s="125" t="s">
        <v>2559</v>
      </c>
      <c r="F125" s="125">
        <v>2.2</v>
      </c>
      <c r="H125" s="125" t="s">
        <v>28</v>
      </c>
      <c r="K125" s="125" t="s">
        <v>53</v>
      </c>
      <c r="O125" s="125" t="s">
        <v>54</v>
      </c>
      <c r="P125" s="125" t="s">
        <v>189</v>
      </c>
    </row>
    <row r="126" ht="14.25" customHeight="1">
      <c r="B126" s="125" t="s">
        <v>2560</v>
      </c>
      <c r="C126" s="125" t="s">
        <v>2561</v>
      </c>
      <c r="D126" s="125" t="s">
        <v>2562</v>
      </c>
      <c r="F126" s="125">
        <v>2.0</v>
      </c>
      <c r="H126" s="125" t="s">
        <v>28</v>
      </c>
      <c r="K126" s="125" t="s">
        <v>53</v>
      </c>
      <c r="O126" s="125" t="s">
        <v>54</v>
      </c>
      <c r="P126" s="125" t="s">
        <v>189</v>
      </c>
    </row>
    <row r="127" ht="14.25" customHeight="1">
      <c r="B127" s="125" t="s">
        <v>2563</v>
      </c>
      <c r="C127" s="125" t="s">
        <v>1777</v>
      </c>
      <c r="D127" s="125" t="s">
        <v>1672</v>
      </c>
      <c r="F127" s="125">
        <v>2.0</v>
      </c>
      <c r="H127" s="125" t="s">
        <v>28</v>
      </c>
      <c r="K127" s="125" t="s">
        <v>155</v>
      </c>
      <c r="O127" s="125" t="s">
        <v>54</v>
      </c>
      <c r="P127" s="125" t="s">
        <v>189</v>
      </c>
    </row>
    <row r="128" ht="14.25" customHeight="1">
      <c r="B128" s="125" t="s">
        <v>308</v>
      </c>
      <c r="C128" s="125" t="s">
        <v>2564</v>
      </c>
      <c r="D128" s="125" t="s">
        <v>1901</v>
      </c>
      <c r="F128" s="125">
        <v>2.5</v>
      </c>
      <c r="H128" s="125" t="s">
        <v>28</v>
      </c>
      <c r="K128" s="125" t="s">
        <v>155</v>
      </c>
      <c r="O128" s="125" t="s">
        <v>74</v>
      </c>
      <c r="P128" s="125" t="s">
        <v>189</v>
      </c>
    </row>
    <row r="129" ht="14.25" customHeight="1">
      <c r="B129" s="125" t="s">
        <v>2565</v>
      </c>
      <c r="C129" s="125" t="s">
        <v>2566</v>
      </c>
      <c r="D129" s="125" t="s">
        <v>1751</v>
      </c>
      <c r="F129" s="125">
        <v>2.0</v>
      </c>
      <c r="H129" s="125" t="s">
        <v>28</v>
      </c>
      <c r="K129" s="125" t="s">
        <v>172</v>
      </c>
      <c r="O129" s="125" t="s">
        <v>54</v>
      </c>
      <c r="P129" s="125" t="s">
        <v>189</v>
      </c>
    </row>
    <row r="130" ht="14.25" customHeight="1">
      <c r="B130" s="125" t="s">
        <v>1970</v>
      </c>
      <c r="C130" s="125" t="s">
        <v>2566</v>
      </c>
      <c r="D130" s="125" t="s">
        <v>1751</v>
      </c>
      <c r="F130" s="125">
        <v>2.0</v>
      </c>
      <c r="H130" s="125" t="s">
        <v>28</v>
      </c>
      <c r="K130" s="125" t="s">
        <v>172</v>
      </c>
      <c r="O130" s="125" t="s">
        <v>54</v>
      </c>
      <c r="P130" s="125" t="s">
        <v>189</v>
      </c>
    </row>
    <row r="131" ht="14.25" customHeight="1">
      <c r="B131" s="125" t="s">
        <v>64</v>
      </c>
      <c r="C131" s="125" t="s">
        <v>2567</v>
      </c>
      <c r="D131" s="125" t="s">
        <v>2115</v>
      </c>
      <c r="F131" s="125">
        <v>2.75</v>
      </c>
      <c r="H131" s="125" t="s">
        <v>28</v>
      </c>
      <c r="K131" s="125" t="s">
        <v>172</v>
      </c>
      <c r="O131" s="125" t="s">
        <v>54</v>
      </c>
      <c r="P131" s="125" t="s">
        <v>189</v>
      </c>
    </row>
    <row r="132" ht="14.25" customHeight="1">
      <c r="B132" s="125" t="s">
        <v>2568</v>
      </c>
      <c r="C132" s="125" t="s">
        <v>2569</v>
      </c>
      <c r="D132" s="125" t="s">
        <v>2570</v>
      </c>
      <c r="F132" s="125">
        <v>3.2</v>
      </c>
      <c r="H132" s="125" t="s">
        <v>28</v>
      </c>
      <c r="K132" s="125" t="s">
        <v>155</v>
      </c>
      <c r="O132" s="125" t="s">
        <v>54</v>
      </c>
      <c r="P132" s="125" t="s">
        <v>189</v>
      </c>
    </row>
    <row r="133" ht="14.25" customHeight="1">
      <c r="B133" s="125" t="s">
        <v>1044</v>
      </c>
      <c r="C133" s="125" t="s">
        <v>2571</v>
      </c>
      <c r="D133" s="125" t="s">
        <v>2307</v>
      </c>
      <c r="F133" s="125">
        <v>2.5</v>
      </c>
      <c r="H133" s="125" t="s">
        <v>28</v>
      </c>
      <c r="K133" s="125" t="s">
        <v>53</v>
      </c>
      <c r="O133" s="125" t="s">
        <v>74</v>
      </c>
      <c r="P133" s="125" t="s">
        <v>189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C$133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2572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382</v>
      </c>
      <c r="C11" s="50">
        <f t="shared" si="1"/>
        <v>218.75</v>
      </c>
      <c r="D11" s="51">
        <f t="shared" si="1"/>
        <v>0</v>
      </c>
      <c r="E11" s="51">
        <f t="shared" si="1"/>
        <v>258.3</v>
      </c>
      <c r="F11" s="51">
        <f t="shared" si="1"/>
        <v>0</v>
      </c>
      <c r="G11" s="51">
        <f t="shared" si="1"/>
        <v>9.5</v>
      </c>
      <c r="H11" s="52">
        <f t="shared" si="1"/>
        <v>0</v>
      </c>
      <c r="I11" s="53">
        <f t="shared" si="1"/>
        <v>98.49</v>
      </c>
      <c r="J11" s="51">
        <f t="shared" si="1"/>
        <v>0</v>
      </c>
      <c r="K11" s="51">
        <f t="shared" si="1"/>
        <v>309.1</v>
      </c>
      <c r="L11" s="51">
        <f t="shared" si="1"/>
        <v>0</v>
      </c>
      <c r="M11" s="54">
        <f t="shared" si="1"/>
        <v>7.5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415.09</v>
      </c>
      <c r="R11" s="50">
        <f t="shared" si="1"/>
        <v>317.24</v>
      </c>
      <c r="S11" s="51">
        <f t="shared" si="1"/>
        <v>0</v>
      </c>
      <c r="T11" s="51">
        <f t="shared" si="1"/>
        <v>567.4</v>
      </c>
      <c r="U11" s="51">
        <f t="shared" si="1"/>
        <v>0</v>
      </c>
      <c r="V11" s="51">
        <f t="shared" si="1"/>
        <v>17</v>
      </c>
      <c r="W11" s="52">
        <f t="shared" si="1"/>
        <v>901.64</v>
      </c>
      <c r="X11" s="56"/>
      <c r="Y11" s="57"/>
      <c r="Z11" s="57"/>
    </row>
    <row r="12" ht="14.25" customHeight="1">
      <c r="A12" s="58" t="s">
        <v>20</v>
      </c>
      <c r="B12" s="79">
        <v>30.0</v>
      </c>
      <c r="C12" s="88">
        <v>3.5</v>
      </c>
      <c r="D12" s="80"/>
      <c r="E12" s="80"/>
      <c r="F12" s="80"/>
      <c r="G12" s="80"/>
      <c r="H12" s="59"/>
      <c r="I12" s="87">
        <v>26.0</v>
      </c>
      <c r="J12" s="80"/>
      <c r="K12" s="80"/>
      <c r="L12" s="80"/>
      <c r="M12" s="83"/>
      <c r="N12" s="62"/>
      <c r="O12" s="80"/>
      <c r="P12" s="59"/>
      <c r="Q12" s="61">
        <f t="shared" ref="Q12:Q22" si="4">SUM(I12:P12)</f>
        <v>26</v>
      </c>
      <c r="R12" s="62">
        <f t="shared" ref="R12:S12" si="2">C12+I12</f>
        <v>29.5</v>
      </c>
      <c r="S12" s="80">
        <f t="shared" si="2"/>
        <v>0</v>
      </c>
      <c r="T12" s="80">
        <f t="shared" ref="T12:V12" si="3">E12+K12+N12</f>
        <v>0</v>
      </c>
      <c r="U12" s="80">
        <f t="shared" si="3"/>
        <v>0</v>
      </c>
      <c r="V12" s="80">
        <f t="shared" si="3"/>
        <v>0</v>
      </c>
      <c r="W12" s="59">
        <f t="shared" ref="W12:W22" si="7">SUM(R12:V12)</f>
        <v>29.5</v>
      </c>
      <c r="X12" s="64"/>
    </row>
    <row r="13" ht="14.25" customHeight="1">
      <c r="A13" s="58" t="s">
        <v>21</v>
      </c>
      <c r="B13" s="79">
        <v>23.0</v>
      </c>
      <c r="C13" s="88">
        <v>17.5</v>
      </c>
      <c r="D13" s="80"/>
      <c r="E13" s="85">
        <v>5.5</v>
      </c>
      <c r="F13" s="80"/>
      <c r="G13" s="85">
        <v>1.0</v>
      </c>
      <c r="H13" s="59"/>
      <c r="I13" s="87">
        <v>2.5</v>
      </c>
      <c r="J13" s="80"/>
      <c r="K13" s="85">
        <v>1.0</v>
      </c>
      <c r="L13" s="80"/>
      <c r="M13" s="83"/>
      <c r="N13" s="62"/>
      <c r="O13" s="80"/>
      <c r="P13" s="59"/>
      <c r="Q13" s="61">
        <f t="shared" si="4"/>
        <v>3.5</v>
      </c>
      <c r="R13" s="62">
        <f t="shared" ref="R13:S13" si="5">C13+I13</f>
        <v>20</v>
      </c>
      <c r="S13" s="80">
        <f t="shared" si="5"/>
        <v>0</v>
      </c>
      <c r="T13" s="80">
        <f t="shared" ref="T13:V13" si="6">E13+K13+N13</f>
        <v>6.5</v>
      </c>
      <c r="U13" s="80">
        <f t="shared" si="6"/>
        <v>0</v>
      </c>
      <c r="V13" s="80">
        <f t="shared" si="6"/>
        <v>1</v>
      </c>
      <c r="W13" s="59">
        <f t="shared" si="7"/>
        <v>27.5</v>
      </c>
      <c r="X13" s="64"/>
    </row>
    <row r="14" ht="14.25" customHeight="1">
      <c r="A14" s="58" t="s">
        <v>22</v>
      </c>
      <c r="B14" s="79">
        <v>59.0</v>
      </c>
      <c r="C14" s="88">
        <v>192.0</v>
      </c>
      <c r="D14" s="80"/>
      <c r="E14" s="80"/>
      <c r="F14" s="80"/>
      <c r="G14" s="80"/>
      <c r="H14" s="59"/>
      <c r="I14" s="87">
        <v>22.49</v>
      </c>
      <c r="J14" s="80"/>
      <c r="K14" s="80"/>
      <c r="L14" s="80"/>
      <c r="M14" s="83"/>
      <c r="N14" s="62"/>
      <c r="O14" s="80"/>
      <c r="P14" s="59"/>
      <c r="Q14" s="61">
        <f t="shared" si="4"/>
        <v>22.49</v>
      </c>
      <c r="R14" s="62">
        <f t="shared" ref="R14:S14" si="8">C14+I14</f>
        <v>214.49</v>
      </c>
      <c r="S14" s="80">
        <f t="shared" si="8"/>
        <v>0</v>
      </c>
      <c r="T14" s="80">
        <f t="shared" ref="T14:V14" si="9">E14+K14+N14</f>
        <v>0</v>
      </c>
      <c r="U14" s="80">
        <f t="shared" si="9"/>
        <v>0</v>
      </c>
      <c r="V14" s="80">
        <f t="shared" si="9"/>
        <v>0</v>
      </c>
      <c r="W14" s="59">
        <f t="shared" si="7"/>
        <v>214.49</v>
      </c>
      <c r="X14" s="64"/>
    </row>
    <row r="15" ht="14.25" customHeight="1">
      <c r="A15" s="58" t="s">
        <v>23</v>
      </c>
      <c r="B15" s="79">
        <v>10.0</v>
      </c>
      <c r="C15" s="88">
        <v>4.0</v>
      </c>
      <c r="D15" s="80"/>
      <c r="E15" s="80"/>
      <c r="F15" s="80"/>
      <c r="G15" s="80"/>
      <c r="H15" s="59"/>
      <c r="I15" s="87">
        <v>47.5</v>
      </c>
      <c r="J15" s="80"/>
      <c r="K15" s="80"/>
      <c r="L15" s="80"/>
      <c r="M15" s="83"/>
      <c r="N15" s="62"/>
      <c r="O15" s="80"/>
      <c r="P15" s="59"/>
      <c r="Q15" s="61">
        <f t="shared" si="4"/>
        <v>47.5</v>
      </c>
      <c r="R15" s="62">
        <f t="shared" ref="R15:S15" si="10">C15+I15</f>
        <v>51.5</v>
      </c>
      <c r="S15" s="80">
        <f t="shared" si="10"/>
        <v>0</v>
      </c>
      <c r="T15" s="80">
        <f t="shared" ref="T15:V15" si="11">E15+K15+N15</f>
        <v>0</v>
      </c>
      <c r="U15" s="80">
        <f t="shared" si="11"/>
        <v>0</v>
      </c>
      <c r="V15" s="80">
        <f t="shared" si="11"/>
        <v>0</v>
      </c>
      <c r="W15" s="59">
        <f t="shared" si="7"/>
        <v>51.5</v>
      </c>
      <c r="X15" s="64"/>
    </row>
    <row r="16" ht="14.25" customHeight="1">
      <c r="A16" s="58" t="s">
        <v>24</v>
      </c>
      <c r="B16" s="79">
        <v>59.0</v>
      </c>
      <c r="C16" s="62"/>
      <c r="D16" s="80"/>
      <c r="E16" s="85">
        <v>64.0</v>
      </c>
      <c r="F16" s="80"/>
      <c r="G16" s="85">
        <v>5.0</v>
      </c>
      <c r="H16" s="59"/>
      <c r="I16" s="60"/>
      <c r="J16" s="80"/>
      <c r="K16" s="85">
        <v>51.5</v>
      </c>
      <c r="L16" s="80"/>
      <c r="M16" s="83"/>
      <c r="N16" s="62"/>
      <c r="O16" s="80"/>
      <c r="P16" s="59"/>
      <c r="Q16" s="61">
        <f t="shared" si="4"/>
        <v>51.5</v>
      </c>
      <c r="R16" s="62">
        <f t="shared" ref="R16:S16" si="12">C16+I16</f>
        <v>0</v>
      </c>
      <c r="S16" s="80">
        <f t="shared" si="12"/>
        <v>0</v>
      </c>
      <c r="T16" s="80">
        <f t="shared" ref="T16:V16" si="13">E16+K16+N16</f>
        <v>115.5</v>
      </c>
      <c r="U16" s="80">
        <f t="shared" si="13"/>
        <v>0</v>
      </c>
      <c r="V16" s="80">
        <f t="shared" si="13"/>
        <v>5</v>
      </c>
      <c r="W16" s="59">
        <f t="shared" si="7"/>
        <v>120.5</v>
      </c>
      <c r="X16" s="64"/>
    </row>
    <row r="17" ht="14.25" customHeight="1">
      <c r="A17" s="58" t="s">
        <v>25</v>
      </c>
      <c r="B17" s="79">
        <v>105.0</v>
      </c>
      <c r="C17" s="62"/>
      <c r="D17" s="80"/>
      <c r="E17" s="85">
        <v>107.3</v>
      </c>
      <c r="F17" s="80"/>
      <c r="G17" s="85">
        <v>3.5</v>
      </c>
      <c r="H17" s="59"/>
      <c r="I17" s="60"/>
      <c r="J17" s="80"/>
      <c r="K17" s="85">
        <v>127.3</v>
      </c>
      <c r="L17" s="80"/>
      <c r="M17" s="86">
        <v>7.5</v>
      </c>
      <c r="N17" s="62"/>
      <c r="O17" s="80"/>
      <c r="P17" s="59"/>
      <c r="Q17" s="61">
        <f t="shared" si="4"/>
        <v>134.8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234.6</v>
      </c>
      <c r="U17" s="80">
        <f t="shared" si="15"/>
        <v>0</v>
      </c>
      <c r="V17" s="80">
        <f t="shared" si="15"/>
        <v>11</v>
      </c>
      <c r="W17" s="59">
        <f t="shared" si="7"/>
        <v>245.6</v>
      </c>
      <c r="X17" s="64"/>
    </row>
    <row r="18" ht="14.25" customHeight="1">
      <c r="A18" s="58" t="s">
        <v>26</v>
      </c>
      <c r="B18" s="79">
        <v>27.0</v>
      </c>
      <c r="C18" s="62"/>
      <c r="D18" s="80"/>
      <c r="E18" s="85">
        <v>18.5</v>
      </c>
      <c r="F18" s="80"/>
      <c r="G18" s="80"/>
      <c r="H18" s="59"/>
      <c r="I18" s="60"/>
      <c r="J18" s="80"/>
      <c r="K18" s="85">
        <v>52.0</v>
      </c>
      <c r="L18" s="80"/>
      <c r="M18" s="83"/>
      <c r="N18" s="62"/>
      <c r="O18" s="80"/>
      <c r="P18" s="59"/>
      <c r="Q18" s="61">
        <f t="shared" si="4"/>
        <v>52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70.5</v>
      </c>
      <c r="U18" s="80">
        <f t="shared" si="17"/>
        <v>0</v>
      </c>
      <c r="V18" s="80">
        <f t="shared" si="17"/>
        <v>0</v>
      </c>
      <c r="W18" s="59">
        <f t="shared" si="7"/>
        <v>70.5</v>
      </c>
      <c r="X18" s="64"/>
    </row>
    <row r="19" ht="14.25" customHeight="1">
      <c r="A19" s="58" t="s">
        <v>27</v>
      </c>
      <c r="B19" s="79">
        <v>0.0</v>
      </c>
      <c r="C19" s="62"/>
      <c r="D19" s="80"/>
      <c r="E19" s="80"/>
      <c r="F19" s="80"/>
      <c r="G19" s="80"/>
      <c r="H19" s="59"/>
      <c r="I19" s="60"/>
      <c r="J19" s="80"/>
      <c r="K19" s="80"/>
      <c r="L19" s="80"/>
      <c r="M19" s="83"/>
      <c r="N19" s="62"/>
      <c r="O19" s="80"/>
      <c r="P19" s="59"/>
      <c r="Q19" s="61">
        <f t="shared" si="4"/>
        <v>0</v>
      </c>
      <c r="R19" s="62">
        <f t="shared" ref="R19:S19" si="18">C19+I19</f>
        <v>0</v>
      </c>
      <c r="S19" s="80">
        <f t="shared" si="18"/>
        <v>0</v>
      </c>
      <c r="T19" s="80">
        <f t="shared" ref="T19:V19" si="19">E19+K19+N19</f>
        <v>0</v>
      </c>
      <c r="U19" s="80">
        <f t="shared" si="19"/>
        <v>0</v>
      </c>
      <c r="V19" s="80">
        <f t="shared" si="19"/>
        <v>0</v>
      </c>
      <c r="W19" s="59">
        <f t="shared" si="7"/>
        <v>0</v>
      </c>
      <c r="X19" s="64"/>
    </row>
    <row r="20" ht="14.25" customHeight="1">
      <c r="A20" s="58" t="s">
        <v>28</v>
      </c>
      <c r="B20" s="79">
        <v>28.0</v>
      </c>
      <c r="C20" s="88">
        <v>1.75</v>
      </c>
      <c r="D20" s="80"/>
      <c r="E20" s="85">
        <v>50.7</v>
      </c>
      <c r="F20" s="80"/>
      <c r="G20" s="80"/>
      <c r="H20" s="59"/>
      <c r="I20" s="60"/>
      <c r="J20" s="80"/>
      <c r="K20" s="85">
        <v>3.3</v>
      </c>
      <c r="L20" s="80"/>
      <c r="M20" s="83"/>
      <c r="N20" s="62"/>
      <c r="O20" s="80"/>
      <c r="P20" s="59"/>
      <c r="Q20" s="61">
        <f t="shared" si="4"/>
        <v>3.3</v>
      </c>
      <c r="R20" s="62">
        <f t="shared" ref="R20:S20" si="20">C20+I20</f>
        <v>1.75</v>
      </c>
      <c r="S20" s="80">
        <f t="shared" si="20"/>
        <v>0</v>
      </c>
      <c r="T20" s="80">
        <f t="shared" ref="T20:V20" si="21">E20+K20+N20</f>
        <v>54</v>
      </c>
      <c r="U20" s="80">
        <f t="shared" si="21"/>
        <v>0</v>
      </c>
      <c r="V20" s="80">
        <f t="shared" si="21"/>
        <v>0</v>
      </c>
      <c r="W20" s="59">
        <f t="shared" si="7"/>
        <v>55.75</v>
      </c>
      <c r="X20" s="64"/>
    </row>
    <row r="21" ht="14.25" customHeight="1">
      <c r="A21" s="58" t="s">
        <v>29</v>
      </c>
      <c r="B21" s="79">
        <v>0.0</v>
      </c>
      <c r="C21" s="62"/>
      <c r="D21" s="80"/>
      <c r="E21" s="80"/>
      <c r="F21" s="80"/>
      <c r="G21" s="80"/>
      <c r="H21" s="59"/>
      <c r="I21" s="60"/>
      <c r="J21" s="80"/>
      <c r="K21" s="80"/>
      <c r="L21" s="80"/>
      <c r="M21" s="83"/>
      <c r="N21" s="62"/>
      <c r="O21" s="80"/>
      <c r="P21" s="59"/>
      <c r="Q21" s="61">
        <f t="shared" si="4"/>
        <v>0</v>
      </c>
      <c r="R21" s="62">
        <f t="shared" ref="R21:S21" si="22">C21+I21</f>
        <v>0</v>
      </c>
      <c r="S21" s="80">
        <f t="shared" si="22"/>
        <v>0</v>
      </c>
      <c r="T21" s="80">
        <f t="shared" ref="T21:V21" si="23">E21+K21+N21</f>
        <v>0</v>
      </c>
      <c r="U21" s="80">
        <f t="shared" si="23"/>
        <v>0</v>
      </c>
      <c r="V21" s="80">
        <f t="shared" si="23"/>
        <v>0</v>
      </c>
      <c r="W21" s="59">
        <f t="shared" si="7"/>
        <v>0</v>
      </c>
      <c r="X21" s="64"/>
    </row>
    <row r="22" ht="14.25" customHeight="1">
      <c r="A22" s="58" t="s">
        <v>30</v>
      </c>
      <c r="B22" s="79">
        <v>41.0</v>
      </c>
      <c r="C22" s="62"/>
      <c r="D22" s="80"/>
      <c r="E22" s="85">
        <v>12.3</v>
      </c>
      <c r="F22" s="80"/>
      <c r="G22" s="80"/>
      <c r="H22" s="59"/>
      <c r="I22" s="60"/>
      <c r="J22" s="80"/>
      <c r="K22" s="85">
        <v>74.0</v>
      </c>
      <c r="L22" s="80"/>
      <c r="M22" s="83"/>
      <c r="N22" s="62"/>
      <c r="O22" s="80"/>
      <c r="P22" s="59"/>
      <c r="Q22" s="61">
        <f t="shared" si="4"/>
        <v>74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86.3</v>
      </c>
      <c r="U22" s="80">
        <f t="shared" si="25"/>
        <v>0</v>
      </c>
      <c r="V22" s="80">
        <f t="shared" si="25"/>
        <v>0</v>
      </c>
      <c r="W22" s="59">
        <f t="shared" si="7"/>
        <v>86.3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>
      <c r="A27" s="75"/>
      <c r="B27" s="7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4" width="17.38"/>
    <col customWidth="1" min="5" max="5" width="6.38"/>
    <col customWidth="1" min="6" max="6" width="10.0"/>
    <col customWidth="1" min="7" max="7" width="9.88"/>
    <col customWidth="1" min="8" max="14" width="10.0"/>
    <col customWidth="1" min="15" max="15" width="11.75"/>
    <col customWidth="1" min="16" max="16" width="3.88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188</v>
      </c>
      <c r="J5" s="91"/>
      <c r="K5" s="134" t="s">
        <v>189</v>
      </c>
      <c r="L5" s="91"/>
      <c r="M5" s="134" t="s">
        <v>190</v>
      </c>
      <c r="N5" s="91"/>
      <c r="O5" s="91"/>
    </row>
    <row r="6" ht="14.25" customHeight="1">
      <c r="A6" s="95" t="s">
        <v>2573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  <c r="P6" s="125" t="s">
        <v>1927</v>
      </c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291</v>
      </c>
      <c r="C9" s="118" t="s">
        <v>994</v>
      </c>
      <c r="D9" s="118" t="s">
        <v>971</v>
      </c>
      <c r="E9" s="117"/>
      <c r="F9" s="118">
        <v>1.5</v>
      </c>
      <c r="G9" s="117"/>
      <c r="H9" s="118" t="s">
        <v>20</v>
      </c>
      <c r="I9" s="137" t="s">
        <v>992</v>
      </c>
      <c r="J9" s="120"/>
      <c r="K9" s="120"/>
      <c r="L9" s="120"/>
      <c r="M9" s="120"/>
      <c r="N9" s="120"/>
      <c r="O9" s="121" t="s">
        <v>74</v>
      </c>
      <c r="P9" s="125" t="s">
        <v>188</v>
      </c>
    </row>
    <row r="10" ht="14.25" customHeight="1">
      <c r="A10" s="117"/>
      <c r="B10" s="118" t="s">
        <v>2574</v>
      </c>
      <c r="C10" s="118" t="s">
        <v>2575</v>
      </c>
      <c r="D10" s="118" t="s">
        <v>2576</v>
      </c>
      <c r="E10" s="117"/>
      <c r="F10" s="118">
        <v>1.0</v>
      </c>
      <c r="G10" s="117"/>
      <c r="H10" s="118" t="s">
        <v>20</v>
      </c>
      <c r="I10" s="137" t="s">
        <v>992</v>
      </c>
      <c r="J10" s="120"/>
      <c r="K10" s="120"/>
      <c r="L10" s="120"/>
      <c r="M10" s="120"/>
      <c r="N10" s="120"/>
      <c r="O10" s="121" t="s">
        <v>74</v>
      </c>
      <c r="P10" s="125" t="s">
        <v>188</v>
      </c>
    </row>
    <row r="11" ht="14.25" customHeight="1">
      <c r="A11" s="117" t="s">
        <v>19</v>
      </c>
      <c r="B11" s="118" t="s">
        <v>2577</v>
      </c>
      <c r="C11" s="118" t="s">
        <v>941</v>
      </c>
      <c r="D11" s="118" t="s">
        <v>2578</v>
      </c>
      <c r="E11" s="117"/>
      <c r="F11" s="118">
        <v>1.0</v>
      </c>
      <c r="G11" s="117"/>
      <c r="H11" s="118" t="s">
        <v>20</v>
      </c>
      <c r="I11" s="137" t="s">
        <v>992</v>
      </c>
      <c r="J11" s="120"/>
      <c r="K11" s="120"/>
      <c r="L11" s="120"/>
      <c r="M11" s="120"/>
      <c r="N11" s="120"/>
      <c r="O11" s="121" t="s">
        <v>74</v>
      </c>
      <c r="P11" s="125" t="s">
        <v>188</v>
      </c>
    </row>
    <row r="12" ht="14.25" customHeight="1">
      <c r="A12" s="117" t="s">
        <v>20</v>
      </c>
      <c r="B12" s="118" t="s">
        <v>791</v>
      </c>
      <c r="C12" s="118" t="s">
        <v>2579</v>
      </c>
      <c r="D12" s="118" t="s">
        <v>1027</v>
      </c>
      <c r="E12" s="117"/>
      <c r="F12" s="118">
        <v>1.0</v>
      </c>
      <c r="G12" s="117"/>
      <c r="H12" s="118" t="s">
        <v>20</v>
      </c>
      <c r="I12" s="137" t="s">
        <v>992</v>
      </c>
      <c r="J12" s="120"/>
      <c r="K12" s="120"/>
      <c r="L12" s="120"/>
      <c r="M12" s="120"/>
      <c r="N12" s="120"/>
      <c r="O12" s="121" t="s">
        <v>74</v>
      </c>
      <c r="P12" s="125" t="s">
        <v>188</v>
      </c>
    </row>
    <row r="13" ht="14.25" customHeight="1">
      <c r="A13" s="117" t="s">
        <v>21</v>
      </c>
      <c r="B13" s="118" t="s">
        <v>874</v>
      </c>
      <c r="C13" s="118" t="s">
        <v>1012</v>
      </c>
      <c r="D13" s="118" t="s">
        <v>1027</v>
      </c>
      <c r="E13" s="117"/>
      <c r="F13" s="118">
        <v>1.0</v>
      </c>
      <c r="G13" s="117"/>
      <c r="H13" s="118" t="s">
        <v>20</v>
      </c>
      <c r="I13" s="137" t="s">
        <v>992</v>
      </c>
      <c r="J13" s="120"/>
      <c r="K13" s="120"/>
      <c r="L13" s="120"/>
      <c r="M13" s="120"/>
      <c r="N13" s="120"/>
      <c r="O13" s="121" t="s">
        <v>74</v>
      </c>
      <c r="P13" s="125" t="s">
        <v>188</v>
      </c>
    </row>
    <row r="14" ht="14.25" customHeight="1">
      <c r="A14" s="117" t="s">
        <v>22</v>
      </c>
      <c r="B14" s="118" t="s">
        <v>1610</v>
      </c>
      <c r="C14" s="118" t="s">
        <v>1012</v>
      </c>
      <c r="D14" s="118" t="s">
        <v>1027</v>
      </c>
      <c r="E14" s="117"/>
      <c r="F14" s="118">
        <v>1.0</v>
      </c>
      <c r="G14" s="117"/>
      <c r="H14" s="118" t="s">
        <v>20</v>
      </c>
      <c r="I14" s="137" t="s">
        <v>992</v>
      </c>
      <c r="J14" s="120"/>
      <c r="K14" s="120"/>
      <c r="L14" s="120"/>
      <c r="M14" s="120"/>
      <c r="N14" s="120"/>
      <c r="O14" s="121" t="s">
        <v>74</v>
      </c>
      <c r="P14" s="125" t="s">
        <v>188</v>
      </c>
    </row>
    <row r="15" ht="14.25" customHeight="1">
      <c r="A15" s="117" t="s">
        <v>23</v>
      </c>
      <c r="B15" s="118" t="s">
        <v>319</v>
      </c>
      <c r="C15" s="118" t="s">
        <v>95</v>
      </c>
      <c r="D15" s="118" t="s">
        <v>132</v>
      </c>
      <c r="E15" s="117"/>
      <c r="F15" s="118">
        <v>1.0</v>
      </c>
      <c r="G15" s="117"/>
      <c r="H15" s="118" t="s">
        <v>20</v>
      </c>
      <c r="I15" s="137" t="s">
        <v>992</v>
      </c>
      <c r="J15" s="120"/>
      <c r="K15" s="120"/>
      <c r="L15" s="120"/>
      <c r="M15" s="120"/>
      <c r="N15" s="120"/>
      <c r="O15" s="121" t="s">
        <v>74</v>
      </c>
      <c r="P15" s="125" t="s">
        <v>188</v>
      </c>
    </row>
    <row r="16" ht="14.25" customHeight="1">
      <c r="A16" s="117" t="s">
        <v>24</v>
      </c>
      <c r="B16" s="118" t="s">
        <v>1357</v>
      </c>
      <c r="C16" s="118" t="s">
        <v>2580</v>
      </c>
      <c r="D16" s="118" t="s">
        <v>2581</v>
      </c>
      <c r="E16" s="117"/>
      <c r="F16" s="118">
        <v>1.0</v>
      </c>
      <c r="G16" s="117"/>
      <c r="H16" s="118" t="s">
        <v>20</v>
      </c>
      <c r="I16" s="137" t="s">
        <v>992</v>
      </c>
      <c r="J16" s="120"/>
      <c r="K16" s="120"/>
      <c r="L16" s="120"/>
      <c r="M16" s="120"/>
      <c r="N16" s="120"/>
      <c r="O16" s="121" t="s">
        <v>74</v>
      </c>
      <c r="P16" s="125" t="s">
        <v>188</v>
      </c>
    </row>
    <row r="17" ht="14.25" customHeight="1">
      <c r="A17" s="117" t="s">
        <v>25</v>
      </c>
      <c r="B17" s="118" t="s">
        <v>1015</v>
      </c>
      <c r="C17" s="118" t="s">
        <v>2582</v>
      </c>
      <c r="D17" s="118" t="s">
        <v>2581</v>
      </c>
      <c r="E17" s="117"/>
      <c r="F17" s="118">
        <v>1.0</v>
      </c>
      <c r="G17" s="117"/>
      <c r="H17" s="118" t="s">
        <v>20</v>
      </c>
      <c r="I17" s="137" t="s">
        <v>992</v>
      </c>
      <c r="J17" s="120"/>
      <c r="K17" s="120"/>
      <c r="L17" s="120"/>
      <c r="M17" s="120"/>
      <c r="N17" s="120"/>
      <c r="O17" s="121" t="s">
        <v>74</v>
      </c>
      <c r="P17" s="125" t="s">
        <v>188</v>
      </c>
    </row>
    <row r="18" ht="14.25" customHeight="1">
      <c r="A18" s="117" t="s">
        <v>26</v>
      </c>
      <c r="B18" s="118" t="s">
        <v>2583</v>
      </c>
      <c r="C18" s="118" t="s">
        <v>541</v>
      </c>
      <c r="D18" s="118" t="s">
        <v>2581</v>
      </c>
      <c r="E18" s="117"/>
      <c r="F18" s="118">
        <v>1.0</v>
      </c>
      <c r="G18" s="117"/>
      <c r="H18" s="118" t="s">
        <v>20</v>
      </c>
      <c r="I18" s="137" t="s">
        <v>992</v>
      </c>
      <c r="J18" s="120"/>
      <c r="K18" s="120"/>
      <c r="L18" s="120"/>
      <c r="M18" s="120"/>
      <c r="N18" s="120"/>
      <c r="O18" s="121" t="s">
        <v>74</v>
      </c>
      <c r="P18" s="125" t="s">
        <v>188</v>
      </c>
    </row>
    <row r="19" ht="14.25" customHeight="1">
      <c r="A19" s="117" t="s">
        <v>27</v>
      </c>
      <c r="B19" s="118" t="s">
        <v>2584</v>
      </c>
      <c r="C19" s="118" t="s">
        <v>497</v>
      </c>
      <c r="D19" s="118" t="s">
        <v>523</v>
      </c>
      <c r="E19" s="117"/>
      <c r="F19" s="118">
        <v>1.0</v>
      </c>
      <c r="G19" s="117"/>
      <c r="H19" s="118" t="s">
        <v>20</v>
      </c>
      <c r="I19" s="137" t="s">
        <v>992</v>
      </c>
      <c r="J19" s="120"/>
      <c r="K19" s="120"/>
      <c r="L19" s="120"/>
      <c r="M19" s="120"/>
      <c r="N19" s="120"/>
      <c r="O19" s="121" t="s">
        <v>74</v>
      </c>
      <c r="P19" s="125" t="s">
        <v>188</v>
      </c>
    </row>
    <row r="20" ht="14.25" customHeight="1">
      <c r="A20" s="117" t="s">
        <v>28</v>
      </c>
      <c r="B20" s="118" t="s">
        <v>417</v>
      </c>
      <c r="C20" s="118" t="s">
        <v>502</v>
      </c>
      <c r="D20" s="118" t="s">
        <v>500</v>
      </c>
      <c r="E20" s="117"/>
      <c r="F20" s="118">
        <v>1.0</v>
      </c>
      <c r="G20" s="117"/>
      <c r="H20" s="118" t="s">
        <v>20</v>
      </c>
      <c r="I20" s="137" t="s">
        <v>992</v>
      </c>
      <c r="J20" s="120"/>
      <c r="K20" s="120"/>
      <c r="L20" s="120"/>
      <c r="M20" s="120"/>
      <c r="N20" s="120"/>
      <c r="O20" s="121" t="s">
        <v>74</v>
      </c>
      <c r="P20" s="125" t="s">
        <v>188</v>
      </c>
    </row>
    <row r="21" ht="14.25" customHeight="1">
      <c r="A21" s="122" t="s">
        <v>29</v>
      </c>
      <c r="B21" s="123" t="s">
        <v>2585</v>
      </c>
      <c r="C21" s="123" t="s">
        <v>2586</v>
      </c>
      <c r="D21" s="123" t="s">
        <v>2587</v>
      </c>
      <c r="E21" s="124"/>
      <c r="F21" s="123">
        <v>1.0</v>
      </c>
      <c r="G21" s="124"/>
      <c r="H21" s="123" t="s">
        <v>20</v>
      </c>
      <c r="I21" s="121" t="s">
        <v>992</v>
      </c>
      <c r="J21" s="120"/>
      <c r="K21" s="120"/>
      <c r="L21" s="120"/>
      <c r="M21" s="120"/>
      <c r="N21" s="120"/>
      <c r="O21" s="121" t="s">
        <v>74</v>
      </c>
      <c r="P21" s="125" t="s">
        <v>188</v>
      </c>
    </row>
    <row r="22" ht="14.25" customHeight="1">
      <c r="A22" s="122" t="s">
        <v>30</v>
      </c>
      <c r="B22" s="123" t="s">
        <v>2588</v>
      </c>
      <c r="C22" s="123" t="s">
        <v>2589</v>
      </c>
      <c r="D22" s="123" t="s">
        <v>504</v>
      </c>
      <c r="E22" s="124"/>
      <c r="F22" s="123">
        <v>1.0</v>
      </c>
      <c r="G22" s="124"/>
      <c r="H22" s="123" t="s">
        <v>20</v>
      </c>
      <c r="I22" s="121" t="s">
        <v>992</v>
      </c>
      <c r="J22" s="120"/>
      <c r="K22" s="120"/>
      <c r="L22" s="120"/>
      <c r="M22" s="120"/>
      <c r="N22" s="120"/>
      <c r="O22" s="121" t="s">
        <v>74</v>
      </c>
      <c r="P22" s="125" t="s">
        <v>188</v>
      </c>
    </row>
    <row r="23" ht="14.25" customHeight="1">
      <c r="B23" s="125" t="s">
        <v>2445</v>
      </c>
      <c r="C23" s="125" t="s">
        <v>986</v>
      </c>
      <c r="D23" s="125" t="s">
        <v>512</v>
      </c>
      <c r="F23" s="125">
        <v>1.0</v>
      </c>
      <c r="H23" s="125" t="s">
        <v>20</v>
      </c>
      <c r="I23" s="125" t="s">
        <v>992</v>
      </c>
      <c r="O23" s="125" t="s">
        <v>54</v>
      </c>
      <c r="P23" s="125" t="s">
        <v>188</v>
      </c>
    </row>
    <row r="24" ht="14.25" customHeight="1">
      <c r="B24" s="125" t="s">
        <v>169</v>
      </c>
      <c r="C24" s="125" t="s">
        <v>2590</v>
      </c>
      <c r="D24" s="125" t="s">
        <v>512</v>
      </c>
      <c r="F24" s="125">
        <v>1.5</v>
      </c>
      <c r="H24" s="125" t="s">
        <v>20</v>
      </c>
      <c r="I24" s="125" t="s">
        <v>992</v>
      </c>
      <c r="O24" s="125" t="s">
        <v>54</v>
      </c>
      <c r="P24" s="125" t="s">
        <v>188</v>
      </c>
    </row>
    <row r="25" ht="14.25" customHeight="1">
      <c r="B25" s="125" t="s">
        <v>2591</v>
      </c>
      <c r="C25" s="125" t="s">
        <v>517</v>
      </c>
      <c r="D25" s="125" t="s">
        <v>515</v>
      </c>
      <c r="F25" s="125">
        <v>0.5</v>
      </c>
      <c r="H25" s="125" t="s">
        <v>20</v>
      </c>
      <c r="I25" s="125" t="s">
        <v>992</v>
      </c>
      <c r="O25" s="125" t="s">
        <v>74</v>
      </c>
      <c r="P25" s="125" t="s">
        <v>188</v>
      </c>
    </row>
    <row r="26" ht="14.25" customHeight="1">
      <c r="A26" s="126">
        <f>-A29</f>
        <v>0</v>
      </c>
      <c r="B26" s="125" t="s">
        <v>2592</v>
      </c>
      <c r="C26" s="125" t="s">
        <v>2593</v>
      </c>
      <c r="D26" s="125" t="s">
        <v>1047</v>
      </c>
      <c r="F26" s="125">
        <v>1.0</v>
      </c>
      <c r="H26" s="125" t="s">
        <v>20</v>
      </c>
      <c r="I26" s="125" t="s">
        <v>992</v>
      </c>
      <c r="O26" s="125" t="s">
        <v>74</v>
      </c>
      <c r="P26" s="125" t="s">
        <v>188</v>
      </c>
    </row>
    <row r="27" ht="14.25" customHeight="1">
      <c r="B27" s="125" t="s">
        <v>2594</v>
      </c>
      <c r="C27" s="125" t="s">
        <v>2595</v>
      </c>
      <c r="D27" s="125" t="s">
        <v>521</v>
      </c>
      <c r="F27" s="125">
        <v>1.0</v>
      </c>
      <c r="H27" s="125" t="s">
        <v>20</v>
      </c>
      <c r="I27" s="125" t="s">
        <v>992</v>
      </c>
      <c r="O27" s="125" t="s">
        <v>74</v>
      </c>
      <c r="P27" s="125" t="s">
        <v>188</v>
      </c>
    </row>
    <row r="28" ht="14.25" customHeight="1">
      <c r="B28" s="125" t="s">
        <v>2596</v>
      </c>
      <c r="C28" s="125" t="s">
        <v>2597</v>
      </c>
      <c r="D28" s="125" t="s">
        <v>2598</v>
      </c>
      <c r="F28" s="125">
        <v>1.0</v>
      </c>
      <c r="H28" s="125" t="s">
        <v>20</v>
      </c>
      <c r="I28" s="125" t="s">
        <v>992</v>
      </c>
      <c r="O28" s="125" t="s">
        <v>74</v>
      </c>
      <c r="P28" s="125" t="s">
        <v>188</v>
      </c>
    </row>
    <row r="29" ht="14.25" customHeight="1">
      <c r="B29" s="125" t="s">
        <v>2599</v>
      </c>
      <c r="C29" s="125" t="s">
        <v>1470</v>
      </c>
      <c r="D29" s="125" t="s">
        <v>2600</v>
      </c>
      <c r="F29" s="125">
        <v>0.5</v>
      </c>
      <c r="H29" s="125" t="s">
        <v>20</v>
      </c>
      <c r="I29" s="125" t="s">
        <v>992</v>
      </c>
      <c r="O29" s="125" t="s">
        <v>74</v>
      </c>
      <c r="P29" s="125" t="s">
        <v>188</v>
      </c>
    </row>
    <row r="30" ht="14.25" customHeight="1">
      <c r="B30" s="125" t="s">
        <v>2159</v>
      </c>
      <c r="C30" s="125" t="s">
        <v>887</v>
      </c>
      <c r="D30" s="125" t="s">
        <v>1037</v>
      </c>
      <c r="F30" s="125">
        <v>1.0</v>
      </c>
      <c r="H30" s="125" t="s">
        <v>20</v>
      </c>
      <c r="I30" s="125" t="s">
        <v>992</v>
      </c>
      <c r="O30" s="125" t="s">
        <v>54</v>
      </c>
      <c r="P30" s="125" t="s">
        <v>188</v>
      </c>
    </row>
    <row r="31" ht="14.25" customHeight="1">
      <c r="B31" s="125" t="s">
        <v>865</v>
      </c>
      <c r="C31" s="125" t="s">
        <v>529</v>
      </c>
      <c r="D31" s="125" t="s">
        <v>2601</v>
      </c>
      <c r="F31" s="125">
        <v>1.0</v>
      </c>
      <c r="H31" s="125" t="s">
        <v>20</v>
      </c>
      <c r="I31" s="125" t="s">
        <v>992</v>
      </c>
      <c r="O31" s="125" t="s">
        <v>74</v>
      </c>
      <c r="P31" s="125" t="s">
        <v>188</v>
      </c>
    </row>
    <row r="32" ht="14.25" customHeight="1">
      <c r="B32" s="125" t="s">
        <v>354</v>
      </c>
      <c r="C32" s="125" t="s">
        <v>1055</v>
      </c>
      <c r="D32" s="125" t="s">
        <v>524</v>
      </c>
      <c r="F32" s="125">
        <v>1.0</v>
      </c>
      <c r="H32" s="125" t="s">
        <v>20</v>
      </c>
      <c r="I32" s="125" t="s">
        <v>992</v>
      </c>
      <c r="O32" s="125" t="s">
        <v>74</v>
      </c>
      <c r="P32" s="125" t="s">
        <v>188</v>
      </c>
    </row>
    <row r="33" ht="14.25" customHeight="1">
      <c r="B33" s="125" t="s">
        <v>2602</v>
      </c>
      <c r="C33" s="125" t="s">
        <v>541</v>
      </c>
      <c r="D33" s="125" t="s">
        <v>1057</v>
      </c>
      <c r="F33" s="125">
        <v>1.0</v>
      </c>
      <c r="H33" s="125" t="s">
        <v>20</v>
      </c>
      <c r="I33" s="125" t="s">
        <v>992</v>
      </c>
      <c r="O33" s="125" t="s">
        <v>74</v>
      </c>
      <c r="P33" s="125" t="s">
        <v>188</v>
      </c>
    </row>
    <row r="34" ht="14.25" customHeight="1">
      <c r="B34" s="125" t="s">
        <v>2603</v>
      </c>
      <c r="C34" s="125" t="s">
        <v>886</v>
      </c>
      <c r="D34" s="125" t="s">
        <v>454</v>
      </c>
      <c r="F34" s="125">
        <v>1.0</v>
      </c>
      <c r="H34" s="125" t="s">
        <v>20</v>
      </c>
      <c r="I34" s="125" t="s">
        <v>992</v>
      </c>
      <c r="O34" s="125" t="s">
        <v>74</v>
      </c>
      <c r="P34" s="125" t="s">
        <v>188</v>
      </c>
    </row>
    <row r="35" ht="14.25" customHeight="1">
      <c r="B35" s="125" t="s">
        <v>2604</v>
      </c>
      <c r="C35" s="125" t="s">
        <v>2391</v>
      </c>
      <c r="D35" s="125" t="s">
        <v>1953</v>
      </c>
      <c r="F35" s="125">
        <v>0.5</v>
      </c>
      <c r="H35" s="125" t="s">
        <v>20</v>
      </c>
      <c r="I35" s="125" t="s">
        <v>992</v>
      </c>
      <c r="O35" s="125" t="s">
        <v>74</v>
      </c>
      <c r="P35" s="125" t="s">
        <v>188</v>
      </c>
    </row>
    <row r="36" ht="14.25" customHeight="1">
      <c r="B36" s="125" t="s">
        <v>1442</v>
      </c>
      <c r="C36" s="125" t="s">
        <v>524</v>
      </c>
      <c r="D36" s="125" t="s">
        <v>2605</v>
      </c>
      <c r="F36" s="125">
        <v>1.0</v>
      </c>
      <c r="H36" s="125" t="s">
        <v>20</v>
      </c>
      <c r="I36" s="125" t="s">
        <v>992</v>
      </c>
      <c r="O36" s="125" t="s">
        <v>74</v>
      </c>
      <c r="P36" s="125" t="s">
        <v>188</v>
      </c>
    </row>
    <row r="37" ht="14.25" customHeight="1">
      <c r="B37" s="125" t="s">
        <v>1065</v>
      </c>
      <c r="C37" s="125" t="s">
        <v>1005</v>
      </c>
      <c r="D37" s="125" t="s">
        <v>1075</v>
      </c>
      <c r="F37" s="125">
        <v>1.0</v>
      </c>
      <c r="H37" s="125" t="s">
        <v>20</v>
      </c>
      <c r="I37" s="125" t="s">
        <v>992</v>
      </c>
      <c r="O37" s="125" t="s">
        <v>74</v>
      </c>
      <c r="P37" s="125" t="s">
        <v>188</v>
      </c>
    </row>
    <row r="38" ht="14.25" customHeight="1">
      <c r="B38" s="125" t="s">
        <v>510</v>
      </c>
      <c r="C38" s="125" t="s">
        <v>2606</v>
      </c>
      <c r="D38" s="125" t="s">
        <v>517</v>
      </c>
      <c r="F38" s="125">
        <v>1.0</v>
      </c>
      <c r="H38" s="125" t="s">
        <v>20</v>
      </c>
      <c r="I38" s="125" t="s">
        <v>992</v>
      </c>
      <c r="O38" s="125" t="s">
        <v>74</v>
      </c>
      <c r="P38" s="125" t="s">
        <v>188</v>
      </c>
    </row>
    <row r="39" ht="14.25" customHeight="1">
      <c r="B39" s="125" t="s">
        <v>2607</v>
      </c>
      <c r="C39" s="125" t="s">
        <v>2608</v>
      </c>
      <c r="D39" s="125" t="s">
        <v>2609</v>
      </c>
      <c r="F39" s="125">
        <v>1.0</v>
      </c>
      <c r="H39" s="125" t="s">
        <v>21</v>
      </c>
      <c r="K39" s="125" t="s">
        <v>549</v>
      </c>
      <c r="O39" s="125" t="s">
        <v>54</v>
      </c>
      <c r="P39" s="125" t="s">
        <v>189</v>
      </c>
    </row>
    <row r="40" ht="14.25" customHeight="1">
      <c r="B40" s="125" t="s">
        <v>289</v>
      </c>
      <c r="C40" s="125" t="s">
        <v>2610</v>
      </c>
      <c r="D40" s="125" t="s">
        <v>2611</v>
      </c>
      <c r="F40" s="125">
        <v>0.5</v>
      </c>
      <c r="H40" s="125" t="s">
        <v>21</v>
      </c>
      <c r="K40" s="125" t="s">
        <v>58</v>
      </c>
      <c r="O40" s="125" t="s">
        <v>54</v>
      </c>
      <c r="P40" s="125" t="s">
        <v>189</v>
      </c>
    </row>
    <row r="41" ht="14.25" customHeight="1">
      <c r="B41" s="125" t="s">
        <v>2612</v>
      </c>
      <c r="C41" s="125" t="s">
        <v>2613</v>
      </c>
      <c r="D41" s="125" t="s">
        <v>2611</v>
      </c>
      <c r="F41" s="125">
        <v>1.0</v>
      </c>
      <c r="H41" s="125" t="s">
        <v>21</v>
      </c>
      <c r="M41" s="125" t="s">
        <v>1083</v>
      </c>
      <c r="O41" s="125" t="s">
        <v>54</v>
      </c>
      <c r="P41" s="125" t="s">
        <v>190</v>
      </c>
    </row>
    <row r="42" ht="14.25" customHeight="1">
      <c r="B42" s="125" t="s">
        <v>1188</v>
      </c>
      <c r="C42" s="125" t="s">
        <v>2614</v>
      </c>
      <c r="D42" s="125" t="s">
        <v>151</v>
      </c>
      <c r="F42" s="125">
        <v>1.0</v>
      </c>
      <c r="H42" s="125" t="s">
        <v>21</v>
      </c>
      <c r="I42" s="125" t="s">
        <v>992</v>
      </c>
      <c r="O42" s="125" t="s">
        <v>54</v>
      </c>
      <c r="P42" s="125" t="s">
        <v>188</v>
      </c>
    </row>
    <row r="43" ht="14.25" customHeight="1">
      <c r="B43" s="125" t="s">
        <v>2615</v>
      </c>
      <c r="C43" s="125" t="s">
        <v>2616</v>
      </c>
      <c r="D43" s="125" t="s">
        <v>81</v>
      </c>
      <c r="F43" s="125">
        <v>1.5</v>
      </c>
      <c r="H43" s="125" t="s">
        <v>21</v>
      </c>
      <c r="I43" s="125" t="s">
        <v>992</v>
      </c>
      <c r="O43" s="125" t="s">
        <v>54</v>
      </c>
      <c r="P43" s="125" t="s">
        <v>188</v>
      </c>
    </row>
    <row r="44" ht="14.25" customHeight="1">
      <c r="B44" s="125" t="s">
        <v>2617</v>
      </c>
      <c r="C44" s="125" t="s">
        <v>1909</v>
      </c>
      <c r="D44" s="125" t="s">
        <v>1981</v>
      </c>
      <c r="F44" s="125">
        <v>1.0</v>
      </c>
      <c r="H44" s="125" t="s">
        <v>21</v>
      </c>
      <c r="I44" s="125" t="s">
        <v>992</v>
      </c>
      <c r="O44" s="125" t="s">
        <v>54</v>
      </c>
      <c r="P44" s="125" t="s">
        <v>188</v>
      </c>
    </row>
    <row r="45" ht="14.25" customHeight="1">
      <c r="B45" s="125" t="s">
        <v>2618</v>
      </c>
      <c r="C45" s="125" t="s">
        <v>1471</v>
      </c>
      <c r="D45" s="125" t="s">
        <v>2619</v>
      </c>
      <c r="F45" s="125">
        <v>1.0</v>
      </c>
      <c r="H45" s="125" t="s">
        <v>21</v>
      </c>
      <c r="I45" s="125" t="s">
        <v>992</v>
      </c>
      <c r="O45" s="125" t="s">
        <v>54</v>
      </c>
      <c r="P45" s="125" t="s">
        <v>188</v>
      </c>
    </row>
    <row r="46" ht="14.25" customHeight="1">
      <c r="B46" s="125" t="s">
        <v>2620</v>
      </c>
      <c r="C46" s="125" t="s">
        <v>1116</v>
      </c>
      <c r="D46" s="125" t="s">
        <v>413</v>
      </c>
      <c r="F46" s="125">
        <v>1.0</v>
      </c>
      <c r="H46" s="125" t="s">
        <v>21</v>
      </c>
      <c r="I46" s="125" t="s">
        <v>992</v>
      </c>
      <c r="O46" s="125" t="s">
        <v>54</v>
      </c>
      <c r="P46" s="125" t="s">
        <v>188</v>
      </c>
    </row>
    <row r="47" ht="14.25" customHeight="1">
      <c r="B47" s="125" t="s">
        <v>1715</v>
      </c>
      <c r="C47" s="125" t="s">
        <v>70</v>
      </c>
      <c r="D47" s="125" t="s">
        <v>416</v>
      </c>
      <c r="F47" s="125">
        <v>1.0</v>
      </c>
      <c r="H47" s="125" t="s">
        <v>21</v>
      </c>
      <c r="I47" s="125" t="s">
        <v>992</v>
      </c>
      <c r="O47" s="125" t="s">
        <v>74</v>
      </c>
      <c r="P47" s="125" t="s">
        <v>188</v>
      </c>
    </row>
    <row r="48" ht="14.25" customHeight="1">
      <c r="B48" s="125" t="s">
        <v>2621</v>
      </c>
      <c r="C48" s="125" t="s">
        <v>212</v>
      </c>
      <c r="D48" s="125" t="s">
        <v>213</v>
      </c>
      <c r="F48" s="125">
        <v>1.0</v>
      </c>
      <c r="H48" s="125" t="s">
        <v>21</v>
      </c>
      <c r="I48" s="125" t="s">
        <v>992</v>
      </c>
      <c r="O48" s="125" t="s">
        <v>54</v>
      </c>
      <c r="P48" s="125" t="s">
        <v>188</v>
      </c>
    </row>
    <row r="49" ht="14.25" customHeight="1">
      <c r="B49" s="125" t="s">
        <v>2622</v>
      </c>
      <c r="C49" s="125" t="s">
        <v>212</v>
      </c>
      <c r="D49" s="125" t="s">
        <v>213</v>
      </c>
      <c r="F49" s="125">
        <v>1.0</v>
      </c>
      <c r="H49" s="125" t="s">
        <v>21</v>
      </c>
      <c r="I49" s="125" t="s">
        <v>992</v>
      </c>
      <c r="O49" s="125" t="s">
        <v>54</v>
      </c>
      <c r="P49" s="125" t="s">
        <v>188</v>
      </c>
    </row>
    <row r="50" ht="14.25" customHeight="1">
      <c r="B50" s="125" t="s">
        <v>615</v>
      </c>
      <c r="C50" s="125" t="s">
        <v>51</v>
      </c>
      <c r="D50" s="125" t="s">
        <v>52</v>
      </c>
      <c r="E50" s="125" t="s">
        <v>86</v>
      </c>
      <c r="F50" s="125">
        <v>1.0</v>
      </c>
      <c r="H50" s="125" t="s">
        <v>21</v>
      </c>
      <c r="I50" s="125" t="s">
        <v>992</v>
      </c>
      <c r="O50" s="125" t="s">
        <v>54</v>
      </c>
      <c r="P50" s="125" t="s">
        <v>188</v>
      </c>
    </row>
    <row r="51" ht="14.25" customHeight="1">
      <c r="B51" s="125" t="s">
        <v>1013</v>
      </c>
      <c r="C51" s="125" t="s">
        <v>2623</v>
      </c>
      <c r="D51" s="125" t="s">
        <v>2624</v>
      </c>
      <c r="F51" s="125">
        <v>1.0</v>
      </c>
      <c r="H51" s="125" t="s">
        <v>21</v>
      </c>
      <c r="I51" s="125" t="s">
        <v>992</v>
      </c>
      <c r="O51" s="125" t="s">
        <v>54</v>
      </c>
      <c r="P51" s="125" t="s">
        <v>188</v>
      </c>
    </row>
    <row r="52" ht="14.25" customHeight="1">
      <c r="B52" s="125" t="s">
        <v>581</v>
      </c>
      <c r="C52" s="125" t="s">
        <v>84</v>
      </c>
      <c r="D52" s="125" t="s">
        <v>69</v>
      </c>
      <c r="F52" s="125">
        <v>1.0</v>
      </c>
      <c r="H52" s="125" t="s">
        <v>21</v>
      </c>
      <c r="I52" s="125" t="s">
        <v>179</v>
      </c>
      <c r="O52" s="125" t="s">
        <v>54</v>
      </c>
      <c r="P52" s="125" t="s">
        <v>188</v>
      </c>
    </row>
    <row r="53" ht="14.25" customHeight="1">
      <c r="B53" s="125" t="s">
        <v>2625</v>
      </c>
      <c r="C53" s="125" t="s">
        <v>2626</v>
      </c>
      <c r="D53" s="125" t="s">
        <v>69</v>
      </c>
      <c r="F53" s="125">
        <v>1.0</v>
      </c>
      <c r="H53" s="125" t="s">
        <v>21</v>
      </c>
      <c r="I53" s="125" t="s">
        <v>179</v>
      </c>
      <c r="O53" s="125" t="s">
        <v>54</v>
      </c>
      <c r="P53" s="125" t="s">
        <v>188</v>
      </c>
    </row>
    <row r="54" ht="14.25" customHeight="1">
      <c r="B54" s="125" t="s">
        <v>636</v>
      </c>
      <c r="C54" s="125" t="s">
        <v>2627</v>
      </c>
      <c r="D54" s="125" t="s">
        <v>2628</v>
      </c>
      <c r="F54" s="125">
        <v>1.5</v>
      </c>
      <c r="H54" s="125" t="s">
        <v>21</v>
      </c>
      <c r="I54" s="125" t="s">
        <v>992</v>
      </c>
      <c r="O54" s="125" t="s">
        <v>74</v>
      </c>
      <c r="P54" s="125" t="s">
        <v>188</v>
      </c>
    </row>
    <row r="55" ht="14.25" customHeight="1">
      <c r="B55" s="125" t="s">
        <v>2629</v>
      </c>
      <c r="C55" s="125" t="s">
        <v>2630</v>
      </c>
      <c r="D55" s="125" t="s">
        <v>1856</v>
      </c>
      <c r="F55" s="125">
        <v>1.0</v>
      </c>
      <c r="H55" s="125" t="s">
        <v>21</v>
      </c>
      <c r="K55" s="125" t="s">
        <v>155</v>
      </c>
      <c r="O55" s="125" t="s">
        <v>54</v>
      </c>
      <c r="P55" s="125" t="s">
        <v>189</v>
      </c>
    </row>
    <row r="56" ht="14.25" customHeight="1">
      <c r="B56" s="125" t="s">
        <v>582</v>
      </c>
      <c r="C56" s="125" t="s">
        <v>2631</v>
      </c>
      <c r="D56" s="125" t="s">
        <v>548</v>
      </c>
      <c r="F56" s="125">
        <v>3.0</v>
      </c>
      <c r="H56" s="125" t="s">
        <v>21</v>
      </c>
      <c r="K56" s="125" t="s">
        <v>53</v>
      </c>
      <c r="O56" s="125" t="s">
        <v>54</v>
      </c>
      <c r="P56" s="125" t="s">
        <v>189</v>
      </c>
    </row>
    <row r="57" ht="14.25" customHeight="1">
      <c r="B57" s="125" t="s">
        <v>2632</v>
      </c>
      <c r="C57" s="125" t="s">
        <v>2633</v>
      </c>
      <c r="D57" s="125" t="s">
        <v>1484</v>
      </c>
      <c r="F57" s="125">
        <v>1.5</v>
      </c>
      <c r="H57" s="125" t="s">
        <v>21</v>
      </c>
      <c r="I57" s="125" t="s">
        <v>179</v>
      </c>
      <c r="O57" s="125" t="s">
        <v>54</v>
      </c>
      <c r="P57" s="125" t="s">
        <v>188</v>
      </c>
    </row>
    <row r="58" ht="14.25" customHeight="1">
      <c r="B58" s="125" t="s">
        <v>348</v>
      </c>
      <c r="C58" s="125" t="s">
        <v>69</v>
      </c>
      <c r="D58" s="125" t="s">
        <v>70</v>
      </c>
      <c r="F58" s="125">
        <v>1.0</v>
      </c>
      <c r="H58" s="125" t="s">
        <v>21</v>
      </c>
      <c r="I58" s="125" t="s">
        <v>179</v>
      </c>
      <c r="O58" s="125" t="s">
        <v>54</v>
      </c>
      <c r="P58" s="125" t="s">
        <v>188</v>
      </c>
    </row>
    <row r="59" ht="14.25" customHeight="1">
      <c r="B59" s="125" t="s">
        <v>2634</v>
      </c>
      <c r="C59" s="125" t="s">
        <v>652</v>
      </c>
      <c r="D59" s="125" t="s">
        <v>718</v>
      </c>
      <c r="F59" s="125">
        <v>2.0</v>
      </c>
      <c r="H59" s="125" t="s">
        <v>21</v>
      </c>
      <c r="I59" s="125" t="s">
        <v>179</v>
      </c>
      <c r="O59" s="125" t="s">
        <v>54</v>
      </c>
      <c r="P59" s="125" t="s">
        <v>188</v>
      </c>
    </row>
    <row r="60" ht="14.25" customHeight="1">
      <c r="B60" s="125" t="s">
        <v>2635</v>
      </c>
      <c r="C60" s="125" t="s">
        <v>652</v>
      </c>
      <c r="D60" s="125" t="s">
        <v>718</v>
      </c>
      <c r="F60" s="125">
        <v>1.5</v>
      </c>
      <c r="H60" s="125" t="s">
        <v>21</v>
      </c>
      <c r="I60" s="125" t="s">
        <v>1102</v>
      </c>
      <c r="O60" s="125" t="s">
        <v>54</v>
      </c>
      <c r="P60" s="125" t="s">
        <v>188</v>
      </c>
    </row>
    <row r="61" ht="14.25" customHeight="1">
      <c r="B61" s="125" t="s">
        <v>776</v>
      </c>
      <c r="C61" s="125" t="s">
        <v>2636</v>
      </c>
      <c r="D61" s="125" t="s">
        <v>61</v>
      </c>
      <c r="F61" s="125">
        <v>1.0</v>
      </c>
      <c r="H61" s="125" t="s">
        <v>21</v>
      </c>
      <c r="K61" s="125" t="s">
        <v>549</v>
      </c>
      <c r="P61" s="125" t="s">
        <v>189</v>
      </c>
    </row>
    <row r="62" ht="14.25" customHeight="1">
      <c r="B62" s="125" t="s">
        <v>2637</v>
      </c>
      <c r="C62" s="125" t="s">
        <v>1448</v>
      </c>
      <c r="D62" s="125" t="s">
        <v>2638</v>
      </c>
      <c r="F62" s="125">
        <v>4.0</v>
      </c>
      <c r="H62" s="125" t="s">
        <v>23</v>
      </c>
      <c r="I62" s="125" t="s">
        <v>924</v>
      </c>
      <c r="O62" s="125" t="s">
        <v>54</v>
      </c>
      <c r="P62" s="125" t="s">
        <v>188</v>
      </c>
    </row>
    <row r="63" ht="14.25" customHeight="1">
      <c r="B63" s="125" t="s">
        <v>1483</v>
      </c>
      <c r="C63" s="125" t="s">
        <v>89</v>
      </c>
      <c r="D63" s="125" t="s">
        <v>84</v>
      </c>
      <c r="E63" s="125" t="s">
        <v>137</v>
      </c>
      <c r="F63" s="125">
        <v>4.0</v>
      </c>
      <c r="H63" s="125" t="s">
        <v>23</v>
      </c>
      <c r="I63" s="125" t="s">
        <v>924</v>
      </c>
      <c r="O63" s="125" t="s">
        <v>74</v>
      </c>
      <c r="P63" s="125" t="s">
        <v>188</v>
      </c>
    </row>
    <row r="64" ht="14.25" customHeight="1">
      <c r="B64" s="125" t="s">
        <v>2639</v>
      </c>
      <c r="C64" s="125" t="s">
        <v>1583</v>
      </c>
      <c r="D64" s="125" t="s">
        <v>2640</v>
      </c>
      <c r="F64" s="125">
        <v>9.7</v>
      </c>
      <c r="H64" s="125" t="s">
        <v>23</v>
      </c>
      <c r="I64" s="125" t="s">
        <v>179</v>
      </c>
      <c r="O64" s="125" t="s">
        <v>74</v>
      </c>
      <c r="P64" s="125" t="s">
        <v>188</v>
      </c>
    </row>
    <row r="65" ht="14.25" customHeight="1">
      <c r="B65" s="125" t="s">
        <v>615</v>
      </c>
      <c r="C65" s="125" t="s">
        <v>2641</v>
      </c>
      <c r="D65" s="125" t="s">
        <v>2642</v>
      </c>
      <c r="F65" s="125">
        <v>5.0</v>
      </c>
      <c r="H65" s="125" t="s">
        <v>23</v>
      </c>
      <c r="I65" s="125" t="s">
        <v>2643</v>
      </c>
      <c r="O65" s="125" t="s">
        <v>74</v>
      </c>
      <c r="P65" s="125" t="s">
        <v>188</v>
      </c>
    </row>
    <row r="66" ht="14.25" customHeight="1">
      <c r="B66" s="125" t="s">
        <v>670</v>
      </c>
      <c r="C66" s="125" t="s">
        <v>2644</v>
      </c>
      <c r="D66" s="125" t="s">
        <v>2645</v>
      </c>
      <c r="F66" s="125">
        <v>3.75</v>
      </c>
      <c r="H66" s="125" t="s">
        <v>23</v>
      </c>
      <c r="I66" s="125" t="s">
        <v>924</v>
      </c>
      <c r="O66" s="125" t="s">
        <v>74</v>
      </c>
      <c r="P66" s="125" t="s">
        <v>188</v>
      </c>
    </row>
    <row r="67" ht="14.25" customHeight="1">
      <c r="B67" s="125" t="s">
        <v>2646</v>
      </c>
      <c r="C67" s="125" t="s">
        <v>2647</v>
      </c>
      <c r="D67" s="125" t="s">
        <v>1583</v>
      </c>
      <c r="F67" s="125">
        <v>7.5</v>
      </c>
      <c r="H67" s="125" t="s">
        <v>23</v>
      </c>
      <c r="I67" s="125" t="s">
        <v>2643</v>
      </c>
      <c r="O67" s="125" t="s">
        <v>74</v>
      </c>
      <c r="P67" s="125" t="s">
        <v>188</v>
      </c>
    </row>
    <row r="68" ht="14.25" customHeight="1">
      <c r="B68" s="125" t="s">
        <v>1015</v>
      </c>
      <c r="C68" s="125" t="s">
        <v>1146</v>
      </c>
      <c r="D68" s="125" t="s">
        <v>1668</v>
      </c>
      <c r="E68" s="125" t="s">
        <v>86</v>
      </c>
      <c r="F68" s="125">
        <v>5.0</v>
      </c>
      <c r="H68" s="125" t="s">
        <v>23</v>
      </c>
      <c r="I68" s="125" t="s">
        <v>924</v>
      </c>
      <c r="O68" s="125" t="s">
        <v>74</v>
      </c>
      <c r="P68" s="125" t="s">
        <v>188</v>
      </c>
    </row>
    <row r="69" ht="14.25" customHeight="1">
      <c r="B69" s="125" t="s">
        <v>1067</v>
      </c>
      <c r="C69" s="125" t="s">
        <v>2648</v>
      </c>
      <c r="D69" s="125" t="s">
        <v>1593</v>
      </c>
      <c r="F69" s="125">
        <v>4.0</v>
      </c>
      <c r="H69" s="125" t="s">
        <v>23</v>
      </c>
      <c r="I69" s="125" t="s">
        <v>924</v>
      </c>
      <c r="O69" s="125" t="s">
        <v>74</v>
      </c>
      <c r="P69" s="125" t="s">
        <v>188</v>
      </c>
    </row>
    <row r="70" ht="14.25" customHeight="1">
      <c r="B70" s="125" t="s">
        <v>2649</v>
      </c>
      <c r="C70" s="125" t="s">
        <v>81</v>
      </c>
      <c r="D70" s="125" t="s">
        <v>1555</v>
      </c>
      <c r="F70" s="125">
        <v>3.5</v>
      </c>
      <c r="H70" s="125" t="s">
        <v>23</v>
      </c>
      <c r="I70" s="125" t="s">
        <v>179</v>
      </c>
      <c r="O70" s="125" t="s">
        <v>74</v>
      </c>
      <c r="P70" s="125" t="s">
        <v>188</v>
      </c>
    </row>
    <row r="71" ht="14.25" customHeight="1">
      <c r="B71" s="125" t="s">
        <v>1375</v>
      </c>
      <c r="C71" s="125" t="s">
        <v>84</v>
      </c>
      <c r="D71" s="125" t="s">
        <v>2650</v>
      </c>
      <c r="F71" s="125">
        <v>5.0</v>
      </c>
      <c r="H71" s="125" t="s">
        <v>23</v>
      </c>
      <c r="I71" s="125" t="s">
        <v>179</v>
      </c>
      <c r="O71" s="125" t="s">
        <v>74</v>
      </c>
      <c r="P71" s="125" t="s">
        <v>188</v>
      </c>
    </row>
    <row r="72" ht="14.25" customHeight="1">
      <c r="B72" s="125" t="s">
        <v>1370</v>
      </c>
      <c r="C72" s="125" t="s">
        <v>1316</v>
      </c>
      <c r="D72" s="125" t="s">
        <v>1157</v>
      </c>
      <c r="F72" s="125">
        <v>2.5</v>
      </c>
      <c r="H72" s="125" t="s">
        <v>22</v>
      </c>
      <c r="I72" s="125" t="s">
        <v>992</v>
      </c>
      <c r="O72" s="125" t="s">
        <v>54</v>
      </c>
      <c r="P72" s="125" t="s">
        <v>188</v>
      </c>
    </row>
    <row r="73" ht="14.25" customHeight="1">
      <c r="B73" s="125" t="s">
        <v>1961</v>
      </c>
      <c r="C73" s="125" t="s">
        <v>2651</v>
      </c>
      <c r="D73" s="125" t="s">
        <v>248</v>
      </c>
      <c r="F73" s="125">
        <v>4.29</v>
      </c>
      <c r="H73" s="125" t="s">
        <v>22</v>
      </c>
      <c r="I73" s="125" t="s">
        <v>992</v>
      </c>
      <c r="O73" s="125" t="s">
        <v>74</v>
      </c>
      <c r="P73" s="125" t="s">
        <v>188</v>
      </c>
    </row>
    <row r="74" ht="14.25" customHeight="1">
      <c r="B74" s="125" t="s">
        <v>2652</v>
      </c>
      <c r="C74" s="125" t="s">
        <v>2653</v>
      </c>
      <c r="D74" s="125" t="s">
        <v>2654</v>
      </c>
      <c r="F74" s="125">
        <v>3.0</v>
      </c>
      <c r="H74" s="125" t="s">
        <v>22</v>
      </c>
      <c r="I74" s="125" t="s">
        <v>992</v>
      </c>
      <c r="O74" s="125" t="s">
        <v>54</v>
      </c>
      <c r="P74" s="125" t="s">
        <v>188</v>
      </c>
    </row>
    <row r="75" ht="14.25" customHeight="1">
      <c r="B75" s="125" t="s">
        <v>2655</v>
      </c>
      <c r="C75" s="125" t="s">
        <v>2656</v>
      </c>
      <c r="D75" s="125" t="s">
        <v>2657</v>
      </c>
      <c r="F75" s="125">
        <v>2.5</v>
      </c>
      <c r="H75" s="125" t="s">
        <v>22</v>
      </c>
      <c r="I75" s="125" t="s">
        <v>992</v>
      </c>
      <c r="O75" s="125" t="s">
        <v>54</v>
      </c>
      <c r="P75" s="125" t="s">
        <v>188</v>
      </c>
    </row>
    <row r="76" ht="14.25" customHeight="1">
      <c r="B76" s="125" t="s">
        <v>2658</v>
      </c>
      <c r="C76" s="125" t="s">
        <v>2659</v>
      </c>
      <c r="D76" s="125" t="s">
        <v>1175</v>
      </c>
      <c r="F76" s="125">
        <v>5.0</v>
      </c>
      <c r="H76" s="125" t="s">
        <v>22</v>
      </c>
      <c r="I76" s="125" t="s">
        <v>992</v>
      </c>
      <c r="O76" s="125" t="s">
        <v>54</v>
      </c>
      <c r="P76" s="125" t="s">
        <v>188</v>
      </c>
    </row>
    <row r="77" ht="14.25" customHeight="1">
      <c r="B77" s="125" t="s">
        <v>791</v>
      </c>
      <c r="C77" s="125" t="s">
        <v>253</v>
      </c>
      <c r="D77" s="125" t="s">
        <v>254</v>
      </c>
      <c r="F77" s="125">
        <v>8.0</v>
      </c>
      <c r="H77" s="125" t="s">
        <v>22</v>
      </c>
      <c r="I77" s="125" t="s">
        <v>992</v>
      </c>
      <c r="O77" s="125" t="s">
        <v>54</v>
      </c>
      <c r="P77" s="125" t="s">
        <v>188</v>
      </c>
    </row>
    <row r="78" ht="14.25" customHeight="1">
      <c r="B78" s="125" t="s">
        <v>2660</v>
      </c>
      <c r="C78" s="125" t="s">
        <v>95</v>
      </c>
      <c r="D78" s="125" t="s">
        <v>254</v>
      </c>
      <c r="F78" s="125">
        <v>2.4</v>
      </c>
      <c r="H78" s="125" t="s">
        <v>22</v>
      </c>
      <c r="I78" s="125" t="s">
        <v>992</v>
      </c>
      <c r="O78" s="125" t="s">
        <v>54</v>
      </c>
      <c r="P78" s="125" t="s">
        <v>188</v>
      </c>
    </row>
    <row r="79" ht="14.25" customHeight="1">
      <c r="B79" s="125" t="s">
        <v>1015</v>
      </c>
      <c r="C79" s="125" t="s">
        <v>117</v>
      </c>
      <c r="D79" s="125" t="s">
        <v>562</v>
      </c>
      <c r="F79" s="125">
        <v>2.75</v>
      </c>
      <c r="H79" s="125" t="s">
        <v>22</v>
      </c>
      <c r="I79" s="125" t="s">
        <v>992</v>
      </c>
      <c r="O79" s="125" t="s">
        <v>54</v>
      </c>
      <c r="P79" s="125" t="s">
        <v>188</v>
      </c>
    </row>
    <row r="80" ht="14.25" customHeight="1">
      <c r="B80" s="125" t="s">
        <v>2661</v>
      </c>
      <c r="C80" s="125" t="s">
        <v>567</v>
      </c>
      <c r="D80" s="125" t="s">
        <v>562</v>
      </c>
      <c r="F80" s="125">
        <v>6.0</v>
      </c>
      <c r="H80" s="125" t="s">
        <v>22</v>
      </c>
      <c r="I80" s="125" t="s">
        <v>992</v>
      </c>
      <c r="O80" s="125" t="s">
        <v>54</v>
      </c>
      <c r="P80" s="125" t="s">
        <v>188</v>
      </c>
    </row>
    <row r="81" ht="14.25" customHeight="1">
      <c r="B81" s="125" t="s">
        <v>1736</v>
      </c>
      <c r="C81" s="125" t="s">
        <v>154</v>
      </c>
      <c r="D81" s="125" t="s">
        <v>564</v>
      </c>
      <c r="F81" s="125">
        <v>3.0</v>
      </c>
      <c r="H81" s="125" t="s">
        <v>22</v>
      </c>
      <c r="I81" s="125" t="s">
        <v>992</v>
      </c>
      <c r="O81" s="125" t="s">
        <v>54</v>
      </c>
      <c r="P81" s="125" t="s">
        <v>188</v>
      </c>
    </row>
    <row r="82" ht="14.25" customHeight="1">
      <c r="B82" s="125" t="s">
        <v>2662</v>
      </c>
      <c r="C82" s="125" t="s">
        <v>2663</v>
      </c>
      <c r="D82" s="125" t="s">
        <v>2664</v>
      </c>
      <c r="F82" s="125">
        <v>2.5</v>
      </c>
      <c r="H82" s="125" t="s">
        <v>22</v>
      </c>
      <c r="I82" s="125" t="s">
        <v>992</v>
      </c>
      <c r="O82" s="125" t="s">
        <v>54</v>
      </c>
      <c r="P82" s="125" t="s">
        <v>188</v>
      </c>
    </row>
    <row r="83" ht="14.25" customHeight="1">
      <c r="B83" s="125" t="s">
        <v>1517</v>
      </c>
      <c r="C83" s="125" t="s">
        <v>1635</v>
      </c>
      <c r="D83" s="125" t="s">
        <v>2665</v>
      </c>
      <c r="F83" s="125">
        <v>3.0</v>
      </c>
      <c r="H83" s="125" t="s">
        <v>22</v>
      </c>
      <c r="I83" s="125" t="s">
        <v>992</v>
      </c>
      <c r="O83" s="125" t="s">
        <v>54</v>
      </c>
      <c r="P83" s="125" t="s">
        <v>188</v>
      </c>
    </row>
    <row r="84" ht="14.25" customHeight="1">
      <c r="B84" s="125" t="s">
        <v>141</v>
      </c>
      <c r="C84" s="125" t="s">
        <v>1297</v>
      </c>
      <c r="D84" s="125" t="s">
        <v>1628</v>
      </c>
      <c r="F84" s="125">
        <v>4.0</v>
      </c>
      <c r="H84" s="125" t="s">
        <v>22</v>
      </c>
      <c r="I84" s="125" t="s">
        <v>992</v>
      </c>
      <c r="O84" s="125" t="s">
        <v>54</v>
      </c>
      <c r="P84" s="125" t="s">
        <v>188</v>
      </c>
    </row>
    <row r="85" ht="14.25" customHeight="1">
      <c r="B85" s="125" t="s">
        <v>68</v>
      </c>
      <c r="C85" s="125" t="s">
        <v>576</v>
      </c>
      <c r="D85" s="125" t="s">
        <v>1628</v>
      </c>
      <c r="F85" s="125">
        <v>4.0</v>
      </c>
      <c r="H85" s="125" t="s">
        <v>22</v>
      </c>
      <c r="I85" s="125" t="s">
        <v>992</v>
      </c>
      <c r="O85" s="125" t="s">
        <v>54</v>
      </c>
      <c r="P85" s="125" t="s">
        <v>188</v>
      </c>
    </row>
    <row r="86" ht="14.25" customHeight="1">
      <c r="B86" s="125" t="s">
        <v>2666</v>
      </c>
      <c r="C86" s="125" t="s">
        <v>2659</v>
      </c>
      <c r="D86" s="125" t="s">
        <v>1245</v>
      </c>
      <c r="F86" s="125">
        <v>3.0</v>
      </c>
      <c r="H86" s="125" t="s">
        <v>22</v>
      </c>
      <c r="I86" s="125" t="s">
        <v>992</v>
      </c>
      <c r="O86" s="125" t="s">
        <v>54</v>
      </c>
      <c r="P86" s="125" t="s">
        <v>188</v>
      </c>
    </row>
    <row r="87" ht="14.25" customHeight="1">
      <c r="B87" s="125" t="s">
        <v>2233</v>
      </c>
      <c r="C87" s="125" t="s">
        <v>2667</v>
      </c>
      <c r="D87" s="125" t="s">
        <v>588</v>
      </c>
      <c r="F87" s="125">
        <v>4.0</v>
      </c>
      <c r="H87" s="125" t="s">
        <v>22</v>
      </c>
      <c r="I87" s="125" t="s">
        <v>992</v>
      </c>
      <c r="O87" s="125" t="s">
        <v>54</v>
      </c>
      <c r="P87" s="125" t="s">
        <v>188</v>
      </c>
    </row>
    <row r="88" ht="14.25" customHeight="1">
      <c r="B88" s="125" t="s">
        <v>2668</v>
      </c>
      <c r="C88" s="125" t="s">
        <v>2669</v>
      </c>
      <c r="D88" s="125" t="s">
        <v>2651</v>
      </c>
      <c r="F88" s="125">
        <v>4.0</v>
      </c>
      <c r="H88" s="125" t="s">
        <v>22</v>
      </c>
      <c r="I88" s="125" t="s">
        <v>992</v>
      </c>
      <c r="O88" s="125" t="s">
        <v>74</v>
      </c>
      <c r="P88" s="125" t="s">
        <v>188</v>
      </c>
    </row>
    <row r="89" ht="14.25" customHeight="1">
      <c r="B89" s="125" t="s">
        <v>2670</v>
      </c>
      <c r="C89" s="125" t="s">
        <v>1349</v>
      </c>
      <c r="D89" s="125" t="s">
        <v>629</v>
      </c>
      <c r="F89" s="125">
        <v>7.0</v>
      </c>
      <c r="H89" s="125" t="s">
        <v>22</v>
      </c>
      <c r="I89" s="125" t="s">
        <v>992</v>
      </c>
      <c r="O89" s="125" t="s">
        <v>54</v>
      </c>
      <c r="P89" s="125" t="s">
        <v>188</v>
      </c>
    </row>
    <row r="90" ht="14.25" customHeight="1">
      <c r="B90" s="125" t="s">
        <v>2671</v>
      </c>
      <c r="C90" s="125" t="s">
        <v>1349</v>
      </c>
      <c r="D90" s="125" t="s">
        <v>629</v>
      </c>
      <c r="F90" s="125">
        <v>3.0</v>
      </c>
      <c r="H90" s="125" t="s">
        <v>22</v>
      </c>
      <c r="I90" s="125" t="s">
        <v>992</v>
      </c>
      <c r="O90" s="125" t="s">
        <v>54</v>
      </c>
      <c r="P90" s="125" t="s">
        <v>188</v>
      </c>
    </row>
    <row r="91" ht="14.25" customHeight="1">
      <c r="B91" s="125" t="s">
        <v>469</v>
      </c>
      <c r="C91" s="125" t="s">
        <v>1250</v>
      </c>
      <c r="D91" s="125" t="s">
        <v>1056</v>
      </c>
      <c r="F91" s="125">
        <v>3.0</v>
      </c>
      <c r="H91" s="125" t="s">
        <v>22</v>
      </c>
      <c r="I91" s="125" t="s">
        <v>992</v>
      </c>
      <c r="O91" s="125" t="s">
        <v>74</v>
      </c>
      <c r="P91" s="125" t="s">
        <v>188</v>
      </c>
    </row>
    <row r="92" ht="14.25" customHeight="1">
      <c r="B92" s="125" t="s">
        <v>2376</v>
      </c>
      <c r="C92" s="125" t="s">
        <v>497</v>
      </c>
      <c r="D92" s="125" t="s">
        <v>570</v>
      </c>
      <c r="F92" s="125">
        <v>2.8</v>
      </c>
      <c r="H92" s="125" t="s">
        <v>22</v>
      </c>
      <c r="I92" s="125" t="s">
        <v>992</v>
      </c>
      <c r="O92" s="125" t="s">
        <v>54</v>
      </c>
      <c r="P92" s="125" t="s">
        <v>188</v>
      </c>
    </row>
    <row r="93" ht="14.25" customHeight="1">
      <c r="B93" s="125" t="s">
        <v>696</v>
      </c>
      <c r="C93" s="125" t="s">
        <v>886</v>
      </c>
      <c r="D93" s="125" t="s">
        <v>570</v>
      </c>
      <c r="F93" s="125">
        <v>3.0</v>
      </c>
      <c r="H93" s="125" t="s">
        <v>22</v>
      </c>
      <c r="I93" s="125" t="s">
        <v>992</v>
      </c>
      <c r="O93" s="125" t="s">
        <v>54</v>
      </c>
      <c r="P93" s="125" t="s">
        <v>188</v>
      </c>
    </row>
    <row r="94" ht="14.25" customHeight="1">
      <c r="B94" s="125" t="s">
        <v>2672</v>
      </c>
      <c r="C94" s="125" t="s">
        <v>2673</v>
      </c>
      <c r="D94" s="125" t="s">
        <v>552</v>
      </c>
      <c r="F94" s="125">
        <v>4.0</v>
      </c>
      <c r="H94" s="125" t="s">
        <v>22</v>
      </c>
      <c r="I94" s="125" t="s">
        <v>992</v>
      </c>
      <c r="O94" s="125" t="s">
        <v>54</v>
      </c>
      <c r="P94" s="125" t="s">
        <v>188</v>
      </c>
    </row>
    <row r="95" ht="14.25" customHeight="1">
      <c r="B95" s="125" t="s">
        <v>1103</v>
      </c>
      <c r="C95" s="125" t="s">
        <v>2674</v>
      </c>
      <c r="D95" s="125" t="s">
        <v>253</v>
      </c>
      <c r="F95" s="125">
        <v>3.0</v>
      </c>
      <c r="H95" s="125" t="s">
        <v>22</v>
      </c>
      <c r="I95" s="125" t="s">
        <v>992</v>
      </c>
      <c r="O95" s="125" t="s">
        <v>54</v>
      </c>
      <c r="P95" s="125" t="s">
        <v>188</v>
      </c>
    </row>
    <row r="96" ht="14.25" customHeight="1">
      <c r="B96" s="125" t="s">
        <v>530</v>
      </c>
      <c r="C96" s="125" t="s">
        <v>1281</v>
      </c>
      <c r="D96" s="125" t="s">
        <v>253</v>
      </c>
      <c r="F96" s="125">
        <v>6.0</v>
      </c>
      <c r="H96" s="125" t="s">
        <v>22</v>
      </c>
      <c r="I96" s="125" t="s">
        <v>992</v>
      </c>
      <c r="O96" s="125" t="s">
        <v>54</v>
      </c>
      <c r="P96" s="125" t="s">
        <v>188</v>
      </c>
    </row>
    <row r="97" ht="14.25" customHeight="1">
      <c r="B97" s="125" t="s">
        <v>2675</v>
      </c>
      <c r="C97" s="125" t="s">
        <v>1282</v>
      </c>
      <c r="D97" s="125" t="s">
        <v>253</v>
      </c>
      <c r="F97" s="125">
        <v>3.0</v>
      </c>
      <c r="H97" s="125" t="s">
        <v>22</v>
      </c>
      <c r="I97" s="125" t="s">
        <v>992</v>
      </c>
      <c r="O97" s="125" t="s">
        <v>54</v>
      </c>
      <c r="P97" s="125" t="s">
        <v>188</v>
      </c>
    </row>
    <row r="98" ht="14.25" customHeight="1">
      <c r="B98" s="125" t="s">
        <v>2676</v>
      </c>
      <c r="C98" s="125" t="s">
        <v>2677</v>
      </c>
      <c r="D98" s="125" t="s">
        <v>1295</v>
      </c>
      <c r="F98" s="125">
        <v>5.0</v>
      </c>
      <c r="H98" s="125" t="s">
        <v>22</v>
      </c>
      <c r="I98" s="125" t="s">
        <v>992</v>
      </c>
      <c r="O98" s="125" t="s">
        <v>54</v>
      </c>
      <c r="P98" s="125" t="s">
        <v>188</v>
      </c>
    </row>
    <row r="99" ht="14.25" customHeight="1">
      <c r="B99" s="125" t="s">
        <v>888</v>
      </c>
      <c r="C99" s="125" t="s">
        <v>507</v>
      </c>
      <c r="D99" s="125" t="s">
        <v>561</v>
      </c>
      <c r="F99" s="125">
        <v>3.0</v>
      </c>
      <c r="H99" s="125" t="s">
        <v>22</v>
      </c>
      <c r="I99" s="125" t="s">
        <v>992</v>
      </c>
      <c r="O99" s="125" t="s">
        <v>54</v>
      </c>
      <c r="P99" s="125" t="s">
        <v>188</v>
      </c>
    </row>
    <row r="100" ht="14.25" customHeight="1">
      <c r="B100" s="125" t="s">
        <v>2678</v>
      </c>
      <c r="C100" s="125" t="s">
        <v>523</v>
      </c>
      <c r="D100" s="125" t="s">
        <v>1149</v>
      </c>
      <c r="F100" s="125">
        <v>3.0</v>
      </c>
      <c r="H100" s="125" t="s">
        <v>22</v>
      </c>
      <c r="I100" s="125" t="s">
        <v>992</v>
      </c>
      <c r="O100" s="125" t="s">
        <v>54</v>
      </c>
      <c r="P100" s="125" t="s">
        <v>188</v>
      </c>
    </row>
    <row r="101" ht="14.25" customHeight="1">
      <c r="B101" s="125" t="s">
        <v>815</v>
      </c>
      <c r="C101" s="125" t="s">
        <v>1648</v>
      </c>
      <c r="D101" s="125" t="s">
        <v>1647</v>
      </c>
      <c r="F101" s="125">
        <v>3.0</v>
      </c>
      <c r="H101" s="125" t="s">
        <v>22</v>
      </c>
      <c r="I101" s="125" t="s">
        <v>992</v>
      </c>
      <c r="O101" s="125" t="s">
        <v>54</v>
      </c>
      <c r="P101" s="125" t="s">
        <v>188</v>
      </c>
    </row>
    <row r="102" ht="14.25" customHeight="1">
      <c r="B102" s="125" t="s">
        <v>2679</v>
      </c>
      <c r="C102" s="125" t="s">
        <v>2680</v>
      </c>
      <c r="D102" s="125" t="s">
        <v>2681</v>
      </c>
      <c r="F102" s="125">
        <v>4.0</v>
      </c>
      <c r="H102" s="125" t="s">
        <v>22</v>
      </c>
      <c r="I102" s="125" t="s">
        <v>992</v>
      </c>
      <c r="O102" s="125" t="s">
        <v>54</v>
      </c>
      <c r="P102" s="125" t="s">
        <v>188</v>
      </c>
    </row>
    <row r="103" ht="14.25" customHeight="1">
      <c r="B103" s="125" t="s">
        <v>323</v>
      </c>
      <c r="C103" s="125" t="s">
        <v>157</v>
      </c>
      <c r="D103" s="125" t="s">
        <v>571</v>
      </c>
      <c r="E103" s="125" t="s">
        <v>86</v>
      </c>
      <c r="F103" s="125">
        <v>2.5</v>
      </c>
      <c r="H103" s="125" t="s">
        <v>22</v>
      </c>
      <c r="I103" s="125" t="s">
        <v>992</v>
      </c>
      <c r="O103" s="125" t="s">
        <v>54</v>
      </c>
      <c r="P103" s="125" t="s">
        <v>188</v>
      </c>
    </row>
    <row r="104" ht="14.25" customHeight="1">
      <c r="B104" s="125" t="s">
        <v>748</v>
      </c>
      <c r="C104" s="125" t="s">
        <v>2673</v>
      </c>
      <c r="D104" s="125" t="s">
        <v>567</v>
      </c>
      <c r="F104" s="125">
        <v>3.0</v>
      </c>
      <c r="H104" s="125" t="s">
        <v>22</v>
      </c>
      <c r="I104" s="125" t="s">
        <v>992</v>
      </c>
      <c r="O104" s="125" t="s">
        <v>54</v>
      </c>
      <c r="P104" s="125" t="s">
        <v>188</v>
      </c>
    </row>
    <row r="105" ht="14.25" customHeight="1">
      <c r="B105" s="125" t="s">
        <v>2682</v>
      </c>
      <c r="C105" s="125" t="s">
        <v>1181</v>
      </c>
      <c r="D105" s="125" t="s">
        <v>373</v>
      </c>
      <c r="F105" s="125">
        <v>4.0</v>
      </c>
      <c r="H105" s="125" t="s">
        <v>22</v>
      </c>
      <c r="I105" s="125" t="s">
        <v>992</v>
      </c>
      <c r="O105" s="125" t="s">
        <v>54</v>
      </c>
      <c r="P105" s="125" t="s">
        <v>188</v>
      </c>
    </row>
    <row r="106" ht="14.25" customHeight="1">
      <c r="B106" s="125" t="s">
        <v>2683</v>
      </c>
      <c r="C106" s="125" t="s">
        <v>2684</v>
      </c>
      <c r="D106" s="125" t="s">
        <v>652</v>
      </c>
      <c r="F106" s="125">
        <v>2.4</v>
      </c>
      <c r="H106" s="125" t="s">
        <v>22</v>
      </c>
      <c r="I106" s="125" t="s">
        <v>992</v>
      </c>
      <c r="O106" s="125" t="s">
        <v>54</v>
      </c>
      <c r="P106" s="125" t="s">
        <v>188</v>
      </c>
    </row>
    <row r="107" ht="14.25" customHeight="1">
      <c r="B107" s="125" t="s">
        <v>382</v>
      </c>
      <c r="C107" s="125" t="s">
        <v>2685</v>
      </c>
      <c r="D107" s="125" t="s">
        <v>558</v>
      </c>
      <c r="F107" s="125">
        <v>2.5</v>
      </c>
      <c r="H107" s="125" t="s">
        <v>22</v>
      </c>
      <c r="I107" s="125" t="s">
        <v>992</v>
      </c>
      <c r="O107" s="125" t="s">
        <v>54</v>
      </c>
      <c r="P107" s="125" t="s">
        <v>188</v>
      </c>
    </row>
    <row r="108" ht="14.25" customHeight="1">
      <c r="B108" s="125" t="s">
        <v>2686</v>
      </c>
      <c r="C108" s="125" t="s">
        <v>1157</v>
      </c>
      <c r="D108" s="125" t="s">
        <v>2687</v>
      </c>
      <c r="F108" s="125">
        <v>3.0</v>
      </c>
      <c r="H108" s="125" t="s">
        <v>22</v>
      </c>
      <c r="I108" s="125" t="s">
        <v>992</v>
      </c>
      <c r="O108" s="125" t="s">
        <v>54</v>
      </c>
      <c r="P108" s="125" t="s">
        <v>188</v>
      </c>
    </row>
    <row r="109" ht="14.25" customHeight="1">
      <c r="B109" s="125" t="s">
        <v>733</v>
      </c>
      <c r="C109" s="125" t="s">
        <v>2688</v>
      </c>
      <c r="D109" s="125" t="s">
        <v>1267</v>
      </c>
      <c r="F109" s="125">
        <v>3.0</v>
      </c>
      <c r="H109" s="125" t="s">
        <v>22</v>
      </c>
      <c r="I109" s="125" t="s">
        <v>992</v>
      </c>
      <c r="O109" s="125" t="s">
        <v>54</v>
      </c>
      <c r="P109" s="125" t="s">
        <v>188</v>
      </c>
    </row>
    <row r="110" ht="14.25" customHeight="1">
      <c r="B110" s="125" t="s">
        <v>1080</v>
      </c>
      <c r="C110" s="125" t="s">
        <v>254</v>
      </c>
      <c r="D110" s="125" t="s">
        <v>1260</v>
      </c>
      <c r="F110" s="125">
        <v>2.5</v>
      </c>
      <c r="H110" s="125" t="s">
        <v>22</v>
      </c>
      <c r="I110" s="125" t="s">
        <v>992</v>
      </c>
      <c r="O110" s="125" t="s">
        <v>54</v>
      </c>
      <c r="P110" s="125" t="s">
        <v>188</v>
      </c>
    </row>
    <row r="111" ht="14.25" customHeight="1">
      <c r="B111" s="125" t="s">
        <v>2689</v>
      </c>
      <c r="C111" s="125" t="s">
        <v>2690</v>
      </c>
      <c r="D111" s="125" t="s">
        <v>886</v>
      </c>
      <c r="F111" s="125">
        <v>4.0</v>
      </c>
      <c r="H111" s="125" t="s">
        <v>22</v>
      </c>
      <c r="I111" s="125" t="s">
        <v>992</v>
      </c>
      <c r="O111" s="125" t="s">
        <v>54</v>
      </c>
      <c r="P111" s="125" t="s">
        <v>188</v>
      </c>
    </row>
    <row r="112" ht="14.25" customHeight="1">
      <c r="B112" s="125" t="s">
        <v>165</v>
      </c>
      <c r="C112" s="125" t="s">
        <v>1369</v>
      </c>
      <c r="D112" s="125" t="s">
        <v>886</v>
      </c>
      <c r="E112" s="125" t="s">
        <v>137</v>
      </c>
      <c r="F112" s="125">
        <v>7.0</v>
      </c>
      <c r="H112" s="125" t="s">
        <v>22</v>
      </c>
      <c r="I112" s="125" t="s">
        <v>992</v>
      </c>
      <c r="O112" s="125" t="s">
        <v>54</v>
      </c>
      <c r="P112" s="125" t="s">
        <v>188</v>
      </c>
    </row>
    <row r="113" ht="14.25" customHeight="1">
      <c r="B113" s="125" t="s">
        <v>267</v>
      </c>
      <c r="C113" s="125" t="s">
        <v>394</v>
      </c>
      <c r="D113" s="125" t="s">
        <v>269</v>
      </c>
      <c r="F113" s="125">
        <v>5.0</v>
      </c>
      <c r="H113" s="125" t="s">
        <v>22</v>
      </c>
      <c r="I113" s="125" t="s">
        <v>992</v>
      </c>
      <c r="O113" s="125" t="s">
        <v>54</v>
      </c>
      <c r="P113" s="125" t="s">
        <v>188</v>
      </c>
    </row>
    <row r="114" ht="14.25" customHeight="1">
      <c r="B114" s="125" t="s">
        <v>2691</v>
      </c>
      <c r="C114" s="125" t="s">
        <v>1758</v>
      </c>
      <c r="D114" s="125" t="s">
        <v>2692</v>
      </c>
      <c r="E114" s="125" t="s">
        <v>86</v>
      </c>
      <c r="F114" s="125">
        <v>2.5</v>
      </c>
      <c r="H114" s="125" t="s">
        <v>22</v>
      </c>
      <c r="I114" s="125" t="s">
        <v>992</v>
      </c>
      <c r="O114" s="125" t="s">
        <v>54</v>
      </c>
      <c r="P114" s="125" t="s">
        <v>188</v>
      </c>
    </row>
    <row r="115" ht="14.25" customHeight="1">
      <c r="B115" s="125" t="s">
        <v>2693</v>
      </c>
      <c r="C115" s="125" t="s">
        <v>1238</v>
      </c>
      <c r="D115" s="125" t="s">
        <v>1183</v>
      </c>
      <c r="F115" s="125">
        <v>3.0</v>
      </c>
      <c r="H115" s="125" t="s">
        <v>22</v>
      </c>
      <c r="I115" s="125" t="s">
        <v>992</v>
      </c>
      <c r="O115" s="125" t="s">
        <v>54</v>
      </c>
      <c r="P115" s="125" t="s">
        <v>188</v>
      </c>
    </row>
    <row r="116" ht="14.25" customHeight="1">
      <c r="B116" s="125" t="s">
        <v>2694</v>
      </c>
      <c r="C116" s="125" t="s">
        <v>2688</v>
      </c>
      <c r="D116" s="125" t="s">
        <v>2695</v>
      </c>
      <c r="F116" s="125">
        <v>3.3</v>
      </c>
      <c r="H116" s="125" t="s">
        <v>22</v>
      </c>
      <c r="I116" s="125" t="s">
        <v>992</v>
      </c>
      <c r="O116" s="125" t="s">
        <v>54</v>
      </c>
      <c r="P116" s="125" t="s">
        <v>188</v>
      </c>
    </row>
    <row r="117" ht="14.25" customHeight="1">
      <c r="B117" s="125" t="s">
        <v>2696</v>
      </c>
      <c r="C117" s="125" t="s">
        <v>2688</v>
      </c>
      <c r="D117" s="125" t="s">
        <v>2695</v>
      </c>
      <c r="F117" s="125">
        <v>4.0</v>
      </c>
      <c r="H117" s="125" t="s">
        <v>22</v>
      </c>
      <c r="I117" s="125" t="s">
        <v>992</v>
      </c>
      <c r="O117" s="125" t="s">
        <v>54</v>
      </c>
      <c r="P117" s="125" t="s">
        <v>188</v>
      </c>
    </row>
    <row r="118" ht="14.25" customHeight="1">
      <c r="B118" s="125" t="s">
        <v>2697</v>
      </c>
      <c r="C118" s="125" t="s">
        <v>268</v>
      </c>
      <c r="D118" s="125" t="s">
        <v>2698</v>
      </c>
      <c r="F118" s="125">
        <v>3.0</v>
      </c>
      <c r="H118" s="125" t="s">
        <v>22</v>
      </c>
      <c r="I118" s="125" t="s">
        <v>992</v>
      </c>
      <c r="O118" s="125" t="s">
        <v>74</v>
      </c>
      <c r="P118" s="125" t="s">
        <v>188</v>
      </c>
    </row>
    <row r="119" ht="14.25" customHeight="1">
      <c r="B119" s="125" t="s">
        <v>2699</v>
      </c>
      <c r="C119" s="125" t="s">
        <v>2700</v>
      </c>
      <c r="D119" s="125" t="s">
        <v>2698</v>
      </c>
      <c r="F119" s="125">
        <v>4.0</v>
      </c>
      <c r="H119" s="125" t="s">
        <v>22</v>
      </c>
      <c r="I119" s="125" t="s">
        <v>992</v>
      </c>
      <c r="O119" s="125" t="s">
        <v>54</v>
      </c>
      <c r="P119" s="125" t="s">
        <v>188</v>
      </c>
    </row>
    <row r="120" ht="14.25" customHeight="1">
      <c r="B120" s="125" t="s">
        <v>594</v>
      </c>
      <c r="C120" s="125" t="s">
        <v>2701</v>
      </c>
      <c r="D120" s="125" t="s">
        <v>2702</v>
      </c>
      <c r="F120" s="125">
        <v>2.4</v>
      </c>
      <c r="H120" s="125" t="s">
        <v>22</v>
      </c>
      <c r="I120" s="125" t="s">
        <v>992</v>
      </c>
      <c r="O120" s="125" t="s">
        <v>74</v>
      </c>
      <c r="P120" s="125" t="s">
        <v>188</v>
      </c>
    </row>
    <row r="121" ht="14.25" customHeight="1">
      <c r="B121" s="125" t="s">
        <v>1817</v>
      </c>
      <c r="C121" s="125" t="s">
        <v>567</v>
      </c>
      <c r="D121" s="125" t="s">
        <v>1363</v>
      </c>
      <c r="F121" s="125">
        <v>3.0</v>
      </c>
      <c r="H121" s="125" t="s">
        <v>22</v>
      </c>
      <c r="I121" s="125" t="s">
        <v>992</v>
      </c>
      <c r="O121" s="125" t="s">
        <v>54</v>
      </c>
      <c r="P121" s="125" t="s">
        <v>188</v>
      </c>
    </row>
    <row r="122" ht="14.25" customHeight="1">
      <c r="B122" s="125" t="s">
        <v>2703</v>
      </c>
      <c r="C122" s="125" t="s">
        <v>567</v>
      </c>
      <c r="D122" s="125" t="s">
        <v>1363</v>
      </c>
      <c r="F122" s="125">
        <v>3.0</v>
      </c>
      <c r="H122" s="125" t="s">
        <v>22</v>
      </c>
      <c r="I122" s="125" t="s">
        <v>992</v>
      </c>
      <c r="O122" s="125" t="s">
        <v>54</v>
      </c>
      <c r="P122" s="125" t="s">
        <v>188</v>
      </c>
    </row>
    <row r="123" ht="14.25" customHeight="1">
      <c r="B123" s="125" t="s">
        <v>2704</v>
      </c>
      <c r="C123" s="125" t="s">
        <v>2705</v>
      </c>
      <c r="D123" s="125" t="s">
        <v>965</v>
      </c>
      <c r="F123" s="125">
        <v>5.0</v>
      </c>
      <c r="H123" s="125" t="s">
        <v>22</v>
      </c>
      <c r="I123" s="125" t="s">
        <v>992</v>
      </c>
      <c r="O123" s="125" t="s">
        <v>54</v>
      </c>
      <c r="P123" s="125" t="s">
        <v>188</v>
      </c>
    </row>
    <row r="124" ht="14.25" customHeight="1">
      <c r="B124" s="125" t="s">
        <v>1213</v>
      </c>
      <c r="C124" s="125" t="s">
        <v>2706</v>
      </c>
      <c r="D124" s="125" t="s">
        <v>2707</v>
      </c>
      <c r="F124" s="125">
        <v>2.3</v>
      </c>
      <c r="H124" s="125" t="s">
        <v>22</v>
      </c>
      <c r="I124" s="125" t="s">
        <v>992</v>
      </c>
      <c r="O124" s="125" t="s">
        <v>54</v>
      </c>
      <c r="P124" s="125" t="s">
        <v>188</v>
      </c>
    </row>
    <row r="125" ht="14.25" customHeight="1">
      <c r="B125" s="125" t="s">
        <v>165</v>
      </c>
      <c r="C125" s="125" t="s">
        <v>1165</v>
      </c>
      <c r="D125" s="125" t="s">
        <v>88</v>
      </c>
      <c r="F125" s="125">
        <v>4.5</v>
      </c>
      <c r="H125" s="125" t="s">
        <v>22</v>
      </c>
      <c r="I125" s="125" t="s">
        <v>992</v>
      </c>
      <c r="O125" s="125" t="s">
        <v>54</v>
      </c>
      <c r="P125" s="125" t="s">
        <v>188</v>
      </c>
    </row>
    <row r="126" ht="14.25" customHeight="1">
      <c r="B126" s="125" t="s">
        <v>2708</v>
      </c>
      <c r="C126" s="125" t="s">
        <v>1371</v>
      </c>
      <c r="D126" s="125" t="s">
        <v>1372</v>
      </c>
      <c r="F126" s="125">
        <v>4.0</v>
      </c>
      <c r="H126" s="125" t="s">
        <v>22</v>
      </c>
      <c r="I126" s="125" t="s">
        <v>992</v>
      </c>
      <c r="O126" s="125" t="s">
        <v>54</v>
      </c>
      <c r="P126" s="125" t="s">
        <v>188</v>
      </c>
    </row>
    <row r="127" ht="14.25" customHeight="1">
      <c r="B127" s="125" t="s">
        <v>536</v>
      </c>
      <c r="C127" s="125" t="s">
        <v>1260</v>
      </c>
      <c r="D127" s="125" t="s">
        <v>2709</v>
      </c>
      <c r="F127" s="125">
        <v>3.0</v>
      </c>
      <c r="H127" s="125" t="s">
        <v>22</v>
      </c>
      <c r="I127" s="125" t="s">
        <v>992</v>
      </c>
      <c r="O127" s="125" t="s">
        <v>54</v>
      </c>
      <c r="P127" s="125" t="s">
        <v>188</v>
      </c>
    </row>
    <row r="128" ht="14.25" customHeight="1">
      <c r="B128" s="125" t="s">
        <v>2710</v>
      </c>
      <c r="C128" s="125" t="s">
        <v>568</v>
      </c>
      <c r="D128" s="125" t="s">
        <v>2711</v>
      </c>
      <c r="F128" s="125">
        <v>2.8</v>
      </c>
      <c r="H128" s="125" t="s">
        <v>22</v>
      </c>
      <c r="I128" s="125" t="s">
        <v>992</v>
      </c>
      <c r="O128" s="125" t="s">
        <v>74</v>
      </c>
      <c r="P128" s="125" t="s">
        <v>188</v>
      </c>
    </row>
    <row r="129" ht="14.25" customHeight="1">
      <c r="B129" s="125" t="s">
        <v>791</v>
      </c>
      <c r="C129" s="125" t="s">
        <v>558</v>
      </c>
      <c r="D129" s="125" t="s">
        <v>946</v>
      </c>
      <c r="F129" s="125">
        <v>6.0</v>
      </c>
      <c r="H129" s="125" t="s">
        <v>22</v>
      </c>
      <c r="I129" s="125" t="s">
        <v>992</v>
      </c>
      <c r="O129" s="125" t="s">
        <v>54</v>
      </c>
      <c r="P129" s="125" t="s">
        <v>188</v>
      </c>
    </row>
    <row r="130" ht="14.25" customHeight="1">
      <c r="B130" s="125" t="s">
        <v>838</v>
      </c>
      <c r="C130" s="125" t="s">
        <v>95</v>
      </c>
      <c r="D130" s="125" t="s">
        <v>2712</v>
      </c>
      <c r="F130" s="125">
        <v>3.0</v>
      </c>
      <c r="H130" s="125" t="s">
        <v>22</v>
      </c>
      <c r="I130" s="125" t="s">
        <v>992</v>
      </c>
      <c r="O130" s="125" t="s">
        <v>74</v>
      </c>
      <c r="P130" s="125" t="s">
        <v>188</v>
      </c>
    </row>
    <row r="131" ht="14.25" customHeight="1">
      <c r="B131" s="125" t="s">
        <v>1604</v>
      </c>
      <c r="C131" s="125" t="s">
        <v>2713</v>
      </c>
      <c r="D131" s="125" t="s">
        <v>1660</v>
      </c>
      <c r="E131" s="125" t="s">
        <v>86</v>
      </c>
      <c r="F131" s="125">
        <v>1.5</v>
      </c>
      <c r="H131" s="125" t="s">
        <v>24</v>
      </c>
      <c r="K131" s="125" t="s">
        <v>53</v>
      </c>
      <c r="O131" s="125" t="s">
        <v>54</v>
      </c>
      <c r="P131" s="125" t="s">
        <v>189</v>
      </c>
    </row>
    <row r="132" ht="14.25" customHeight="1">
      <c r="B132" s="125" t="s">
        <v>2714</v>
      </c>
      <c r="C132" s="125" t="s">
        <v>2715</v>
      </c>
      <c r="D132" s="125" t="s">
        <v>2716</v>
      </c>
      <c r="F132" s="125">
        <v>2.0</v>
      </c>
      <c r="H132" s="125" t="s">
        <v>24</v>
      </c>
      <c r="K132" s="125" t="s">
        <v>53</v>
      </c>
      <c r="O132" s="125" t="s">
        <v>54</v>
      </c>
      <c r="P132" s="125" t="s">
        <v>189</v>
      </c>
    </row>
    <row r="133" ht="14.25" customHeight="1">
      <c r="B133" s="125" t="s">
        <v>2717</v>
      </c>
      <c r="C133" s="125" t="s">
        <v>435</v>
      </c>
      <c r="D133" s="125" t="s">
        <v>2716</v>
      </c>
      <c r="F133" s="125">
        <v>2.0</v>
      </c>
      <c r="H133" s="125" t="s">
        <v>24</v>
      </c>
      <c r="K133" s="125" t="s">
        <v>53</v>
      </c>
      <c r="O133" s="125" t="s">
        <v>54</v>
      </c>
      <c r="P133" s="125" t="s">
        <v>189</v>
      </c>
    </row>
    <row r="134" ht="14.25" customHeight="1">
      <c r="B134" s="125" t="s">
        <v>2233</v>
      </c>
      <c r="C134" s="125" t="s">
        <v>1661</v>
      </c>
      <c r="D134" s="125" t="s">
        <v>1662</v>
      </c>
      <c r="F134" s="125">
        <v>2.0</v>
      </c>
      <c r="H134" s="125" t="s">
        <v>24</v>
      </c>
      <c r="K134" s="125" t="s">
        <v>155</v>
      </c>
      <c r="O134" s="125" t="s">
        <v>54</v>
      </c>
      <c r="P134" s="125" t="s">
        <v>189</v>
      </c>
    </row>
    <row r="135" ht="14.25" customHeight="1">
      <c r="B135" s="125" t="s">
        <v>2718</v>
      </c>
      <c r="C135" s="125" t="s">
        <v>1661</v>
      </c>
      <c r="D135" s="125" t="s">
        <v>1662</v>
      </c>
      <c r="F135" s="125">
        <v>2.0</v>
      </c>
      <c r="H135" s="125" t="s">
        <v>24</v>
      </c>
      <c r="M135" s="125" t="s">
        <v>133</v>
      </c>
      <c r="O135" s="125" t="s">
        <v>54</v>
      </c>
      <c r="P135" s="125" t="s">
        <v>190</v>
      </c>
    </row>
    <row r="136" ht="14.25" customHeight="1">
      <c r="B136" s="125" t="s">
        <v>2714</v>
      </c>
      <c r="C136" s="125" t="s">
        <v>864</v>
      </c>
      <c r="D136" s="125" t="s">
        <v>2719</v>
      </c>
      <c r="F136" s="125">
        <v>3.0</v>
      </c>
      <c r="H136" s="125" t="s">
        <v>24</v>
      </c>
      <c r="M136" s="125" t="s">
        <v>432</v>
      </c>
      <c r="O136" s="125" t="s">
        <v>54</v>
      </c>
      <c r="P136" s="125" t="s">
        <v>190</v>
      </c>
    </row>
    <row r="137" ht="14.25" customHeight="1">
      <c r="B137" s="125" t="s">
        <v>2720</v>
      </c>
      <c r="C137" s="125" t="s">
        <v>795</v>
      </c>
      <c r="D137" s="125" t="s">
        <v>1600</v>
      </c>
      <c r="F137" s="125">
        <v>2.0</v>
      </c>
      <c r="H137" s="125" t="s">
        <v>24</v>
      </c>
      <c r="K137" s="125" t="s">
        <v>53</v>
      </c>
      <c r="O137" s="125" t="s">
        <v>54</v>
      </c>
      <c r="P137" s="125" t="s">
        <v>189</v>
      </c>
    </row>
    <row r="138" ht="14.25" customHeight="1">
      <c r="B138" s="125" t="s">
        <v>2721</v>
      </c>
      <c r="C138" s="125" t="s">
        <v>814</v>
      </c>
      <c r="D138" s="125" t="s">
        <v>1600</v>
      </c>
      <c r="F138" s="125">
        <v>3.0</v>
      </c>
      <c r="H138" s="125" t="s">
        <v>24</v>
      </c>
      <c r="K138" s="125" t="s">
        <v>155</v>
      </c>
      <c r="O138" s="125" t="s">
        <v>54</v>
      </c>
      <c r="P138" s="125" t="s">
        <v>189</v>
      </c>
    </row>
    <row r="139" ht="14.25" customHeight="1">
      <c r="B139" s="125" t="s">
        <v>2722</v>
      </c>
      <c r="C139" s="125" t="s">
        <v>117</v>
      </c>
      <c r="D139" s="125" t="s">
        <v>2723</v>
      </c>
      <c r="F139" s="125">
        <v>2.0</v>
      </c>
      <c r="H139" s="125" t="s">
        <v>24</v>
      </c>
      <c r="K139" s="125" t="s">
        <v>53</v>
      </c>
      <c r="O139" s="125" t="s">
        <v>74</v>
      </c>
      <c r="P139" s="125" t="s">
        <v>189</v>
      </c>
    </row>
    <row r="140" ht="14.25" customHeight="1">
      <c r="B140" s="125" t="s">
        <v>2724</v>
      </c>
      <c r="C140" s="125" t="s">
        <v>131</v>
      </c>
      <c r="D140" s="125" t="s">
        <v>2725</v>
      </c>
      <c r="F140" s="125">
        <v>1.5</v>
      </c>
      <c r="H140" s="125" t="s">
        <v>24</v>
      </c>
      <c r="K140" s="125" t="s">
        <v>53</v>
      </c>
      <c r="O140" s="125" t="s">
        <v>74</v>
      </c>
      <c r="P140" s="125" t="s">
        <v>189</v>
      </c>
    </row>
    <row r="141" ht="14.25" customHeight="1">
      <c r="B141" s="125" t="s">
        <v>786</v>
      </c>
      <c r="C141" s="125" t="s">
        <v>2726</v>
      </c>
      <c r="D141" s="125" t="s">
        <v>2727</v>
      </c>
      <c r="F141" s="125">
        <v>1.5</v>
      </c>
      <c r="H141" s="125" t="s">
        <v>24</v>
      </c>
      <c r="K141" s="125" t="s">
        <v>53</v>
      </c>
      <c r="O141" s="125" t="s">
        <v>74</v>
      </c>
      <c r="P141" s="125" t="s">
        <v>189</v>
      </c>
    </row>
    <row r="142" ht="14.25" customHeight="1">
      <c r="B142" s="125" t="s">
        <v>844</v>
      </c>
      <c r="C142" s="125" t="s">
        <v>2728</v>
      </c>
      <c r="D142" s="125" t="s">
        <v>327</v>
      </c>
      <c r="F142" s="125">
        <v>1.75</v>
      </c>
      <c r="H142" s="125" t="s">
        <v>24</v>
      </c>
      <c r="K142" s="125" t="s">
        <v>155</v>
      </c>
      <c r="O142" s="125" t="s">
        <v>74</v>
      </c>
      <c r="P142" s="125" t="s">
        <v>189</v>
      </c>
    </row>
    <row r="143" ht="14.25" customHeight="1">
      <c r="B143" s="125" t="s">
        <v>328</v>
      </c>
      <c r="C143" s="125" t="s">
        <v>1873</v>
      </c>
      <c r="D143" s="125" t="s">
        <v>1197</v>
      </c>
      <c r="F143" s="125">
        <v>2.0</v>
      </c>
      <c r="H143" s="125" t="s">
        <v>24</v>
      </c>
      <c r="K143" s="125" t="s">
        <v>53</v>
      </c>
      <c r="O143" s="125" t="s">
        <v>74</v>
      </c>
      <c r="P143" s="125" t="s">
        <v>189</v>
      </c>
    </row>
    <row r="144" ht="14.25" customHeight="1">
      <c r="B144" s="125" t="s">
        <v>2729</v>
      </c>
      <c r="C144" s="125" t="s">
        <v>2730</v>
      </c>
      <c r="D144" s="125" t="s">
        <v>2731</v>
      </c>
      <c r="F144" s="125">
        <v>2.0</v>
      </c>
      <c r="H144" s="125" t="s">
        <v>24</v>
      </c>
      <c r="K144" s="125" t="s">
        <v>53</v>
      </c>
      <c r="O144" s="125" t="s">
        <v>74</v>
      </c>
      <c r="P144" s="125" t="s">
        <v>189</v>
      </c>
    </row>
    <row r="145" ht="14.25" customHeight="1">
      <c r="B145" s="125" t="s">
        <v>2732</v>
      </c>
      <c r="C145" s="125" t="s">
        <v>2733</v>
      </c>
      <c r="D145" s="125" t="s">
        <v>85</v>
      </c>
      <c r="E145" s="125" t="s">
        <v>86</v>
      </c>
      <c r="F145" s="125">
        <v>1.5</v>
      </c>
      <c r="H145" s="125" t="s">
        <v>24</v>
      </c>
      <c r="K145" s="125" t="s">
        <v>53</v>
      </c>
      <c r="O145" s="125" t="s">
        <v>74</v>
      </c>
      <c r="P145" s="125" t="s">
        <v>189</v>
      </c>
    </row>
    <row r="146" ht="14.25" customHeight="1">
      <c r="B146" s="125" t="s">
        <v>2734</v>
      </c>
      <c r="C146" s="125" t="s">
        <v>779</v>
      </c>
      <c r="D146" s="125" t="s">
        <v>85</v>
      </c>
      <c r="E146" s="125" t="s">
        <v>137</v>
      </c>
      <c r="F146" s="125">
        <v>2.0</v>
      </c>
      <c r="H146" s="125" t="s">
        <v>24</v>
      </c>
      <c r="K146" s="125" t="s">
        <v>53</v>
      </c>
      <c r="O146" s="125" t="s">
        <v>74</v>
      </c>
      <c r="P146" s="125" t="s">
        <v>189</v>
      </c>
    </row>
    <row r="147" ht="14.25" customHeight="1">
      <c r="B147" s="125" t="s">
        <v>1015</v>
      </c>
      <c r="C147" s="125" t="s">
        <v>2735</v>
      </c>
      <c r="D147" s="125" t="s">
        <v>2736</v>
      </c>
      <c r="F147" s="125">
        <v>2.0</v>
      </c>
      <c r="H147" s="125" t="s">
        <v>24</v>
      </c>
      <c r="K147" s="125" t="s">
        <v>172</v>
      </c>
      <c r="O147" s="125" t="s">
        <v>74</v>
      </c>
      <c r="P147" s="125" t="s">
        <v>189</v>
      </c>
    </row>
    <row r="148" ht="14.25" customHeight="1">
      <c r="B148" s="125" t="s">
        <v>2461</v>
      </c>
      <c r="C148" s="125" t="s">
        <v>1650</v>
      </c>
      <c r="D148" s="125" t="s">
        <v>2737</v>
      </c>
      <c r="F148" s="125">
        <v>2.0</v>
      </c>
      <c r="H148" s="125" t="s">
        <v>24</v>
      </c>
      <c r="K148" s="125" t="s">
        <v>53</v>
      </c>
      <c r="O148" s="125" t="s">
        <v>54</v>
      </c>
      <c r="P148" s="125" t="s">
        <v>189</v>
      </c>
    </row>
    <row r="149" ht="14.25" customHeight="1">
      <c r="B149" s="125" t="s">
        <v>2738</v>
      </c>
      <c r="C149" s="125" t="s">
        <v>2739</v>
      </c>
      <c r="D149" s="125" t="s">
        <v>565</v>
      </c>
      <c r="F149" s="125">
        <v>3.0</v>
      </c>
      <c r="H149" s="125" t="s">
        <v>24</v>
      </c>
      <c r="K149" s="125" t="s">
        <v>53</v>
      </c>
      <c r="O149" s="125" t="s">
        <v>74</v>
      </c>
      <c r="P149" s="125" t="s">
        <v>189</v>
      </c>
    </row>
    <row r="150" ht="14.25" customHeight="1">
      <c r="B150" s="125" t="s">
        <v>455</v>
      </c>
      <c r="C150" s="125" t="s">
        <v>2160</v>
      </c>
      <c r="D150" s="125" t="s">
        <v>92</v>
      </c>
      <c r="F150" s="125">
        <v>1.5</v>
      </c>
      <c r="H150" s="125" t="s">
        <v>24</v>
      </c>
      <c r="K150" s="125" t="s">
        <v>155</v>
      </c>
      <c r="O150" s="125" t="s">
        <v>74</v>
      </c>
      <c r="P150" s="125" t="s">
        <v>189</v>
      </c>
    </row>
    <row r="151" ht="14.25" customHeight="1">
      <c r="B151" s="125" t="s">
        <v>2740</v>
      </c>
      <c r="C151" s="125" t="s">
        <v>1600</v>
      </c>
      <c r="D151" s="125" t="s">
        <v>2741</v>
      </c>
      <c r="F151" s="125">
        <v>3.0</v>
      </c>
      <c r="H151" s="125" t="s">
        <v>24</v>
      </c>
      <c r="K151" s="125" t="s">
        <v>53</v>
      </c>
      <c r="O151" s="125" t="s">
        <v>54</v>
      </c>
      <c r="P151" s="125" t="s">
        <v>189</v>
      </c>
    </row>
    <row r="152" ht="14.25" customHeight="1">
      <c r="B152" s="125" t="s">
        <v>2742</v>
      </c>
      <c r="C152" s="125" t="s">
        <v>603</v>
      </c>
      <c r="D152" s="125" t="s">
        <v>2743</v>
      </c>
      <c r="F152" s="125">
        <v>1.5</v>
      </c>
      <c r="H152" s="125" t="s">
        <v>24</v>
      </c>
      <c r="K152" s="125" t="s">
        <v>53</v>
      </c>
      <c r="O152" s="125" t="s">
        <v>74</v>
      </c>
      <c r="P152" s="125" t="s">
        <v>189</v>
      </c>
    </row>
    <row r="153" ht="14.25" customHeight="1">
      <c r="B153" s="125" t="s">
        <v>2376</v>
      </c>
      <c r="C153" s="125" t="s">
        <v>2744</v>
      </c>
      <c r="D153" s="125" t="s">
        <v>2743</v>
      </c>
      <c r="F153" s="125">
        <v>3.0</v>
      </c>
      <c r="H153" s="125" t="s">
        <v>24</v>
      </c>
      <c r="K153" s="125" t="s">
        <v>155</v>
      </c>
      <c r="O153" s="125" t="s">
        <v>54</v>
      </c>
      <c r="P153" s="125" t="s">
        <v>189</v>
      </c>
    </row>
    <row r="154" ht="14.25" customHeight="1">
      <c r="B154" s="125" t="s">
        <v>2745</v>
      </c>
      <c r="C154" s="125" t="s">
        <v>2746</v>
      </c>
      <c r="D154" s="125" t="s">
        <v>2747</v>
      </c>
      <c r="F154" s="125">
        <v>1.5</v>
      </c>
      <c r="H154" s="125" t="s">
        <v>24</v>
      </c>
      <c r="K154" s="125" t="s">
        <v>53</v>
      </c>
      <c r="O154" s="125" t="s">
        <v>74</v>
      </c>
      <c r="P154" s="125" t="s">
        <v>189</v>
      </c>
    </row>
    <row r="155" ht="14.25" customHeight="1">
      <c r="B155" s="125" t="s">
        <v>2748</v>
      </c>
      <c r="C155" s="125" t="s">
        <v>2749</v>
      </c>
      <c r="D155" s="125" t="s">
        <v>1256</v>
      </c>
      <c r="F155" s="125">
        <v>2.0</v>
      </c>
      <c r="H155" s="125" t="s">
        <v>24</v>
      </c>
      <c r="K155" s="125" t="s">
        <v>53</v>
      </c>
      <c r="O155" s="125" t="s">
        <v>74</v>
      </c>
      <c r="P155" s="125" t="s">
        <v>189</v>
      </c>
    </row>
    <row r="156" ht="14.25" customHeight="1">
      <c r="B156" s="125" t="s">
        <v>261</v>
      </c>
      <c r="C156" s="125" t="s">
        <v>262</v>
      </c>
      <c r="D156" s="125" t="s">
        <v>263</v>
      </c>
      <c r="F156" s="125">
        <v>3.0</v>
      </c>
      <c r="H156" s="125" t="s">
        <v>24</v>
      </c>
      <c r="K156" s="125" t="s">
        <v>53</v>
      </c>
      <c r="O156" s="125" t="s">
        <v>74</v>
      </c>
      <c r="P156" s="125" t="s">
        <v>189</v>
      </c>
    </row>
    <row r="157" ht="14.25" customHeight="1">
      <c r="B157" s="125" t="s">
        <v>1793</v>
      </c>
      <c r="C157" s="125" t="s">
        <v>1197</v>
      </c>
      <c r="D157" s="125" t="s">
        <v>1292</v>
      </c>
      <c r="F157" s="125">
        <v>2.0</v>
      </c>
      <c r="H157" s="125" t="s">
        <v>24</v>
      </c>
      <c r="K157" s="125" t="s">
        <v>155</v>
      </c>
      <c r="O157" s="125" t="s">
        <v>54</v>
      </c>
      <c r="P157" s="125" t="s">
        <v>189</v>
      </c>
    </row>
    <row r="158" ht="14.25" customHeight="1">
      <c r="B158" s="125" t="s">
        <v>2750</v>
      </c>
      <c r="C158" s="125" t="s">
        <v>394</v>
      </c>
      <c r="D158" s="125" t="s">
        <v>2751</v>
      </c>
      <c r="F158" s="125">
        <v>1.5</v>
      </c>
      <c r="H158" s="125" t="s">
        <v>24</v>
      </c>
      <c r="K158" s="125" t="s">
        <v>155</v>
      </c>
      <c r="O158" s="125" t="s">
        <v>54</v>
      </c>
      <c r="P158" s="125" t="s">
        <v>189</v>
      </c>
    </row>
    <row r="159" ht="14.25" customHeight="1">
      <c r="B159" s="125" t="s">
        <v>2601</v>
      </c>
      <c r="C159" s="125" t="s">
        <v>85</v>
      </c>
      <c r="D159" s="125" t="s">
        <v>779</v>
      </c>
      <c r="F159" s="125">
        <v>1.5</v>
      </c>
      <c r="H159" s="125" t="s">
        <v>24</v>
      </c>
      <c r="K159" s="125" t="s">
        <v>53</v>
      </c>
      <c r="O159" s="125" t="s">
        <v>74</v>
      </c>
      <c r="P159" s="125" t="s">
        <v>189</v>
      </c>
    </row>
    <row r="160" ht="14.25" customHeight="1">
      <c r="B160" s="125" t="s">
        <v>2752</v>
      </c>
      <c r="C160" s="125" t="s">
        <v>2753</v>
      </c>
      <c r="D160" s="125" t="s">
        <v>779</v>
      </c>
      <c r="F160" s="125">
        <v>1.75</v>
      </c>
      <c r="H160" s="125" t="s">
        <v>24</v>
      </c>
      <c r="K160" s="125" t="s">
        <v>155</v>
      </c>
      <c r="O160" s="125" t="s">
        <v>74</v>
      </c>
      <c r="P160" s="125" t="s">
        <v>189</v>
      </c>
    </row>
    <row r="161" ht="14.25" customHeight="1">
      <c r="B161" s="125" t="s">
        <v>1213</v>
      </c>
      <c r="C161" s="125" t="s">
        <v>2754</v>
      </c>
      <c r="D161" s="125" t="s">
        <v>2755</v>
      </c>
      <c r="F161" s="125">
        <v>2.0</v>
      </c>
      <c r="H161" s="125" t="s">
        <v>24</v>
      </c>
      <c r="K161" s="125" t="s">
        <v>53</v>
      </c>
      <c r="O161" s="125" t="s">
        <v>54</v>
      </c>
      <c r="P161" s="125" t="s">
        <v>189</v>
      </c>
    </row>
    <row r="162" ht="14.25" customHeight="1">
      <c r="B162" s="125" t="s">
        <v>2756</v>
      </c>
      <c r="C162" s="125" t="s">
        <v>1362</v>
      </c>
      <c r="D162" s="125" t="s">
        <v>2757</v>
      </c>
      <c r="F162" s="125">
        <v>1.5</v>
      </c>
      <c r="H162" s="125" t="s">
        <v>24</v>
      </c>
      <c r="K162" s="125" t="s">
        <v>53</v>
      </c>
      <c r="O162" s="125" t="s">
        <v>54</v>
      </c>
      <c r="P162" s="125" t="s">
        <v>189</v>
      </c>
    </row>
    <row r="163" ht="14.25" customHeight="1">
      <c r="B163" s="125" t="s">
        <v>1576</v>
      </c>
      <c r="C163" s="125" t="s">
        <v>1362</v>
      </c>
      <c r="D163" s="125" t="s">
        <v>2757</v>
      </c>
      <c r="F163" s="125">
        <v>2.0</v>
      </c>
      <c r="H163" s="125" t="s">
        <v>24</v>
      </c>
      <c r="K163" s="125" t="s">
        <v>53</v>
      </c>
      <c r="O163" s="125" t="s">
        <v>74</v>
      </c>
      <c r="P163" s="125" t="s">
        <v>189</v>
      </c>
    </row>
    <row r="164" ht="14.25" customHeight="1">
      <c r="B164" s="125" t="s">
        <v>2758</v>
      </c>
      <c r="C164" s="125" t="s">
        <v>315</v>
      </c>
      <c r="D164" s="125" t="s">
        <v>2759</v>
      </c>
      <c r="F164" s="125">
        <v>1.5</v>
      </c>
      <c r="H164" s="125" t="s">
        <v>24</v>
      </c>
      <c r="K164" s="125" t="s">
        <v>53</v>
      </c>
      <c r="O164" s="125" t="s">
        <v>54</v>
      </c>
      <c r="P164" s="125" t="s">
        <v>189</v>
      </c>
    </row>
    <row r="165" ht="14.25" customHeight="1">
      <c r="B165" s="125" t="s">
        <v>925</v>
      </c>
      <c r="C165" s="125" t="s">
        <v>2760</v>
      </c>
      <c r="D165" s="125" t="s">
        <v>2759</v>
      </c>
      <c r="F165" s="125">
        <v>3.0</v>
      </c>
      <c r="H165" s="125" t="s">
        <v>24</v>
      </c>
      <c r="K165" s="125" t="s">
        <v>53</v>
      </c>
      <c r="O165" s="125" t="s">
        <v>54</v>
      </c>
      <c r="P165" s="125" t="s">
        <v>189</v>
      </c>
    </row>
    <row r="166" ht="14.25" customHeight="1">
      <c r="B166" s="125" t="s">
        <v>2761</v>
      </c>
      <c r="C166" s="125" t="s">
        <v>999</v>
      </c>
      <c r="D166" s="125" t="s">
        <v>1674</v>
      </c>
      <c r="F166" s="125">
        <v>2.0</v>
      </c>
      <c r="H166" s="125" t="s">
        <v>24</v>
      </c>
      <c r="K166" s="125" t="s">
        <v>53</v>
      </c>
      <c r="O166" s="125" t="s">
        <v>74</v>
      </c>
      <c r="P166" s="125" t="s">
        <v>189</v>
      </c>
    </row>
    <row r="167" ht="14.25" customHeight="1">
      <c r="B167" s="125" t="s">
        <v>204</v>
      </c>
      <c r="C167" s="125" t="s">
        <v>2762</v>
      </c>
      <c r="D167" s="125" t="s">
        <v>1953</v>
      </c>
      <c r="F167" s="125">
        <v>2.0</v>
      </c>
      <c r="H167" s="125" t="s">
        <v>24</v>
      </c>
      <c r="K167" s="125" t="s">
        <v>155</v>
      </c>
      <c r="O167" s="125" t="s">
        <v>54</v>
      </c>
      <c r="P167" s="125" t="s">
        <v>189</v>
      </c>
    </row>
    <row r="168" ht="14.25" customHeight="1">
      <c r="B168" s="125" t="s">
        <v>233</v>
      </c>
      <c r="C168" s="125" t="s">
        <v>2763</v>
      </c>
      <c r="D168" s="125" t="s">
        <v>2764</v>
      </c>
      <c r="F168" s="125">
        <v>2.0</v>
      </c>
      <c r="H168" s="125" t="s">
        <v>24</v>
      </c>
      <c r="K168" s="125" t="s">
        <v>155</v>
      </c>
      <c r="O168" s="125" t="s">
        <v>54</v>
      </c>
      <c r="P168" s="125" t="s">
        <v>189</v>
      </c>
    </row>
    <row r="169" ht="14.25" customHeight="1">
      <c r="B169" s="125" t="s">
        <v>2765</v>
      </c>
      <c r="C169" s="125" t="s">
        <v>2766</v>
      </c>
      <c r="D169" s="125" t="s">
        <v>2767</v>
      </c>
      <c r="F169" s="125">
        <v>3.0</v>
      </c>
      <c r="H169" s="125" t="s">
        <v>24</v>
      </c>
      <c r="K169" s="125" t="s">
        <v>155</v>
      </c>
      <c r="O169" s="125" t="s">
        <v>54</v>
      </c>
      <c r="P169" s="125" t="s">
        <v>189</v>
      </c>
    </row>
    <row r="170" ht="14.25" customHeight="1">
      <c r="B170" s="125" t="s">
        <v>2768</v>
      </c>
      <c r="C170" s="125" t="s">
        <v>1197</v>
      </c>
      <c r="D170" s="125" t="s">
        <v>181</v>
      </c>
      <c r="F170" s="125">
        <v>3.0</v>
      </c>
      <c r="H170" s="125" t="s">
        <v>24</v>
      </c>
      <c r="K170" s="125" t="s">
        <v>53</v>
      </c>
      <c r="O170" s="125" t="s">
        <v>74</v>
      </c>
      <c r="P170" s="125" t="s">
        <v>189</v>
      </c>
    </row>
    <row r="171" ht="14.25" customHeight="1">
      <c r="B171" s="125" t="s">
        <v>2769</v>
      </c>
      <c r="C171" s="125" t="s">
        <v>2770</v>
      </c>
      <c r="D171" s="125" t="s">
        <v>2771</v>
      </c>
      <c r="F171" s="125">
        <v>2.0</v>
      </c>
      <c r="H171" s="125" t="s">
        <v>24</v>
      </c>
      <c r="K171" s="125" t="s">
        <v>53</v>
      </c>
      <c r="O171" s="125" t="s">
        <v>54</v>
      </c>
      <c r="P171" s="125" t="s">
        <v>189</v>
      </c>
    </row>
    <row r="172" ht="14.25" customHeight="1">
      <c r="B172" s="125" t="s">
        <v>2772</v>
      </c>
      <c r="C172" s="125" t="s">
        <v>2773</v>
      </c>
      <c r="D172" s="125" t="s">
        <v>600</v>
      </c>
      <c r="F172" s="125">
        <v>2.0</v>
      </c>
      <c r="H172" s="125" t="s">
        <v>24</v>
      </c>
      <c r="K172" s="125" t="s">
        <v>53</v>
      </c>
      <c r="O172" s="125" t="s">
        <v>54</v>
      </c>
      <c r="P172" s="125" t="s">
        <v>189</v>
      </c>
    </row>
    <row r="173" ht="14.25" customHeight="1">
      <c r="B173" s="125" t="s">
        <v>2774</v>
      </c>
      <c r="C173" s="125" t="s">
        <v>2775</v>
      </c>
      <c r="D173" s="125" t="s">
        <v>2776</v>
      </c>
      <c r="F173" s="125">
        <v>2.0</v>
      </c>
      <c r="H173" s="125" t="s">
        <v>24</v>
      </c>
      <c r="K173" s="125" t="s">
        <v>53</v>
      </c>
      <c r="O173" s="125" t="s">
        <v>74</v>
      </c>
      <c r="P173" s="125" t="s">
        <v>189</v>
      </c>
    </row>
    <row r="174" ht="14.25" customHeight="1">
      <c r="B174" s="125" t="s">
        <v>2777</v>
      </c>
      <c r="C174" s="125" t="s">
        <v>2778</v>
      </c>
      <c r="D174" s="125" t="s">
        <v>1737</v>
      </c>
      <c r="F174" s="125">
        <v>1.5</v>
      </c>
      <c r="H174" s="125" t="s">
        <v>24</v>
      </c>
      <c r="K174" s="125" t="s">
        <v>53</v>
      </c>
      <c r="O174" s="125" t="s">
        <v>74</v>
      </c>
      <c r="P174" s="125" t="s">
        <v>189</v>
      </c>
    </row>
    <row r="175" ht="14.25" customHeight="1">
      <c r="B175" s="125" t="s">
        <v>2779</v>
      </c>
      <c r="C175" s="125" t="s">
        <v>2778</v>
      </c>
      <c r="D175" s="125" t="s">
        <v>1737</v>
      </c>
      <c r="F175" s="125">
        <v>2.0</v>
      </c>
      <c r="H175" s="125" t="s">
        <v>24</v>
      </c>
      <c r="K175" s="125" t="s">
        <v>155</v>
      </c>
      <c r="O175" s="125" t="s">
        <v>74</v>
      </c>
      <c r="P175" s="125" t="s">
        <v>189</v>
      </c>
    </row>
    <row r="176" ht="14.25" customHeight="1">
      <c r="B176" s="125" t="s">
        <v>2777</v>
      </c>
      <c r="C176" s="125" t="s">
        <v>576</v>
      </c>
      <c r="D176" s="125" t="s">
        <v>1737</v>
      </c>
      <c r="E176" s="125" t="s">
        <v>86</v>
      </c>
      <c r="F176" s="125">
        <v>1.5</v>
      </c>
      <c r="H176" s="125" t="s">
        <v>24</v>
      </c>
      <c r="K176" s="125" t="s">
        <v>53</v>
      </c>
      <c r="O176" s="125" t="s">
        <v>74</v>
      </c>
      <c r="P176" s="125" t="s">
        <v>189</v>
      </c>
    </row>
    <row r="177" ht="14.25" customHeight="1">
      <c r="B177" s="125" t="s">
        <v>2780</v>
      </c>
      <c r="C177" s="125" t="s">
        <v>2781</v>
      </c>
      <c r="D177" s="125" t="s">
        <v>2782</v>
      </c>
      <c r="F177" s="125">
        <v>2.0</v>
      </c>
      <c r="H177" s="125" t="s">
        <v>24</v>
      </c>
      <c r="K177" s="125" t="s">
        <v>155</v>
      </c>
      <c r="O177" s="125" t="s">
        <v>54</v>
      </c>
      <c r="P177" s="125" t="s">
        <v>189</v>
      </c>
    </row>
    <row r="178" ht="14.25" customHeight="1">
      <c r="B178" s="125" t="s">
        <v>2783</v>
      </c>
      <c r="C178" s="125" t="s">
        <v>2784</v>
      </c>
      <c r="D178" s="125" t="s">
        <v>678</v>
      </c>
      <c r="F178" s="125">
        <v>2.0</v>
      </c>
      <c r="H178" s="125" t="s">
        <v>24</v>
      </c>
      <c r="K178" s="125" t="s">
        <v>53</v>
      </c>
      <c r="O178" s="125" t="s">
        <v>54</v>
      </c>
      <c r="P178" s="125" t="s">
        <v>189</v>
      </c>
    </row>
    <row r="179" ht="14.25" customHeight="1">
      <c r="B179" s="125" t="s">
        <v>1630</v>
      </c>
      <c r="C179" s="125" t="s">
        <v>2785</v>
      </c>
      <c r="D179" s="125" t="s">
        <v>2770</v>
      </c>
      <c r="F179" s="125">
        <v>1.5</v>
      </c>
      <c r="H179" s="125" t="s">
        <v>24</v>
      </c>
      <c r="K179" s="125" t="s">
        <v>155</v>
      </c>
      <c r="O179" s="125" t="s">
        <v>54</v>
      </c>
      <c r="P179" s="125" t="s">
        <v>189</v>
      </c>
    </row>
    <row r="180" ht="14.25" customHeight="1">
      <c r="B180" s="125" t="s">
        <v>910</v>
      </c>
      <c r="C180" s="125" t="s">
        <v>2786</v>
      </c>
      <c r="D180" s="125" t="s">
        <v>912</v>
      </c>
      <c r="F180" s="125">
        <v>2.0</v>
      </c>
      <c r="H180" s="125" t="s">
        <v>24</v>
      </c>
      <c r="K180" s="125" t="s">
        <v>53</v>
      </c>
      <c r="O180" s="125" t="s">
        <v>74</v>
      </c>
      <c r="P180" s="125" t="s">
        <v>189</v>
      </c>
    </row>
    <row r="181" ht="14.25" customHeight="1">
      <c r="B181" s="125" t="s">
        <v>1673</v>
      </c>
      <c r="C181" s="125" t="s">
        <v>582</v>
      </c>
      <c r="D181" s="125" t="s">
        <v>2787</v>
      </c>
      <c r="F181" s="125">
        <v>1.5</v>
      </c>
      <c r="H181" s="125" t="s">
        <v>24</v>
      </c>
      <c r="K181" s="125" t="s">
        <v>53</v>
      </c>
      <c r="O181" s="125" t="s">
        <v>74</v>
      </c>
      <c r="P181" s="125" t="s">
        <v>189</v>
      </c>
    </row>
    <row r="182" ht="14.25" customHeight="1">
      <c r="B182" s="125" t="s">
        <v>2788</v>
      </c>
      <c r="C182" s="125" t="s">
        <v>95</v>
      </c>
      <c r="D182" s="125" t="s">
        <v>2789</v>
      </c>
      <c r="F182" s="125">
        <v>2.0</v>
      </c>
      <c r="H182" s="125" t="s">
        <v>24</v>
      </c>
      <c r="K182" s="125" t="s">
        <v>53</v>
      </c>
      <c r="O182" s="125" t="s">
        <v>54</v>
      </c>
      <c r="P182" s="125" t="s">
        <v>189</v>
      </c>
    </row>
    <row r="183" ht="14.25" customHeight="1">
      <c r="B183" s="125" t="s">
        <v>2790</v>
      </c>
      <c r="C183" s="125" t="s">
        <v>1953</v>
      </c>
      <c r="D183" s="125" t="s">
        <v>2789</v>
      </c>
      <c r="F183" s="125">
        <v>3.0</v>
      </c>
      <c r="H183" s="125" t="s">
        <v>24</v>
      </c>
      <c r="K183" s="125" t="s">
        <v>53</v>
      </c>
      <c r="O183" s="125" t="s">
        <v>54</v>
      </c>
      <c r="P183" s="125" t="s">
        <v>189</v>
      </c>
    </row>
    <row r="184" ht="14.25" customHeight="1">
      <c r="B184" s="125" t="s">
        <v>2791</v>
      </c>
      <c r="C184" s="125" t="s">
        <v>1642</v>
      </c>
      <c r="D184" s="125" t="s">
        <v>603</v>
      </c>
      <c r="F184" s="125">
        <v>2.0</v>
      </c>
      <c r="H184" s="125" t="s">
        <v>24</v>
      </c>
      <c r="K184" s="125" t="s">
        <v>155</v>
      </c>
      <c r="O184" s="125" t="s">
        <v>74</v>
      </c>
      <c r="P184" s="125" t="s">
        <v>189</v>
      </c>
    </row>
    <row r="185" ht="14.25" customHeight="1">
      <c r="B185" s="125" t="s">
        <v>2792</v>
      </c>
      <c r="C185" s="125" t="s">
        <v>2793</v>
      </c>
      <c r="D185" s="125" t="s">
        <v>603</v>
      </c>
      <c r="F185" s="125">
        <v>3.0</v>
      </c>
      <c r="H185" s="125" t="s">
        <v>24</v>
      </c>
      <c r="K185" s="125" t="s">
        <v>53</v>
      </c>
      <c r="O185" s="125" t="s">
        <v>54</v>
      </c>
      <c r="P185" s="125" t="s">
        <v>189</v>
      </c>
    </row>
    <row r="186" ht="14.25" customHeight="1">
      <c r="B186" s="125" t="s">
        <v>1205</v>
      </c>
      <c r="C186" s="125" t="s">
        <v>2794</v>
      </c>
      <c r="D186" s="125" t="s">
        <v>1389</v>
      </c>
      <c r="F186" s="125">
        <v>2.0</v>
      </c>
      <c r="H186" s="125" t="s">
        <v>24</v>
      </c>
      <c r="K186" s="125" t="s">
        <v>53</v>
      </c>
      <c r="O186" s="125" t="s">
        <v>54</v>
      </c>
      <c r="P186" s="125" t="s">
        <v>189</v>
      </c>
    </row>
    <row r="187" ht="14.25" customHeight="1">
      <c r="B187" s="125" t="s">
        <v>2249</v>
      </c>
      <c r="C187" s="125" t="s">
        <v>117</v>
      </c>
      <c r="D187" s="125" t="s">
        <v>1078</v>
      </c>
      <c r="E187" s="125" t="s">
        <v>86</v>
      </c>
      <c r="F187" s="125">
        <v>1.5</v>
      </c>
      <c r="H187" s="125" t="s">
        <v>24</v>
      </c>
      <c r="K187" s="125" t="s">
        <v>53</v>
      </c>
      <c r="O187" s="125" t="s">
        <v>54</v>
      </c>
      <c r="P187" s="125" t="s">
        <v>189</v>
      </c>
    </row>
    <row r="188" ht="14.25" customHeight="1">
      <c r="B188" s="125" t="s">
        <v>581</v>
      </c>
      <c r="C188" s="125" t="s">
        <v>117</v>
      </c>
      <c r="D188" s="125" t="s">
        <v>1078</v>
      </c>
      <c r="F188" s="125">
        <v>2.0</v>
      </c>
      <c r="H188" s="125" t="s">
        <v>24</v>
      </c>
      <c r="K188" s="125" t="s">
        <v>155</v>
      </c>
      <c r="O188" s="125" t="s">
        <v>54</v>
      </c>
      <c r="P188" s="125" t="s">
        <v>189</v>
      </c>
    </row>
    <row r="189" ht="14.25" customHeight="1">
      <c r="B189" s="125" t="s">
        <v>2795</v>
      </c>
      <c r="C189" s="125" t="s">
        <v>2719</v>
      </c>
      <c r="D189" s="125" t="s">
        <v>2796</v>
      </c>
      <c r="F189" s="125">
        <v>2.0</v>
      </c>
      <c r="H189" s="125" t="s">
        <v>24</v>
      </c>
      <c r="K189" s="125" t="s">
        <v>53</v>
      </c>
      <c r="O189" s="125" t="s">
        <v>54</v>
      </c>
      <c r="P189" s="125" t="s">
        <v>189</v>
      </c>
    </row>
    <row r="190" ht="14.25" customHeight="1">
      <c r="B190" s="125" t="s">
        <v>2797</v>
      </c>
      <c r="C190" s="125" t="s">
        <v>135</v>
      </c>
      <c r="D190" s="125" t="s">
        <v>290</v>
      </c>
      <c r="F190" s="125">
        <v>3.0</v>
      </c>
      <c r="H190" s="125" t="s">
        <v>25</v>
      </c>
      <c r="K190" s="125" t="s">
        <v>53</v>
      </c>
      <c r="O190" s="125" t="s">
        <v>74</v>
      </c>
      <c r="P190" s="125" t="s">
        <v>189</v>
      </c>
    </row>
    <row r="191" ht="14.25" customHeight="1">
      <c r="B191" s="125" t="s">
        <v>1814</v>
      </c>
      <c r="C191" s="125" t="s">
        <v>1421</v>
      </c>
      <c r="D191" s="125" t="s">
        <v>2798</v>
      </c>
      <c r="F191" s="125">
        <v>2.0</v>
      </c>
      <c r="H191" s="125" t="s">
        <v>25</v>
      </c>
      <c r="K191" s="125" t="s">
        <v>53</v>
      </c>
      <c r="O191" s="125" t="s">
        <v>74</v>
      </c>
      <c r="P191" s="125" t="s">
        <v>189</v>
      </c>
    </row>
    <row r="192" ht="14.25" customHeight="1">
      <c r="B192" s="125" t="s">
        <v>2799</v>
      </c>
      <c r="C192" s="125" t="s">
        <v>613</v>
      </c>
      <c r="D192" s="125" t="s">
        <v>614</v>
      </c>
      <c r="F192" s="125">
        <v>3.0</v>
      </c>
      <c r="H192" s="125" t="s">
        <v>25</v>
      </c>
      <c r="K192" s="125" t="s">
        <v>53</v>
      </c>
      <c r="O192" s="125" t="s">
        <v>74</v>
      </c>
      <c r="P192" s="125" t="s">
        <v>189</v>
      </c>
    </row>
    <row r="193" ht="15.75" customHeight="1">
      <c r="B193" s="125" t="s">
        <v>1814</v>
      </c>
      <c r="C193" s="125" t="s">
        <v>1421</v>
      </c>
      <c r="D193" s="125" t="s">
        <v>614</v>
      </c>
      <c r="F193" s="125">
        <v>2.0</v>
      </c>
      <c r="H193" s="125" t="s">
        <v>25</v>
      </c>
      <c r="K193" s="125" t="s">
        <v>53</v>
      </c>
      <c r="O193" s="125" t="s">
        <v>74</v>
      </c>
      <c r="P193" s="125" t="s">
        <v>189</v>
      </c>
    </row>
    <row r="194" ht="15.75" customHeight="1">
      <c r="B194" s="125" t="s">
        <v>2423</v>
      </c>
      <c r="C194" s="125" t="s">
        <v>1992</v>
      </c>
      <c r="D194" s="125" t="s">
        <v>1993</v>
      </c>
      <c r="F194" s="125">
        <v>2.0</v>
      </c>
      <c r="H194" s="125" t="s">
        <v>25</v>
      </c>
      <c r="K194" s="125" t="s">
        <v>53</v>
      </c>
      <c r="O194" s="125" t="s">
        <v>74</v>
      </c>
      <c r="P194" s="125" t="s">
        <v>189</v>
      </c>
    </row>
    <row r="195" ht="15.75" customHeight="1">
      <c r="B195" s="125" t="s">
        <v>165</v>
      </c>
      <c r="C195" s="125" t="s">
        <v>624</v>
      </c>
      <c r="D195" s="125" t="s">
        <v>2800</v>
      </c>
      <c r="F195" s="125">
        <v>2.4</v>
      </c>
      <c r="H195" s="125" t="s">
        <v>25</v>
      </c>
      <c r="K195" s="125" t="s">
        <v>53</v>
      </c>
      <c r="O195" s="125" t="s">
        <v>54</v>
      </c>
      <c r="P195" s="125" t="s">
        <v>189</v>
      </c>
    </row>
    <row r="196" ht="15.75" customHeight="1">
      <c r="B196" s="125" t="s">
        <v>2294</v>
      </c>
      <c r="C196" s="125" t="s">
        <v>2801</v>
      </c>
      <c r="D196" s="125" t="s">
        <v>1422</v>
      </c>
      <c r="F196" s="125">
        <v>2.0</v>
      </c>
      <c r="H196" s="125" t="s">
        <v>25</v>
      </c>
      <c r="K196" s="125" t="s">
        <v>53</v>
      </c>
      <c r="O196" s="125" t="s">
        <v>74</v>
      </c>
      <c r="P196" s="125" t="s">
        <v>189</v>
      </c>
    </row>
    <row r="197" ht="15.75" customHeight="1">
      <c r="B197" s="125" t="s">
        <v>2802</v>
      </c>
      <c r="C197" s="125" t="s">
        <v>2803</v>
      </c>
      <c r="D197" s="125" t="s">
        <v>1422</v>
      </c>
      <c r="F197" s="125">
        <v>1.9</v>
      </c>
      <c r="H197" s="125" t="s">
        <v>25</v>
      </c>
      <c r="K197" s="125" t="s">
        <v>155</v>
      </c>
      <c r="O197" s="125" t="s">
        <v>74</v>
      </c>
      <c r="P197" s="125" t="s">
        <v>189</v>
      </c>
    </row>
    <row r="198" ht="15.75" customHeight="1">
      <c r="B198" s="125" t="s">
        <v>791</v>
      </c>
      <c r="C198" s="125" t="s">
        <v>285</v>
      </c>
      <c r="D198" s="125" t="s">
        <v>114</v>
      </c>
      <c r="F198" s="125">
        <v>3.0</v>
      </c>
      <c r="H198" s="125" t="s">
        <v>25</v>
      </c>
      <c r="K198" s="125" t="s">
        <v>155</v>
      </c>
      <c r="O198" s="125" t="s">
        <v>54</v>
      </c>
      <c r="P198" s="125" t="s">
        <v>189</v>
      </c>
    </row>
    <row r="199" ht="15.75" customHeight="1">
      <c r="B199" s="125" t="s">
        <v>2363</v>
      </c>
      <c r="C199" s="125" t="s">
        <v>2804</v>
      </c>
      <c r="D199" s="125" t="s">
        <v>2805</v>
      </c>
      <c r="E199" s="125" t="s">
        <v>86</v>
      </c>
      <c r="F199" s="125">
        <v>7.0</v>
      </c>
      <c r="H199" s="125" t="s">
        <v>25</v>
      </c>
      <c r="K199" s="125" t="s">
        <v>53</v>
      </c>
      <c r="O199" s="125" t="s">
        <v>54</v>
      </c>
      <c r="P199" s="125" t="s">
        <v>189</v>
      </c>
    </row>
    <row r="200" ht="15.75" customHeight="1">
      <c r="B200" s="125" t="s">
        <v>2779</v>
      </c>
      <c r="C200" s="125" t="s">
        <v>2806</v>
      </c>
      <c r="D200" s="125" t="s">
        <v>2807</v>
      </c>
      <c r="F200" s="125">
        <v>1.5</v>
      </c>
      <c r="H200" s="125" t="s">
        <v>25</v>
      </c>
      <c r="M200" s="125" t="s">
        <v>82</v>
      </c>
      <c r="O200" s="125" t="s">
        <v>54</v>
      </c>
      <c r="P200" s="125" t="s">
        <v>190</v>
      </c>
    </row>
    <row r="201" ht="15.75" customHeight="1">
      <c r="B201" s="125" t="s">
        <v>2808</v>
      </c>
      <c r="C201" s="125" t="s">
        <v>1686</v>
      </c>
      <c r="D201" s="125" t="s">
        <v>1685</v>
      </c>
      <c r="F201" s="125">
        <v>3.0</v>
      </c>
      <c r="H201" s="125" t="s">
        <v>25</v>
      </c>
      <c r="K201" s="125" t="s">
        <v>53</v>
      </c>
      <c r="O201" s="125" t="s">
        <v>54</v>
      </c>
      <c r="P201" s="125" t="s">
        <v>189</v>
      </c>
    </row>
    <row r="202" ht="15.75" customHeight="1">
      <c r="B202" s="125" t="s">
        <v>2809</v>
      </c>
      <c r="C202" s="125" t="s">
        <v>1386</v>
      </c>
      <c r="D202" s="125" t="s">
        <v>1387</v>
      </c>
      <c r="F202" s="125">
        <v>2.27</v>
      </c>
      <c r="H202" s="125" t="s">
        <v>25</v>
      </c>
      <c r="K202" s="125" t="s">
        <v>155</v>
      </c>
      <c r="O202" s="125" t="s">
        <v>54</v>
      </c>
      <c r="P202" s="125" t="s">
        <v>189</v>
      </c>
    </row>
    <row r="203" ht="15.75" customHeight="1">
      <c r="B203" s="125" t="s">
        <v>2810</v>
      </c>
      <c r="C203" s="125" t="s">
        <v>2811</v>
      </c>
      <c r="D203" s="125" t="s">
        <v>2812</v>
      </c>
      <c r="F203" s="125">
        <v>3.5</v>
      </c>
      <c r="H203" s="125" t="s">
        <v>25</v>
      </c>
      <c r="K203" s="125" t="s">
        <v>155</v>
      </c>
      <c r="O203" s="125" t="s">
        <v>74</v>
      </c>
      <c r="P203" s="125" t="s">
        <v>189</v>
      </c>
    </row>
    <row r="204" ht="15.75" customHeight="1">
      <c r="B204" s="125" t="s">
        <v>2813</v>
      </c>
      <c r="C204" s="125" t="s">
        <v>2814</v>
      </c>
      <c r="D204" s="125" t="s">
        <v>1770</v>
      </c>
      <c r="F204" s="125">
        <v>1.5</v>
      </c>
      <c r="H204" s="125" t="s">
        <v>25</v>
      </c>
      <c r="K204" s="125" t="s">
        <v>53</v>
      </c>
      <c r="O204" s="125" t="s">
        <v>74</v>
      </c>
      <c r="P204" s="125" t="s">
        <v>189</v>
      </c>
    </row>
    <row r="205" ht="15.75" customHeight="1">
      <c r="B205" s="125" t="s">
        <v>110</v>
      </c>
      <c r="C205" s="125" t="s">
        <v>2712</v>
      </c>
      <c r="D205" s="125" t="s">
        <v>384</v>
      </c>
      <c r="F205" s="125">
        <v>2.7</v>
      </c>
      <c r="H205" s="125" t="s">
        <v>25</v>
      </c>
      <c r="K205" s="125" t="s">
        <v>53</v>
      </c>
      <c r="O205" s="125" t="s">
        <v>54</v>
      </c>
      <c r="P205" s="125" t="s">
        <v>189</v>
      </c>
    </row>
    <row r="206" ht="15.75" customHeight="1">
      <c r="B206" s="125" t="s">
        <v>2328</v>
      </c>
      <c r="C206" s="125" t="s">
        <v>1668</v>
      </c>
      <c r="D206" s="125" t="s">
        <v>2815</v>
      </c>
      <c r="F206" s="125">
        <v>1.5</v>
      </c>
      <c r="H206" s="125" t="s">
        <v>25</v>
      </c>
      <c r="K206" s="125" t="s">
        <v>53</v>
      </c>
      <c r="O206" s="125" t="s">
        <v>74</v>
      </c>
      <c r="P206" s="125" t="s">
        <v>189</v>
      </c>
    </row>
    <row r="207" ht="15.75" customHeight="1">
      <c r="B207" s="125" t="s">
        <v>105</v>
      </c>
      <c r="C207" s="125" t="s">
        <v>1384</v>
      </c>
      <c r="D207" s="125" t="s">
        <v>287</v>
      </c>
      <c r="F207" s="125">
        <v>1.5</v>
      </c>
      <c r="H207" s="125" t="s">
        <v>25</v>
      </c>
      <c r="K207" s="125" t="s">
        <v>53</v>
      </c>
      <c r="O207" s="125" t="s">
        <v>54</v>
      </c>
      <c r="P207" s="125" t="s">
        <v>189</v>
      </c>
    </row>
    <row r="208" ht="15.75" customHeight="1">
      <c r="B208" s="125" t="s">
        <v>459</v>
      </c>
      <c r="C208" s="125" t="s">
        <v>458</v>
      </c>
      <c r="D208" s="125" t="s">
        <v>457</v>
      </c>
      <c r="F208" s="125">
        <v>1.5</v>
      </c>
      <c r="H208" s="125" t="s">
        <v>25</v>
      </c>
      <c r="K208" s="125" t="s">
        <v>155</v>
      </c>
      <c r="O208" s="125" t="s">
        <v>74</v>
      </c>
      <c r="P208" s="125" t="s">
        <v>189</v>
      </c>
    </row>
    <row r="209" ht="15.75" customHeight="1">
      <c r="B209" s="125" t="s">
        <v>407</v>
      </c>
      <c r="C209" s="125" t="s">
        <v>2816</v>
      </c>
      <c r="D209" s="125" t="s">
        <v>1722</v>
      </c>
      <c r="F209" s="125">
        <v>2.04</v>
      </c>
      <c r="H209" s="125" t="s">
        <v>25</v>
      </c>
      <c r="K209" s="125" t="s">
        <v>53</v>
      </c>
      <c r="O209" s="125" t="s">
        <v>54</v>
      </c>
      <c r="P209" s="125" t="s">
        <v>189</v>
      </c>
    </row>
    <row r="210" ht="15.75" customHeight="1">
      <c r="B210" s="125" t="s">
        <v>2817</v>
      </c>
      <c r="C210" s="125" t="s">
        <v>2818</v>
      </c>
      <c r="D210" s="125" t="s">
        <v>2819</v>
      </c>
      <c r="F210" s="125">
        <v>3.0</v>
      </c>
      <c r="H210" s="125" t="s">
        <v>25</v>
      </c>
      <c r="K210" s="125" t="s">
        <v>155</v>
      </c>
      <c r="O210" s="125" t="s">
        <v>54</v>
      </c>
      <c r="P210" s="125" t="s">
        <v>189</v>
      </c>
    </row>
    <row r="211" ht="15.75" customHeight="1">
      <c r="B211" s="125" t="s">
        <v>291</v>
      </c>
      <c r="C211" s="125" t="s">
        <v>2499</v>
      </c>
      <c r="D211" s="125" t="s">
        <v>277</v>
      </c>
      <c r="F211" s="125">
        <v>3.8</v>
      </c>
      <c r="H211" s="125" t="s">
        <v>25</v>
      </c>
      <c r="K211" s="125" t="s">
        <v>155</v>
      </c>
      <c r="O211" s="125" t="s">
        <v>54</v>
      </c>
      <c r="P211" s="125" t="s">
        <v>189</v>
      </c>
    </row>
    <row r="212" ht="15.75" customHeight="1">
      <c r="B212" s="125" t="s">
        <v>2820</v>
      </c>
      <c r="C212" s="125" t="s">
        <v>2499</v>
      </c>
      <c r="D212" s="125" t="s">
        <v>277</v>
      </c>
      <c r="F212" s="125">
        <v>3.5</v>
      </c>
      <c r="H212" s="125" t="s">
        <v>25</v>
      </c>
      <c r="K212" s="125" t="s">
        <v>53</v>
      </c>
      <c r="O212" s="125" t="s">
        <v>54</v>
      </c>
      <c r="P212" s="125" t="s">
        <v>189</v>
      </c>
    </row>
    <row r="213" ht="15.75" customHeight="1">
      <c r="B213" s="125" t="s">
        <v>2821</v>
      </c>
      <c r="C213" s="125" t="s">
        <v>1391</v>
      </c>
      <c r="D213" s="125" t="s">
        <v>1392</v>
      </c>
      <c r="F213" s="125">
        <v>1.5</v>
      </c>
      <c r="H213" s="125" t="s">
        <v>25</v>
      </c>
      <c r="K213" s="125" t="s">
        <v>155</v>
      </c>
      <c r="O213" s="125" t="s">
        <v>74</v>
      </c>
      <c r="P213" s="125" t="s">
        <v>189</v>
      </c>
    </row>
    <row r="214" ht="15.75" customHeight="1">
      <c r="B214" s="125" t="s">
        <v>2822</v>
      </c>
      <c r="C214" s="125" t="s">
        <v>2823</v>
      </c>
      <c r="D214" s="125" t="s">
        <v>2824</v>
      </c>
      <c r="F214" s="125">
        <v>1.5</v>
      </c>
      <c r="H214" s="125" t="s">
        <v>25</v>
      </c>
      <c r="K214" s="125" t="s">
        <v>53</v>
      </c>
      <c r="O214" s="125" t="s">
        <v>74</v>
      </c>
      <c r="P214" s="125" t="s">
        <v>189</v>
      </c>
    </row>
    <row r="215" ht="15.75" customHeight="1">
      <c r="B215" s="125" t="s">
        <v>627</v>
      </c>
      <c r="C215" s="125" t="s">
        <v>628</v>
      </c>
      <c r="D215" s="125" t="s">
        <v>629</v>
      </c>
      <c r="F215" s="125">
        <v>1.5</v>
      </c>
      <c r="H215" s="125" t="s">
        <v>25</v>
      </c>
      <c r="K215" s="125" t="s">
        <v>53</v>
      </c>
      <c r="O215" s="125" t="s">
        <v>54</v>
      </c>
      <c r="P215" s="125" t="s">
        <v>189</v>
      </c>
    </row>
    <row r="216" ht="15.75" customHeight="1">
      <c r="B216" s="125" t="s">
        <v>2825</v>
      </c>
      <c r="C216" s="125" t="s">
        <v>2826</v>
      </c>
      <c r="D216" s="125" t="s">
        <v>84</v>
      </c>
      <c r="F216" s="125">
        <v>1.5</v>
      </c>
      <c r="H216" s="125" t="s">
        <v>25</v>
      </c>
      <c r="K216" s="125" t="s">
        <v>53</v>
      </c>
      <c r="O216" s="125" t="s">
        <v>74</v>
      </c>
      <c r="P216" s="125" t="s">
        <v>189</v>
      </c>
    </row>
    <row r="217" ht="15.75" customHeight="1">
      <c r="B217" s="125" t="s">
        <v>2827</v>
      </c>
      <c r="C217" s="125" t="s">
        <v>2828</v>
      </c>
      <c r="D217" s="125" t="s">
        <v>820</v>
      </c>
      <c r="F217" s="125">
        <v>1.5</v>
      </c>
      <c r="H217" s="125" t="s">
        <v>25</v>
      </c>
      <c r="K217" s="125" t="s">
        <v>53</v>
      </c>
      <c r="O217" s="125" t="s">
        <v>74</v>
      </c>
      <c r="P217" s="125" t="s">
        <v>189</v>
      </c>
    </row>
    <row r="218" ht="15.75" customHeight="1">
      <c r="B218" s="125" t="s">
        <v>2829</v>
      </c>
      <c r="C218" s="125" t="s">
        <v>285</v>
      </c>
      <c r="D218" s="125" t="s">
        <v>2830</v>
      </c>
      <c r="F218" s="125">
        <v>1.5</v>
      </c>
      <c r="H218" s="125" t="s">
        <v>25</v>
      </c>
      <c r="K218" s="125" t="s">
        <v>53</v>
      </c>
      <c r="O218" s="125" t="s">
        <v>54</v>
      </c>
      <c r="P218" s="125" t="s">
        <v>189</v>
      </c>
    </row>
    <row r="219" ht="15.75" customHeight="1">
      <c r="B219" s="125" t="s">
        <v>420</v>
      </c>
      <c r="C219" s="125" t="s">
        <v>2831</v>
      </c>
      <c r="D219" s="125" t="s">
        <v>2830</v>
      </c>
      <c r="F219" s="125">
        <v>1.5</v>
      </c>
      <c r="H219" s="125" t="s">
        <v>25</v>
      </c>
      <c r="K219" s="125" t="s">
        <v>53</v>
      </c>
      <c r="O219" s="125" t="s">
        <v>54</v>
      </c>
      <c r="P219" s="125" t="s">
        <v>189</v>
      </c>
    </row>
    <row r="220" ht="15.75" customHeight="1">
      <c r="B220" s="125" t="s">
        <v>2832</v>
      </c>
      <c r="C220" s="125" t="s">
        <v>2833</v>
      </c>
      <c r="D220" s="125" t="s">
        <v>1395</v>
      </c>
      <c r="F220" s="125">
        <v>3.0</v>
      </c>
      <c r="H220" s="125" t="s">
        <v>25</v>
      </c>
      <c r="K220" s="125" t="s">
        <v>53</v>
      </c>
      <c r="O220" s="125" t="s">
        <v>54</v>
      </c>
      <c r="P220" s="125" t="s">
        <v>189</v>
      </c>
    </row>
    <row r="221" ht="15.75" customHeight="1">
      <c r="B221" s="125" t="s">
        <v>608</v>
      </c>
      <c r="C221" s="125" t="s">
        <v>2834</v>
      </c>
      <c r="D221" s="125" t="s">
        <v>1708</v>
      </c>
      <c r="F221" s="125">
        <v>1.5</v>
      </c>
      <c r="H221" s="125" t="s">
        <v>25</v>
      </c>
      <c r="K221" s="125" t="s">
        <v>155</v>
      </c>
      <c r="O221" s="125" t="s">
        <v>54</v>
      </c>
      <c r="P221" s="125" t="s">
        <v>189</v>
      </c>
    </row>
    <row r="222" ht="15.75" customHeight="1">
      <c r="B222" s="125" t="s">
        <v>527</v>
      </c>
      <c r="C222" s="125" t="s">
        <v>640</v>
      </c>
      <c r="D222" s="125" t="s">
        <v>624</v>
      </c>
      <c r="F222" s="125">
        <v>2.0</v>
      </c>
      <c r="H222" s="125" t="s">
        <v>25</v>
      </c>
      <c r="K222" s="125" t="s">
        <v>155</v>
      </c>
      <c r="O222" s="125" t="s">
        <v>54</v>
      </c>
      <c r="P222" s="125" t="s">
        <v>189</v>
      </c>
    </row>
    <row r="223" ht="15.75" customHeight="1">
      <c r="B223" s="125" t="s">
        <v>1396</v>
      </c>
      <c r="C223" s="125" t="s">
        <v>303</v>
      </c>
      <c r="D223" s="125" t="s">
        <v>624</v>
      </c>
      <c r="F223" s="125">
        <v>2.8</v>
      </c>
      <c r="H223" s="125" t="s">
        <v>25</v>
      </c>
      <c r="K223" s="125" t="s">
        <v>53</v>
      </c>
      <c r="O223" s="125" t="s">
        <v>54</v>
      </c>
      <c r="P223" s="125" t="s">
        <v>189</v>
      </c>
    </row>
    <row r="224" ht="15.75" customHeight="1">
      <c r="B224" s="125" t="s">
        <v>1904</v>
      </c>
      <c r="C224" s="125" t="s">
        <v>2835</v>
      </c>
      <c r="D224" s="125" t="s">
        <v>2836</v>
      </c>
      <c r="F224" s="125">
        <v>1.5</v>
      </c>
      <c r="H224" s="125" t="s">
        <v>25</v>
      </c>
      <c r="K224" s="125" t="s">
        <v>53</v>
      </c>
      <c r="O224" s="125" t="s">
        <v>54</v>
      </c>
      <c r="P224" s="125" t="s">
        <v>189</v>
      </c>
    </row>
    <row r="225" ht="15.75" customHeight="1">
      <c r="B225" s="125" t="s">
        <v>2063</v>
      </c>
      <c r="C225" s="125" t="s">
        <v>2837</v>
      </c>
      <c r="D225" s="125" t="s">
        <v>285</v>
      </c>
      <c r="F225" s="125">
        <v>2.0</v>
      </c>
      <c r="H225" s="125" t="s">
        <v>25</v>
      </c>
      <c r="K225" s="125" t="s">
        <v>53</v>
      </c>
      <c r="O225" s="125" t="s">
        <v>54</v>
      </c>
      <c r="P225" s="125" t="s">
        <v>189</v>
      </c>
    </row>
    <row r="226" ht="15.75" customHeight="1">
      <c r="B226" s="125" t="s">
        <v>420</v>
      </c>
      <c r="C226" s="125" t="s">
        <v>2838</v>
      </c>
      <c r="D226" s="125" t="s">
        <v>285</v>
      </c>
      <c r="F226" s="125">
        <v>3.0</v>
      </c>
      <c r="H226" s="125" t="s">
        <v>25</v>
      </c>
      <c r="K226" s="125" t="s">
        <v>53</v>
      </c>
      <c r="O226" s="125" t="s">
        <v>54</v>
      </c>
      <c r="P226" s="125" t="s">
        <v>189</v>
      </c>
    </row>
    <row r="227" ht="15.75" customHeight="1">
      <c r="B227" s="125" t="s">
        <v>1607</v>
      </c>
      <c r="C227" s="125" t="s">
        <v>2830</v>
      </c>
      <c r="D227" s="125" t="s">
        <v>285</v>
      </c>
      <c r="F227" s="125">
        <v>1.5</v>
      </c>
      <c r="H227" s="125" t="s">
        <v>25</v>
      </c>
      <c r="M227" s="125" t="s">
        <v>82</v>
      </c>
      <c r="O227" s="125" t="s">
        <v>74</v>
      </c>
      <c r="P227" s="125" t="s">
        <v>190</v>
      </c>
    </row>
    <row r="228" ht="15.75" customHeight="1">
      <c r="B228" s="125" t="s">
        <v>816</v>
      </c>
      <c r="C228" s="125" t="s">
        <v>2839</v>
      </c>
      <c r="D228" s="125" t="s">
        <v>285</v>
      </c>
      <c r="F228" s="125">
        <v>1.5</v>
      </c>
      <c r="H228" s="125" t="s">
        <v>25</v>
      </c>
      <c r="K228" s="125" t="s">
        <v>155</v>
      </c>
      <c r="O228" s="125" t="s">
        <v>74</v>
      </c>
      <c r="P228" s="125" t="s">
        <v>189</v>
      </c>
    </row>
    <row r="229" ht="15.75" customHeight="1">
      <c r="B229" s="125" t="s">
        <v>252</v>
      </c>
      <c r="C229" s="125" t="s">
        <v>1395</v>
      </c>
      <c r="D229" s="125" t="s">
        <v>2840</v>
      </c>
      <c r="F229" s="125">
        <v>2.0</v>
      </c>
      <c r="H229" s="125" t="s">
        <v>25</v>
      </c>
      <c r="M229" s="125" t="s">
        <v>82</v>
      </c>
      <c r="O229" s="125" t="s">
        <v>54</v>
      </c>
      <c r="P229" s="125" t="s">
        <v>190</v>
      </c>
    </row>
    <row r="230" ht="15.75" customHeight="1">
      <c r="B230" s="125" t="s">
        <v>169</v>
      </c>
      <c r="C230" s="125" t="s">
        <v>2841</v>
      </c>
      <c r="D230" s="125" t="s">
        <v>2842</v>
      </c>
      <c r="F230" s="125">
        <v>2.0</v>
      </c>
      <c r="H230" s="125" t="s">
        <v>25</v>
      </c>
      <c r="K230" s="125" t="s">
        <v>155</v>
      </c>
      <c r="O230" s="125" t="s">
        <v>54</v>
      </c>
      <c r="P230" s="125" t="s">
        <v>189</v>
      </c>
    </row>
    <row r="231" ht="15.75" customHeight="1">
      <c r="B231" s="125" t="s">
        <v>2843</v>
      </c>
      <c r="C231" s="125" t="s">
        <v>2844</v>
      </c>
      <c r="D231" s="125" t="s">
        <v>2842</v>
      </c>
      <c r="F231" s="125">
        <v>1.5</v>
      </c>
      <c r="H231" s="125" t="s">
        <v>25</v>
      </c>
      <c r="K231" s="125" t="s">
        <v>53</v>
      </c>
      <c r="O231" s="125" t="s">
        <v>54</v>
      </c>
      <c r="P231" s="125" t="s">
        <v>189</v>
      </c>
    </row>
    <row r="232" ht="15.75" customHeight="1">
      <c r="B232" s="125" t="s">
        <v>2845</v>
      </c>
      <c r="C232" s="125" t="s">
        <v>950</v>
      </c>
      <c r="D232" s="125" t="s">
        <v>2846</v>
      </c>
      <c r="F232" s="125">
        <v>3.2</v>
      </c>
      <c r="H232" s="125" t="s">
        <v>25</v>
      </c>
      <c r="K232" s="125" t="s">
        <v>53</v>
      </c>
      <c r="O232" s="125" t="s">
        <v>54</v>
      </c>
      <c r="P232" s="125" t="s">
        <v>189</v>
      </c>
    </row>
    <row r="233" ht="15.75" customHeight="1">
      <c r="B233" s="125" t="s">
        <v>1168</v>
      </c>
      <c r="C233" s="125" t="s">
        <v>2319</v>
      </c>
      <c r="D233" s="125" t="s">
        <v>1302</v>
      </c>
      <c r="F233" s="125">
        <v>2.0</v>
      </c>
      <c r="H233" s="125" t="s">
        <v>25</v>
      </c>
      <c r="K233" s="125" t="s">
        <v>172</v>
      </c>
      <c r="O233" s="125" t="s">
        <v>54</v>
      </c>
      <c r="P233" s="125" t="s">
        <v>189</v>
      </c>
    </row>
    <row r="234" ht="15.75" customHeight="1">
      <c r="B234" s="125" t="s">
        <v>2847</v>
      </c>
      <c r="C234" s="125" t="s">
        <v>1708</v>
      </c>
      <c r="D234" s="125" t="s">
        <v>1895</v>
      </c>
      <c r="F234" s="125">
        <v>1.75</v>
      </c>
      <c r="H234" s="125" t="s">
        <v>25</v>
      </c>
      <c r="K234" s="125" t="s">
        <v>53</v>
      </c>
      <c r="O234" s="125" t="s">
        <v>74</v>
      </c>
      <c r="P234" s="125" t="s">
        <v>189</v>
      </c>
    </row>
    <row r="235" ht="15.75" customHeight="1">
      <c r="B235" s="125" t="s">
        <v>2848</v>
      </c>
      <c r="C235" s="125" t="s">
        <v>454</v>
      </c>
      <c r="D235" s="125" t="s">
        <v>1895</v>
      </c>
      <c r="F235" s="125">
        <v>2.0</v>
      </c>
      <c r="H235" s="125" t="s">
        <v>25</v>
      </c>
      <c r="K235" s="125" t="s">
        <v>53</v>
      </c>
      <c r="O235" s="125" t="s">
        <v>74</v>
      </c>
      <c r="P235" s="125" t="s">
        <v>189</v>
      </c>
    </row>
    <row r="236" ht="15.75" customHeight="1">
      <c r="B236" s="125" t="s">
        <v>2849</v>
      </c>
      <c r="C236" s="125" t="s">
        <v>454</v>
      </c>
      <c r="D236" s="125" t="s">
        <v>1895</v>
      </c>
      <c r="F236" s="125">
        <v>3.0</v>
      </c>
      <c r="H236" s="125" t="s">
        <v>25</v>
      </c>
      <c r="K236" s="125" t="s">
        <v>53</v>
      </c>
      <c r="O236" s="125" t="s">
        <v>74</v>
      </c>
      <c r="P236" s="125" t="s">
        <v>189</v>
      </c>
    </row>
    <row r="237" ht="15.75" customHeight="1">
      <c r="B237" s="125" t="s">
        <v>2850</v>
      </c>
      <c r="D237" s="125" t="s">
        <v>2851</v>
      </c>
      <c r="F237" s="125">
        <v>1.5</v>
      </c>
      <c r="H237" s="125" t="s">
        <v>25</v>
      </c>
      <c r="K237" s="125" t="s">
        <v>155</v>
      </c>
      <c r="O237" s="125" t="s">
        <v>74</v>
      </c>
      <c r="P237" s="125" t="s">
        <v>189</v>
      </c>
    </row>
    <row r="238" ht="15.75" customHeight="1">
      <c r="B238" s="125" t="s">
        <v>582</v>
      </c>
      <c r="C238" s="125" t="s">
        <v>2852</v>
      </c>
      <c r="D238" s="125" t="s">
        <v>95</v>
      </c>
      <c r="F238" s="125">
        <v>2.0</v>
      </c>
      <c r="H238" s="125" t="s">
        <v>25</v>
      </c>
      <c r="M238" s="125" t="s">
        <v>82</v>
      </c>
      <c r="O238" s="125" t="s">
        <v>74</v>
      </c>
      <c r="P238" s="125" t="s">
        <v>190</v>
      </c>
    </row>
    <row r="239" ht="15.75" customHeight="1">
      <c r="B239" s="125" t="s">
        <v>989</v>
      </c>
      <c r="C239" s="125" t="s">
        <v>789</v>
      </c>
      <c r="D239" s="125" t="s">
        <v>95</v>
      </c>
      <c r="F239" s="125">
        <v>2.7</v>
      </c>
      <c r="H239" s="125" t="s">
        <v>25</v>
      </c>
      <c r="K239" s="125" t="s">
        <v>155</v>
      </c>
      <c r="O239" s="125" t="s">
        <v>74</v>
      </c>
      <c r="P239" s="125" t="s">
        <v>189</v>
      </c>
    </row>
    <row r="240" ht="15.75" customHeight="1">
      <c r="B240" s="125" t="s">
        <v>2853</v>
      </c>
      <c r="C240" s="125" t="s">
        <v>2084</v>
      </c>
      <c r="D240" s="125" t="s">
        <v>2854</v>
      </c>
      <c r="F240" s="125">
        <v>2.0</v>
      </c>
      <c r="H240" s="125" t="s">
        <v>25</v>
      </c>
      <c r="K240" s="125" t="s">
        <v>53</v>
      </c>
      <c r="O240" s="125" t="s">
        <v>74</v>
      </c>
      <c r="P240" s="125" t="s">
        <v>189</v>
      </c>
    </row>
    <row r="241" ht="15.75" customHeight="1">
      <c r="B241" s="125" t="s">
        <v>2853</v>
      </c>
      <c r="C241" s="125" t="s">
        <v>2084</v>
      </c>
      <c r="D241" s="125" t="s">
        <v>2855</v>
      </c>
      <c r="F241" s="125">
        <v>2.0</v>
      </c>
      <c r="H241" s="125" t="s">
        <v>25</v>
      </c>
      <c r="K241" s="125" t="s">
        <v>155</v>
      </c>
      <c r="O241" s="125" t="s">
        <v>74</v>
      </c>
      <c r="P241" s="125" t="s">
        <v>189</v>
      </c>
    </row>
    <row r="242" ht="15.75" customHeight="1">
      <c r="B242" s="125" t="s">
        <v>1343</v>
      </c>
      <c r="C242" s="125" t="s">
        <v>2856</v>
      </c>
      <c r="D242" s="125" t="s">
        <v>2857</v>
      </c>
      <c r="F242" s="125">
        <v>4.0</v>
      </c>
      <c r="H242" s="125" t="s">
        <v>25</v>
      </c>
      <c r="K242" s="125" t="s">
        <v>53</v>
      </c>
      <c r="O242" s="125" t="s">
        <v>54</v>
      </c>
      <c r="P242" s="125" t="s">
        <v>189</v>
      </c>
    </row>
    <row r="243" ht="15.75" customHeight="1">
      <c r="B243" s="125" t="s">
        <v>110</v>
      </c>
      <c r="C243" s="125" t="s">
        <v>2025</v>
      </c>
      <c r="D243" s="125" t="s">
        <v>2026</v>
      </c>
      <c r="F243" s="125">
        <v>1.5</v>
      </c>
      <c r="H243" s="125" t="s">
        <v>25</v>
      </c>
      <c r="K243" s="125" t="s">
        <v>155</v>
      </c>
      <c r="O243" s="125" t="s">
        <v>54</v>
      </c>
      <c r="P243" s="125" t="s">
        <v>189</v>
      </c>
    </row>
    <row r="244" ht="15.75" customHeight="1">
      <c r="B244" s="125" t="s">
        <v>1015</v>
      </c>
      <c r="D244" s="125" t="s">
        <v>652</v>
      </c>
      <c r="F244" s="125">
        <v>3.7</v>
      </c>
      <c r="H244" s="125" t="s">
        <v>25</v>
      </c>
      <c r="K244" s="125" t="s">
        <v>53</v>
      </c>
      <c r="O244" s="125" t="s">
        <v>54</v>
      </c>
      <c r="P244" s="125" t="s">
        <v>189</v>
      </c>
    </row>
    <row r="245" ht="15.75" customHeight="1">
      <c r="B245" s="125" t="s">
        <v>2858</v>
      </c>
      <c r="C245" s="125" t="s">
        <v>1392</v>
      </c>
      <c r="D245" s="125" t="s">
        <v>974</v>
      </c>
      <c r="F245" s="125">
        <v>1.5</v>
      </c>
      <c r="H245" s="125" t="s">
        <v>25</v>
      </c>
      <c r="K245" s="125" t="s">
        <v>172</v>
      </c>
      <c r="O245" s="125" t="s">
        <v>74</v>
      </c>
      <c r="P245" s="125" t="s">
        <v>189</v>
      </c>
    </row>
    <row r="246" ht="15.75" customHeight="1">
      <c r="B246" s="125" t="s">
        <v>2859</v>
      </c>
      <c r="C246" s="125" t="s">
        <v>2800</v>
      </c>
      <c r="D246" s="125" t="s">
        <v>143</v>
      </c>
      <c r="F246" s="125">
        <v>2.0</v>
      </c>
      <c r="H246" s="125" t="s">
        <v>25</v>
      </c>
      <c r="K246" s="125" t="s">
        <v>53</v>
      </c>
      <c r="O246" s="125" t="s">
        <v>74</v>
      </c>
      <c r="P246" s="125" t="s">
        <v>189</v>
      </c>
    </row>
    <row r="247" ht="15.75" customHeight="1">
      <c r="B247" s="125" t="s">
        <v>2860</v>
      </c>
      <c r="C247" s="125" t="s">
        <v>2013</v>
      </c>
      <c r="D247" s="125" t="s">
        <v>143</v>
      </c>
      <c r="F247" s="125">
        <v>3.1</v>
      </c>
      <c r="H247" s="125" t="s">
        <v>25</v>
      </c>
      <c r="K247" s="125" t="s">
        <v>53</v>
      </c>
      <c r="O247" s="125" t="s">
        <v>74</v>
      </c>
      <c r="P247" s="125" t="s">
        <v>189</v>
      </c>
    </row>
    <row r="248" ht="15.75" customHeight="1">
      <c r="B248" s="125" t="s">
        <v>2861</v>
      </c>
      <c r="C248" s="125" t="s">
        <v>95</v>
      </c>
      <c r="D248" s="125" t="s">
        <v>454</v>
      </c>
      <c r="F248" s="125">
        <v>2.0</v>
      </c>
      <c r="H248" s="125" t="s">
        <v>25</v>
      </c>
      <c r="K248" s="125" t="s">
        <v>53</v>
      </c>
      <c r="O248" s="125" t="s">
        <v>74</v>
      </c>
      <c r="P248" s="125" t="s">
        <v>189</v>
      </c>
    </row>
    <row r="249" ht="15.75" customHeight="1">
      <c r="B249" s="125" t="s">
        <v>2862</v>
      </c>
      <c r="C249" s="125" t="s">
        <v>2863</v>
      </c>
      <c r="D249" s="125" t="s">
        <v>2864</v>
      </c>
      <c r="F249" s="125">
        <v>2.8</v>
      </c>
      <c r="H249" s="125" t="s">
        <v>25</v>
      </c>
      <c r="K249" s="125" t="s">
        <v>53</v>
      </c>
      <c r="O249" s="125" t="s">
        <v>54</v>
      </c>
      <c r="P249" s="125" t="s">
        <v>189</v>
      </c>
    </row>
    <row r="250" ht="15.75" customHeight="1">
      <c r="B250" s="125" t="s">
        <v>2865</v>
      </c>
      <c r="C250" s="125" t="s">
        <v>2866</v>
      </c>
      <c r="D250" s="125" t="s">
        <v>2867</v>
      </c>
      <c r="F250" s="125">
        <v>3.5</v>
      </c>
      <c r="H250" s="125" t="s">
        <v>25</v>
      </c>
      <c r="K250" s="125" t="s">
        <v>53</v>
      </c>
      <c r="O250" s="125" t="s">
        <v>54</v>
      </c>
      <c r="P250" s="125" t="s">
        <v>189</v>
      </c>
    </row>
    <row r="251" ht="15.75" customHeight="1">
      <c r="B251" s="125" t="s">
        <v>2868</v>
      </c>
      <c r="C251" s="125" t="s">
        <v>514</v>
      </c>
      <c r="D251" s="125" t="s">
        <v>2869</v>
      </c>
      <c r="F251" s="125">
        <v>1.5</v>
      </c>
      <c r="H251" s="125" t="s">
        <v>25</v>
      </c>
      <c r="K251" s="125" t="s">
        <v>53</v>
      </c>
      <c r="O251" s="125" t="s">
        <v>74</v>
      </c>
      <c r="P251" s="125" t="s">
        <v>189</v>
      </c>
    </row>
    <row r="252" ht="15.75" customHeight="1">
      <c r="B252" s="125" t="s">
        <v>2870</v>
      </c>
      <c r="C252" s="125" t="s">
        <v>514</v>
      </c>
      <c r="D252" s="125" t="s">
        <v>2869</v>
      </c>
      <c r="F252" s="125">
        <v>1.5</v>
      </c>
      <c r="H252" s="125" t="s">
        <v>25</v>
      </c>
      <c r="K252" s="125" t="s">
        <v>172</v>
      </c>
      <c r="O252" s="125" t="s">
        <v>74</v>
      </c>
      <c r="P252" s="125" t="s">
        <v>189</v>
      </c>
    </row>
    <row r="253" ht="15.75" customHeight="1">
      <c r="B253" s="125" t="s">
        <v>2871</v>
      </c>
      <c r="C253" s="125" t="s">
        <v>1302</v>
      </c>
      <c r="D253" s="125" t="s">
        <v>2872</v>
      </c>
      <c r="F253" s="125">
        <v>2.0</v>
      </c>
      <c r="H253" s="125" t="s">
        <v>25</v>
      </c>
      <c r="K253" s="125" t="s">
        <v>172</v>
      </c>
      <c r="O253" s="125" t="s">
        <v>54</v>
      </c>
      <c r="P253" s="125" t="s">
        <v>189</v>
      </c>
    </row>
    <row r="254" ht="15.75" customHeight="1">
      <c r="B254" s="125" t="s">
        <v>1205</v>
      </c>
      <c r="C254" s="125" t="s">
        <v>1414</v>
      </c>
      <c r="D254" s="125" t="s">
        <v>1413</v>
      </c>
      <c r="F254" s="125">
        <v>2.0</v>
      </c>
      <c r="H254" s="125" t="s">
        <v>25</v>
      </c>
      <c r="K254" s="125" t="s">
        <v>53</v>
      </c>
      <c r="O254" s="125" t="s">
        <v>74</v>
      </c>
      <c r="P254" s="125" t="s">
        <v>189</v>
      </c>
    </row>
    <row r="255" ht="15.75" customHeight="1">
      <c r="B255" s="125" t="s">
        <v>2873</v>
      </c>
      <c r="C255" s="125" t="s">
        <v>317</v>
      </c>
      <c r="D255" s="125" t="s">
        <v>318</v>
      </c>
      <c r="F255" s="125">
        <v>0.7</v>
      </c>
      <c r="H255" s="125" t="s">
        <v>25</v>
      </c>
      <c r="K255" s="125" t="s">
        <v>53</v>
      </c>
      <c r="O255" s="125" t="s">
        <v>54</v>
      </c>
      <c r="P255" s="125" t="s">
        <v>189</v>
      </c>
    </row>
    <row r="256" ht="15.75" customHeight="1">
      <c r="B256" s="125" t="s">
        <v>105</v>
      </c>
      <c r="C256" s="125" t="s">
        <v>1415</v>
      </c>
      <c r="D256" s="125" t="s">
        <v>1416</v>
      </c>
      <c r="F256" s="125">
        <v>4.0</v>
      </c>
      <c r="H256" s="125" t="s">
        <v>25</v>
      </c>
      <c r="K256" s="125" t="s">
        <v>53</v>
      </c>
      <c r="O256" s="125" t="s">
        <v>54</v>
      </c>
      <c r="P256" s="125" t="s">
        <v>189</v>
      </c>
    </row>
    <row r="257" ht="15.75" customHeight="1">
      <c r="B257" s="125" t="s">
        <v>2874</v>
      </c>
      <c r="C257" s="125" t="s">
        <v>2875</v>
      </c>
      <c r="D257" s="125" t="s">
        <v>2876</v>
      </c>
      <c r="F257" s="125">
        <v>7.0</v>
      </c>
      <c r="H257" s="125" t="s">
        <v>25</v>
      </c>
      <c r="K257" s="125" t="s">
        <v>53</v>
      </c>
      <c r="O257" s="125" t="s">
        <v>54</v>
      </c>
      <c r="P257" s="125" t="s">
        <v>189</v>
      </c>
    </row>
    <row r="258" ht="15.75" customHeight="1">
      <c r="B258" s="125" t="s">
        <v>2877</v>
      </c>
      <c r="C258" s="125" t="s">
        <v>303</v>
      </c>
      <c r="D258" s="125" t="s">
        <v>2142</v>
      </c>
      <c r="F258" s="125">
        <v>2.0</v>
      </c>
      <c r="H258" s="125" t="s">
        <v>25</v>
      </c>
      <c r="K258" s="125" t="s">
        <v>155</v>
      </c>
      <c r="O258" s="125" t="s">
        <v>54</v>
      </c>
      <c r="P258" s="125" t="s">
        <v>189</v>
      </c>
    </row>
    <row r="259" ht="15.75" customHeight="1">
      <c r="B259" s="125" t="s">
        <v>2877</v>
      </c>
      <c r="C259" s="125" t="s">
        <v>303</v>
      </c>
      <c r="D259" s="125" t="s">
        <v>2142</v>
      </c>
      <c r="F259" s="125">
        <v>2.0</v>
      </c>
      <c r="H259" s="125" t="s">
        <v>25</v>
      </c>
      <c r="K259" s="125" t="s">
        <v>53</v>
      </c>
      <c r="O259" s="125" t="s">
        <v>54</v>
      </c>
      <c r="P259" s="125" t="s">
        <v>189</v>
      </c>
    </row>
    <row r="260" ht="15.75" customHeight="1">
      <c r="B260" s="125" t="s">
        <v>2238</v>
      </c>
      <c r="C260" s="125" t="s">
        <v>2878</v>
      </c>
      <c r="D260" s="125" t="s">
        <v>2879</v>
      </c>
      <c r="F260" s="125">
        <v>2.0</v>
      </c>
      <c r="H260" s="125" t="s">
        <v>25</v>
      </c>
      <c r="K260" s="125" t="s">
        <v>172</v>
      </c>
      <c r="O260" s="125" t="s">
        <v>74</v>
      </c>
      <c r="P260" s="125" t="s">
        <v>189</v>
      </c>
    </row>
    <row r="261" ht="15.75" customHeight="1">
      <c r="B261" s="125" t="s">
        <v>2880</v>
      </c>
      <c r="C261" s="125" t="s">
        <v>2881</v>
      </c>
      <c r="D261" s="125" t="s">
        <v>1675</v>
      </c>
      <c r="F261" s="125">
        <v>1.9</v>
      </c>
      <c r="H261" s="125" t="s">
        <v>25</v>
      </c>
      <c r="K261" s="125" t="s">
        <v>2882</v>
      </c>
      <c r="O261" s="125" t="s">
        <v>54</v>
      </c>
      <c r="P261" s="125" t="s">
        <v>189</v>
      </c>
    </row>
    <row r="262" ht="15.75" customHeight="1">
      <c r="B262" s="125" t="s">
        <v>2883</v>
      </c>
      <c r="C262" s="125" t="s">
        <v>2884</v>
      </c>
      <c r="D262" s="125" t="s">
        <v>2885</v>
      </c>
      <c r="E262" s="125" t="s">
        <v>86</v>
      </c>
      <c r="F262" s="125">
        <v>3.6</v>
      </c>
      <c r="H262" s="125" t="s">
        <v>25</v>
      </c>
      <c r="K262" s="125" t="s">
        <v>155</v>
      </c>
      <c r="O262" s="125" t="s">
        <v>74</v>
      </c>
      <c r="P262" s="125" t="s">
        <v>189</v>
      </c>
    </row>
    <row r="263" ht="15.75" customHeight="1">
      <c r="B263" s="125" t="s">
        <v>711</v>
      </c>
      <c r="C263" s="125" t="s">
        <v>292</v>
      </c>
      <c r="D263" s="125" t="s">
        <v>1668</v>
      </c>
      <c r="E263" s="125" t="s">
        <v>86</v>
      </c>
      <c r="F263" s="125">
        <v>2.0</v>
      </c>
      <c r="H263" s="125" t="s">
        <v>25</v>
      </c>
      <c r="M263" s="125" t="s">
        <v>82</v>
      </c>
      <c r="O263" s="125" t="s">
        <v>74</v>
      </c>
      <c r="P263" s="125" t="s">
        <v>190</v>
      </c>
    </row>
    <row r="264" ht="15.75" customHeight="1">
      <c r="B264" s="125" t="s">
        <v>2886</v>
      </c>
      <c r="C264" s="125" t="s">
        <v>2887</v>
      </c>
      <c r="D264" s="125" t="s">
        <v>2888</v>
      </c>
      <c r="F264" s="125">
        <v>2.0</v>
      </c>
      <c r="H264" s="125" t="s">
        <v>25</v>
      </c>
      <c r="K264" s="125" t="s">
        <v>53</v>
      </c>
      <c r="O264" s="125" t="s">
        <v>74</v>
      </c>
      <c r="P264" s="125" t="s">
        <v>189</v>
      </c>
    </row>
    <row r="265" ht="15.75" customHeight="1">
      <c r="B265" s="125" t="s">
        <v>2889</v>
      </c>
      <c r="C265" s="125" t="s">
        <v>2890</v>
      </c>
      <c r="D265" s="125" t="s">
        <v>2888</v>
      </c>
      <c r="F265" s="125">
        <v>2.0</v>
      </c>
      <c r="H265" s="125" t="s">
        <v>25</v>
      </c>
      <c r="K265" s="125" t="s">
        <v>53</v>
      </c>
      <c r="O265" s="125" t="s">
        <v>74</v>
      </c>
      <c r="P265" s="125" t="s">
        <v>189</v>
      </c>
    </row>
    <row r="266" ht="15.75" customHeight="1">
      <c r="B266" s="125" t="s">
        <v>420</v>
      </c>
      <c r="C266" s="125" t="s">
        <v>2891</v>
      </c>
      <c r="D266" s="125" t="s">
        <v>2892</v>
      </c>
      <c r="F266" s="125">
        <v>4.0</v>
      </c>
      <c r="H266" s="125" t="s">
        <v>25</v>
      </c>
      <c r="K266" s="125" t="s">
        <v>53</v>
      </c>
      <c r="O266" s="125" t="s">
        <v>54</v>
      </c>
      <c r="P266" s="125" t="s">
        <v>189</v>
      </c>
    </row>
    <row r="267" ht="15.75" customHeight="1">
      <c r="B267" s="125" t="s">
        <v>2893</v>
      </c>
      <c r="C267" s="125" t="s">
        <v>1412</v>
      </c>
      <c r="D267" s="125" t="s">
        <v>459</v>
      </c>
      <c r="F267" s="125">
        <v>3.0</v>
      </c>
      <c r="H267" s="125" t="s">
        <v>25</v>
      </c>
      <c r="K267" s="125" t="s">
        <v>53</v>
      </c>
      <c r="O267" s="125" t="s">
        <v>74</v>
      </c>
      <c r="P267" s="125" t="s">
        <v>189</v>
      </c>
    </row>
    <row r="268" ht="15.75" customHeight="1">
      <c r="B268" s="125" t="s">
        <v>2893</v>
      </c>
      <c r="C268" s="125" t="s">
        <v>1412</v>
      </c>
      <c r="D268" s="125" t="s">
        <v>459</v>
      </c>
      <c r="F268" s="125">
        <v>3.0</v>
      </c>
      <c r="H268" s="125" t="s">
        <v>25</v>
      </c>
      <c r="K268" s="125" t="s">
        <v>53</v>
      </c>
      <c r="O268" s="125" t="s">
        <v>74</v>
      </c>
      <c r="P268" s="125" t="s">
        <v>189</v>
      </c>
    </row>
    <row r="269" ht="15.75" customHeight="1">
      <c r="B269" s="125" t="s">
        <v>2893</v>
      </c>
      <c r="C269" s="125" t="s">
        <v>1412</v>
      </c>
      <c r="D269" s="125" t="s">
        <v>459</v>
      </c>
      <c r="F269" s="125">
        <v>2.0</v>
      </c>
      <c r="H269" s="125" t="s">
        <v>25</v>
      </c>
      <c r="K269" s="125" t="s">
        <v>53</v>
      </c>
      <c r="O269" s="125" t="s">
        <v>74</v>
      </c>
      <c r="P269" s="125" t="s">
        <v>189</v>
      </c>
    </row>
    <row r="270" ht="15.75" customHeight="1">
      <c r="B270" s="125" t="s">
        <v>2894</v>
      </c>
      <c r="C270" s="125" t="s">
        <v>2895</v>
      </c>
      <c r="D270" s="125" t="s">
        <v>2896</v>
      </c>
      <c r="F270" s="125">
        <v>1.5</v>
      </c>
      <c r="H270" s="125" t="s">
        <v>25</v>
      </c>
      <c r="K270" s="125" t="s">
        <v>172</v>
      </c>
      <c r="O270" s="125" t="s">
        <v>74</v>
      </c>
      <c r="P270" s="125" t="s">
        <v>189</v>
      </c>
    </row>
    <row r="271" ht="15.75" customHeight="1">
      <c r="B271" s="125" t="s">
        <v>2382</v>
      </c>
      <c r="C271" s="125" t="s">
        <v>2897</v>
      </c>
      <c r="D271" s="125" t="s">
        <v>2898</v>
      </c>
      <c r="F271" s="125">
        <v>3.0</v>
      </c>
      <c r="H271" s="125" t="s">
        <v>25</v>
      </c>
      <c r="K271" s="125" t="s">
        <v>53</v>
      </c>
      <c r="O271" s="125" t="s">
        <v>74</v>
      </c>
      <c r="P271" s="125" t="s">
        <v>189</v>
      </c>
    </row>
    <row r="272" ht="15.75" customHeight="1">
      <c r="B272" s="125" t="s">
        <v>2883</v>
      </c>
      <c r="C272" s="125" t="s">
        <v>1672</v>
      </c>
      <c r="D272" s="125" t="s">
        <v>2899</v>
      </c>
      <c r="F272" s="125">
        <v>2.0</v>
      </c>
      <c r="H272" s="125" t="s">
        <v>25</v>
      </c>
      <c r="K272" s="125" t="s">
        <v>155</v>
      </c>
      <c r="O272" s="125" t="s">
        <v>74</v>
      </c>
      <c r="P272" s="125" t="s">
        <v>189</v>
      </c>
    </row>
    <row r="273" ht="15.75" customHeight="1">
      <c r="B273" s="125" t="s">
        <v>2900</v>
      </c>
      <c r="C273" s="125" t="s">
        <v>2901</v>
      </c>
      <c r="D273" s="125" t="s">
        <v>514</v>
      </c>
      <c r="F273" s="125">
        <v>2.0</v>
      </c>
      <c r="H273" s="125" t="s">
        <v>25</v>
      </c>
      <c r="K273" s="125" t="s">
        <v>155</v>
      </c>
      <c r="O273" s="125" t="s">
        <v>74</v>
      </c>
      <c r="P273" s="125" t="s">
        <v>189</v>
      </c>
    </row>
    <row r="274" ht="15.75" customHeight="1">
      <c r="B274" s="125" t="s">
        <v>455</v>
      </c>
      <c r="C274" s="125" t="s">
        <v>2902</v>
      </c>
      <c r="D274" s="125" t="s">
        <v>2903</v>
      </c>
      <c r="F274" s="125">
        <v>1.5</v>
      </c>
      <c r="H274" s="125" t="s">
        <v>25</v>
      </c>
      <c r="K274" s="125" t="s">
        <v>155</v>
      </c>
      <c r="O274" s="125" t="s">
        <v>74</v>
      </c>
      <c r="P274" s="125" t="s">
        <v>189</v>
      </c>
    </row>
    <row r="275" ht="15.75" customHeight="1">
      <c r="B275" s="125" t="s">
        <v>2904</v>
      </c>
      <c r="C275" s="125" t="s">
        <v>2905</v>
      </c>
      <c r="D275" s="125" t="s">
        <v>2606</v>
      </c>
      <c r="F275" s="125">
        <v>4.0</v>
      </c>
      <c r="H275" s="125" t="s">
        <v>25</v>
      </c>
      <c r="K275" s="125" t="s">
        <v>155</v>
      </c>
      <c r="O275" s="125" t="s">
        <v>74</v>
      </c>
      <c r="P275" s="125" t="s">
        <v>189</v>
      </c>
    </row>
    <row r="276" ht="15.75" customHeight="1">
      <c r="B276" s="125" t="s">
        <v>2906</v>
      </c>
      <c r="C276" s="125" t="s">
        <v>2907</v>
      </c>
      <c r="D276" s="125" t="s">
        <v>673</v>
      </c>
      <c r="F276" s="125">
        <v>2.5</v>
      </c>
      <c r="H276" s="125" t="s">
        <v>25</v>
      </c>
      <c r="K276" s="125" t="s">
        <v>155</v>
      </c>
      <c r="O276" s="125" t="s">
        <v>74</v>
      </c>
      <c r="P276" s="125" t="s">
        <v>189</v>
      </c>
    </row>
    <row r="277" ht="15.75" customHeight="1">
      <c r="B277" s="125" t="s">
        <v>2908</v>
      </c>
      <c r="C277" s="125" t="s">
        <v>2909</v>
      </c>
      <c r="D277" s="125" t="s">
        <v>1421</v>
      </c>
      <c r="F277" s="125">
        <v>2.0</v>
      </c>
      <c r="H277" s="125" t="s">
        <v>25</v>
      </c>
      <c r="K277" s="125" t="s">
        <v>53</v>
      </c>
      <c r="O277" s="125" t="s">
        <v>74</v>
      </c>
      <c r="P277" s="125" t="s">
        <v>189</v>
      </c>
    </row>
    <row r="278" ht="15.75" customHeight="1">
      <c r="B278" s="125" t="s">
        <v>2545</v>
      </c>
      <c r="C278" s="125" t="s">
        <v>2910</v>
      </c>
      <c r="D278" s="125" t="s">
        <v>1421</v>
      </c>
      <c r="F278" s="125">
        <v>2.0</v>
      </c>
      <c r="H278" s="125" t="s">
        <v>25</v>
      </c>
      <c r="K278" s="125" t="s">
        <v>155</v>
      </c>
      <c r="O278" s="125" t="s">
        <v>74</v>
      </c>
      <c r="P278" s="125" t="s">
        <v>189</v>
      </c>
    </row>
    <row r="279" ht="15.75" customHeight="1">
      <c r="B279" s="125" t="s">
        <v>2908</v>
      </c>
      <c r="C279" s="125" t="s">
        <v>2910</v>
      </c>
      <c r="D279" s="125" t="s">
        <v>1421</v>
      </c>
      <c r="F279" s="125">
        <v>3.0</v>
      </c>
      <c r="H279" s="125" t="s">
        <v>25</v>
      </c>
      <c r="K279" s="125" t="s">
        <v>53</v>
      </c>
      <c r="O279" s="125" t="s">
        <v>54</v>
      </c>
      <c r="P279" s="125" t="s">
        <v>189</v>
      </c>
    </row>
    <row r="280" ht="15.75" customHeight="1">
      <c r="B280" s="125" t="s">
        <v>165</v>
      </c>
      <c r="C280" s="125" t="s">
        <v>2415</v>
      </c>
      <c r="D280" s="125" t="s">
        <v>2416</v>
      </c>
      <c r="F280" s="125">
        <v>2.0</v>
      </c>
      <c r="H280" s="125" t="s">
        <v>25</v>
      </c>
      <c r="K280" s="125" t="s">
        <v>53</v>
      </c>
      <c r="O280" s="125" t="s">
        <v>74</v>
      </c>
      <c r="P280" s="125" t="s">
        <v>189</v>
      </c>
    </row>
    <row r="281" ht="15.75" customHeight="1">
      <c r="B281" s="125" t="s">
        <v>2911</v>
      </c>
      <c r="C281" s="125" t="s">
        <v>2912</v>
      </c>
      <c r="D281" s="125" t="s">
        <v>2913</v>
      </c>
      <c r="E281" s="125" t="s">
        <v>86</v>
      </c>
      <c r="F281" s="125">
        <v>1.5</v>
      </c>
      <c r="H281" s="125" t="s">
        <v>25</v>
      </c>
      <c r="K281" s="125" t="s">
        <v>53</v>
      </c>
      <c r="O281" s="125" t="s">
        <v>74</v>
      </c>
      <c r="P281" s="125" t="s">
        <v>189</v>
      </c>
    </row>
    <row r="282" ht="15.75" customHeight="1">
      <c r="B282" s="125" t="s">
        <v>2914</v>
      </c>
      <c r="C282" s="125" t="s">
        <v>2915</v>
      </c>
      <c r="D282" s="125" t="s">
        <v>2035</v>
      </c>
      <c r="F282" s="125">
        <v>2.0</v>
      </c>
      <c r="H282" s="125" t="s">
        <v>25</v>
      </c>
      <c r="K282" s="125" t="s">
        <v>53</v>
      </c>
      <c r="O282" s="125" t="s">
        <v>54</v>
      </c>
      <c r="P282" s="125" t="s">
        <v>189</v>
      </c>
    </row>
    <row r="283" ht="15.75" customHeight="1">
      <c r="B283" s="125" t="s">
        <v>2916</v>
      </c>
      <c r="C283" s="125" t="s">
        <v>357</v>
      </c>
      <c r="D283" s="125" t="s">
        <v>2037</v>
      </c>
      <c r="F283" s="125">
        <v>2.0</v>
      </c>
      <c r="H283" s="125" t="s">
        <v>25</v>
      </c>
      <c r="K283" s="125" t="s">
        <v>172</v>
      </c>
      <c r="O283" s="125" t="s">
        <v>74</v>
      </c>
      <c r="P283" s="125" t="s">
        <v>189</v>
      </c>
    </row>
    <row r="284" ht="15.75" customHeight="1">
      <c r="B284" s="125" t="s">
        <v>677</v>
      </c>
      <c r="C284" s="125" t="s">
        <v>357</v>
      </c>
      <c r="D284" s="125" t="s">
        <v>2037</v>
      </c>
      <c r="F284" s="125">
        <v>2.0</v>
      </c>
      <c r="H284" s="125" t="s">
        <v>25</v>
      </c>
      <c r="K284" s="125" t="s">
        <v>155</v>
      </c>
      <c r="O284" s="125" t="s">
        <v>74</v>
      </c>
      <c r="P284" s="125" t="s">
        <v>189</v>
      </c>
    </row>
    <row r="285" ht="15.75" customHeight="1">
      <c r="B285" s="125" t="s">
        <v>677</v>
      </c>
      <c r="C285" s="125" t="s">
        <v>357</v>
      </c>
      <c r="D285" s="125" t="s">
        <v>2037</v>
      </c>
      <c r="F285" s="125">
        <v>2.0</v>
      </c>
      <c r="H285" s="125" t="s">
        <v>25</v>
      </c>
      <c r="K285" s="125" t="s">
        <v>172</v>
      </c>
      <c r="O285" s="125" t="s">
        <v>74</v>
      </c>
      <c r="P285" s="125" t="s">
        <v>189</v>
      </c>
    </row>
    <row r="286" ht="15.75" customHeight="1">
      <c r="B286" s="125" t="s">
        <v>2132</v>
      </c>
      <c r="C286" s="125" t="s">
        <v>2917</v>
      </c>
      <c r="D286" s="125" t="s">
        <v>2037</v>
      </c>
      <c r="E286" s="125" t="s">
        <v>137</v>
      </c>
      <c r="F286" s="125">
        <v>3.0</v>
      </c>
      <c r="H286" s="125" t="s">
        <v>25</v>
      </c>
      <c r="K286" s="125" t="s">
        <v>172</v>
      </c>
      <c r="O286" s="125" t="s">
        <v>74</v>
      </c>
      <c r="P286" s="125" t="s">
        <v>189</v>
      </c>
    </row>
    <row r="287" ht="15.75" customHeight="1">
      <c r="B287" s="125" t="s">
        <v>2918</v>
      </c>
      <c r="C287" s="125" t="s">
        <v>2039</v>
      </c>
      <c r="D287" s="125" t="s">
        <v>2040</v>
      </c>
      <c r="F287" s="125">
        <v>2.0</v>
      </c>
      <c r="H287" s="125" t="s">
        <v>25</v>
      </c>
      <c r="M287" s="125" t="s">
        <v>82</v>
      </c>
      <c r="O287" s="125" t="s">
        <v>74</v>
      </c>
      <c r="P287" s="125" t="s">
        <v>190</v>
      </c>
    </row>
    <row r="288" ht="15.75" customHeight="1">
      <c r="B288" s="125" t="s">
        <v>2919</v>
      </c>
      <c r="C288" s="125" t="s">
        <v>285</v>
      </c>
      <c r="D288" s="125" t="s">
        <v>2040</v>
      </c>
      <c r="F288" s="125">
        <v>2.7</v>
      </c>
      <c r="H288" s="125" t="s">
        <v>25</v>
      </c>
      <c r="K288" s="125" t="s">
        <v>53</v>
      </c>
      <c r="O288" s="125" t="s">
        <v>74</v>
      </c>
      <c r="P288" s="125" t="s">
        <v>189</v>
      </c>
    </row>
    <row r="289" ht="15.75" customHeight="1">
      <c r="B289" s="125" t="s">
        <v>2041</v>
      </c>
      <c r="C289" s="125" t="s">
        <v>2920</v>
      </c>
      <c r="D289" s="125" t="s">
        <v>1384</v>
      </c>
      <c r="F289" s="125">
        <v>3.0</v>
      </c>
      <c r="H289" s="125" t="s">
        <v>25</v>
      </c>
      <c r="K289" s="125" t="s">
        <v>53</v>
      </c>
      <c r="O289" s="125" t="s">
        <v>74</v>
      </c>
      <c r="P289" s="125" t="s">
        <v>189</v>
      </c>
    </row>
    <row r="290" ht="15.75" customHeight="1">
      <c r="B290" s="125" t="s">
        <v>2921</v>
      </c>
      <c r="C290" s="125" t="s">
        <v>1392</v>
      </c>
      <c r="D290" s="125" t="s">
        <v>2922</v>
      </c>
      <c r="F290" s="125">
        <v>4.0</v>
      </c>
      <c r="H290" s="125" t="s">
        <v>25</v>
      </c>
      <c r="K290" s="125" t="s">
        <v>53</v>
      </c>
      <c r="O290" s="125" t="s">
        <v>74</v>
      </c>
      <c r="P290" s="125" t="s">
        <v>189</v>
      </c>
    </row>
    <row r="291" ht="15.75" customHeight="1">
      <c r="B291" s="125" t="s">
        <v>214</v>
      </c>
      <c r="C291" s="125" t="s">
        <v>2923</v>
      </c>
      <c r="D291" s="125" t="s">
        <v>117</v>
      </c>
      <c r="F291" s="125">
        <v>1.5</v>
      </c>
      <c r="H291" s="125" t="s">
        <v>25</v>
      </c>
      <c r="K291" s="125" t="s">
        <v>53</v>
      </c>
      <c r="O291" s="125" t="s">
        <v>74</v>
      </c>
      <c r="P291" s="125" t="s">
        <v>189</v>
      </c>
    </row>
    <row r="292" ht="15.75" customHeight="1">
      <c r="B292" s="125" t="s">
        <v>1446</v>
      </c>
      <c r="C292" s="125" t="s">
        <v>2924</v>
      </c>
      <c r="D292" s="125" t="s">
        <v>117</v>
      </c>
      <c r="F292" s="125">
        <v>2.0</v>
      </c>
      <c r="H292" s="125" t="s">
        <v>25</v>
      </c>
      <c r="K292" s="125" t="s">
        <v>172</v>
      </c>
      <c r="O292" s="125" t="s">
        <v>74</v>
      </c>
      <c r="P292" s="125" t="s">
        <v>189</v>
      </c>
    </row>
    <row r="293" ht="15.75" customHeight="1">
      <c r="B293" s="125" t="s">
        <v>2925</v>
      </c>
      <c r="C293" s="125" t="s">
        <v>2499</v>
      </c>
      <c r="D293" s="125" t="s">
        <v>1428</v>
      </c>
      <c r="F293" s="125">
        <v>1.5</v>
      </c>
      <c r="H293" s="125" t="s">
        <v>25</v>
      </c>
      <c r="K293" s="125" t="s">
        <v>155</v>
      </c>
      <c r="O293" s="125" t="s">
        <v>74</v>
      </c>
      <c r="P293" s="125" t="s">
        <v>189</v>
      </c>
    </row>
    <row r="294" ht="15.75" customHeight="1">
      <c r="B294" s="125" t="s">
        <v>2926</v>
      </c>
      <c r="C294" s="125" t="s">
        <v>514</v>
      </c>
      <c r="D294" s="125" t="s">
        <v>616</v>
      </c>
      <c r="F294" s="125">
        <v>2.0</v>
      </c>
      <c r="H294" s="125" t="s">
        <v>25</v>
      </c>
      <c r="K294" s="125" t="s">
        <v>172</v>
      </c>
      <c r="O294" s="125" t="s">
        <v>74</v>
      </c>
      <c r="P294" s="125" t="s">
        <v>189</v>
      </c>
    </row>
    <row r="295" ht="15.75" customHeight="1">
      <c r="B295" s="125" t="s">
        <v>776</v>
      </c>
      <c r="C295" s="125" t="s">
        <v>2046</v>
      </c>
      <c r="D295" s="125" t="s">
        <v>2047</v>
      </c>
      <c r="F295" s="125">
        <v>2.5</v>
      </c>
      <c r="H295" s="125" t="s">
        <v>26</v>
      </c>
      <c r="K295" s="125" t="s">
        <v>155</v>
      </c>
      <c r="O295" s="125" t="s">
        <v>74</v>
      </c>
      <c r="P295" s="125" t="s">
        <v>189</v>
      </c>
    </row>
    <row r="296" ht="15.75" customHeight="1">
      <c r="B296" s="125" t="s">
        <v>331</v>
      </c>
      <c r="C296" s="125" t="s">
        <v>2927</v>
      </c>
      <c r="D296" s="125" t="s">
        <v>2928</v>
      </c>
      <c r="F296" s="125">
        <v>3.0</v>
      </c>
      <c r="H296" s="125" t="s">
        <v>26</v>
      </c>
      <c r="K296" s="125" t="s">
        <v>172</v>
      </c>
      <c r="O296" s="125" t="s">
        <v>74</v>
      </c>
      <c r="P296" s="125" t="s">
        <v>189</v>
      </c>
    </row>
    <row r="297" ht="15.75" customHeight="1">
      <c r="B297" s="125" t="s">
        <v>2051</v>
      </c>
      <c r="C297" s="125" t="s">
        <v>2052</v>
      </c>
      <c r="D297" s="125" t="s">
        <v>279</v>
      </c>
      <c r="F297" s="125">
        <v>2.0</v>
      </c>
      <c r="H297" s="125" t="s">
        <v>26</v>
      </c>
      <c r="K297" s="125" t="s">
        <v>155</v>
      </c>
      <c r="O297" s="125" t="s">
        <v>74</v>
      </c>
      <c r="P297" s="125" t="s">
        <v>189</v>
      </c>
    </row>
    <row r="298" ht="15.75" customHeight="1">
      <c r="B298" s="125" t="s">
        <v>2929</v>
      </c>
      <c r="C298" s="125" t="s">
        <v>2930</v>
      </c>
      <c r="D298" s="125" t="s">
        <v>2931</v>
      </c>
      <c r="F298" s="125">
        <v>2.0</v>
      </c>
      <c r="H298" s="125" t="s">
        <v>26</v>
      </c>
      <c r="K298" s="125" t="s">
        <v>172</v>
      </c>
      <c r="O298" s="125" t="s">
        <v>74</v>
      </c>
      <c r="P298" s="125" t="s">
        <v>189</v>
      </c>
    </row>
    <row r="299" ht="15.75" customHeight="1">
      <c r="B299" s="125" t="s">
        <v>2054</v>
      </c>
      <c r="C299" s="125" t="s">
        <v>2055</v>
      </c>
      <c r="D299" s="125" t="s">
        <v>2056</v>
      </c>
      <c r="F299" s="125">
        <v>2.0</v>
      </c>
      <c r="H299" s="125" t="s">
        <v>26</v>
      </c>
      <c r="K299" s="125" t="s">
        <v>53</v>
      </c>
      <c r="O299" s="125" t="s">
        <v>74</v>
      </c>
      <c r="P299" s="125" t="s">
        <v>189</v>
      </c>
    </row>
    <row r="300" ht="15.75" customHeight="1">
      <c r="B300" s="125" t="s">
        <v>1006</v>
      </c>
      <c r="C300" s="125" t="s">
        <v>2058</v>
      </c>
      <c r="D300" s="125" t="s">
        <v>2059</v>
      </c>
      <c r="F300" s="125">
        <v>8.0</v>
      </c>
      <c r="H300" s="125" t="s">
        <v>26</v>
      </c>
      <c r="K300" s="125" t="s">
        <v>53</v>
      </c>
      <c r="O300" s="125" t="s">
        <v>74</v>
      </c>
      <c r="P300" s="125" t="s">
        <v>189</v>
      </c>
    </row>
    <row r="301" ht="15.75" customHeight="1">
      <c r="B301" s="125" t="s">
        <v>841</v>
      </c>
      <c r="C301" s="125" t="s">
        <v>2932</v>
      </c>
      <c r="D301" s="125" t="s">
        <v>476</v>
      </c>
      <c r="F301" s="125">
        <v>2.0</v>
      </c>
      <c r="H301" s="125" t="s">
        <v>26</v>
      </c>
      <c r="K301" s="125" t="s">
        <v>155</v>
      </c>
      <c r="O301" s="125" t="s">
        <v>54</v>
      </c>
      <c r="P301" s="125" t="s">
        <v>189</v>
      </c>
    </row>
    <row r="302" ht="15.75" customHeight="1">
      <c r="B302" s="125" t="s">
        <v>2065</v>
      </c>
      <c r="C302" s="125" t="s">
        <v>2933</v>
      </c>
      <c r="D302" s="125" t="s">
        <v>2934</v>
      </c>
      <c r="E302" s="125" t="s">
        <v>137</v>
      </c>
      <c r="F302" s="125">
        <v>2.0</v>
      </c>
      <c r="H302" s="125" t="s">
        <v>26</v>
      </c>
      <c r="K302" s="125" t="s">
        <v>172</v>
      </c>
      <c r="O302" s="125" t="s">
        <v>54</v>
      </c>
      <c r="P302" s="125" t="s">
        <v>189</v>
      </c>
    </row>
    <row r="303" ht="15.75" customHeight="1">
      <c r="B303" s="125" t="s">
        <v>59</v>
      </c>
      <c r="C303" s="125" t="s">
        <v>2935</v>
      </c>
      <c r="D303" s="125" t="s">
        <v>440</v>
      </c>
      <c r="F303" s="125">
        <v>1.5</v>
      </c>
      <c r="H303" s="125" t="s">
        <v>26</v>
      </c>
      <c r="K303" s="125" t="s">
        <v>155</v>
      </c>
      <c r="O303" s="125" t="s">
        <v>74</v>
      </c>
      <c r="P303" s="125" t="s">
        <v>189</v>
      </c>
    </row>
    <row r="304" ht="15.75" customHeight="1">
      <c r="B304" s="125" t="s">
        <v>516</v>
      </c>
      <c r="C304" s="125" t="s">
        <v>2936</v>
      </c>
      <c r="D304" s="125" t="s">
        <v>2098</v>
      </c>
      <c r="F304" s="125">
        <v>2.0</v>
      </c>
      <c r="H304" s="125" t="s">
        <v>26</v>
      </c>
      <c r="K304" s="125" t="s">
        <v>53</v>
      </c>
      <c r="O304" s="125" t="s">
        <v>74</v>
      </c>
      <c r="P304" s="125" t="s">
        <v>189</v>
      </c>
    </row>
    <row r="305" ht="15.75" customHeight="1">
      <c r="B305" s="125" t="s">
        <v>1390</v>
      </c>
      <c r="C305" s="125" t="s">
        <v>2937</v>
      </c>
      <c r="D305" s="125" t="s">
        <v>2938</v>
      </c>
      <c r="F305" s="125">
        <v>3.0</v>
      </c>
      <c r="H305" s="125" t="s">
        <v>26</v>
      </c>
      <c r="K305" s="125" t="s">
        <v>172</v>
      </c>
      <c r="O305" s="125" t="s">
        <v>54</v>
      </c>
      <c r="P305" s="125" t="s">
        <v>189</v>
      </c>
    </row>
    <row r="306" ht="15.75" customHeight="1">
      <c r="B306" s="125" t="s">
        <v>1205</v>
      </c>
      <c r="C306" s="125" t="s">
        <v>95</v>
      </c>
      <c r="D306" s="125" t="s">
        <v>2939</v>
      </c>
      <c r="F306" s="125">
        <v>2.0</v>
      </c>
      <c r="H306" s="125" t="s">
        <v>26</v>
      </c>
      <c r="K306" s="125" t="s">
        <v>155</v>
      </c>
      <c r="O306" s="125" t="s">
        <v>54</v>
      </c>
      <c r="P306" s="125" t="s">
        <v>189</v>
      </c>
    </row>
    <row r="307" ht="15.75" customHeight="1">
      <c r="B307" s="125" t="s">
        <v>2066</v>
      </c>
      <c r="C307" s="125" t="s">
        <v>856</v>
      </c>
      <c r="D307" s="125" t="s">
        <v>2057</v>
      </c>
      <c r="F307" s="125">
        <v>4.0</v>
      </c>
      <c r="H307" s="125" t="s">
        <v>26</v>
      </c>
      <c r="K307" s="125" t="s">
        <v>155</v>
      </c>
      <c r="O307" s="125" t="s">
        <v>54</v>
      </c>
      <c r="P307" s="125" t="s">
        <v>189</v>
      </c>
    </row>
    <row r="308" ht="15.75" customHeight="1">
      <c r="B308" s="125" t="s">
        <v>2067</v>
      </c>
      <c r="C308" s="125" t="s">
        <v>2053</v>
      </c>
      <c r="D308" s="125" t="s">
        <v>2068</v>
      </c>
      <c r="F308" s="125">
        <v>1.5</v>
      </c>
      <c r="H308" s="125" t="s">
        <v>26</v>
      </c>
      <c r="K308" s="125" t="s">
        <v>155</v>
      </c>
      <c r="O308" s="125" t="s">
        <v>54</v>
      </c>
      <c r="P308" s="125" t="s">
        <v>189</v>
      </c>
    </row>
    <row r="309" ht="15.75" customHeight="1">
      <c r="B309" s="125" t="s">
        <v>2076</v>
      </c>
      <c r="C309" s="125" t="s">
        <v>2077</v>
      </c>
      <c r="D309" s="125" t="s">
        <v>2046</v>
      </c>
      <c r="F309" s="125">
        <v>2.0</v>
      </c>
      <c r="H309" s="125" t="s">
        <v>26</v>
      </c>
      <c r="K309" s="125" t="s">
        <v>53</v>
      </c>
      <c r="O309" s="125" t="s">
        <v>74</v>
      </c>
      <c r="P309" s="125" t="s">
        <v>189</v>
      </c>
    </row>
    <row r="310" ht="15.75" customHeight="1">
      <c r="B310" s="125" t="s">
        <v>2940</v>
      </c>
      <c r="C310" s="125" t="s">
        <v>323</v>
      </c>
      <c r="D310" s="125" t="s">
        <v>2046</v>
      </c>
      <c r="F310" s="125">
        <v>3.0</v>
      </c>
      <c r="H310" s="125" t="s">
        <v>26</v>
      </c>
      <c r="K310" s="125" t="s">
        <v>53</v>
      </c>
      <c r="O310" s="125" t="s">
        <v>74</v>
      </c>
      <c r="P310" s="125" t="s">
        <v>189</v>
      </c>
    </row>
    <row r="311" ht="15.75" customHeight="1">
      <c r="B311" s="125" t="s">
        <v>2941</v>
      </c>
      <c r="C311" s="125" t="s">
        <v>2101</v>
      </c>
      <c r="D311" s="125" t="s">
        <v>2942</v>
      </c>
      <c r="F311" s="125">
        <v>3.0</v>
      </c>
      <c r="H311" s="125" t="s">
        <v>26</v>
      </c>
      <c r="K311" s="125" t="s">
        <v>172</v>
      </c>
      <c r="O311" s="125" t="s">
        <v>74</v>
      </c>
      <c r="P311" s="125" t="s">
        <v>189</v>
      </c>
    </row>
    <row r="312" ht="15.75" customHeight="1">
      <c r="B312" s="125" t="s">
        <v>2091</v>
      </c>
      <c r="C312" s="125" t="s">
        <v>2026</v>
      </c>
      <c r="D312" s="125" t="s">
        <v>2092</v>
      </c>
      <c r="F312" s="125">
        <v>2.0</v>
      </c>
      <c r="H312" s="125" t="s">
        <v>26</v>
      </c>
      <c r="K312" s="125" t="s">
        <v>172</v>
      </c>
      <c r="O312" s="125" t="s">
        <v>54</v>
      </c>
      <c r="P312" s="125" t="s">
        <v>189</v>
      </c>
    </row>
    <row r="313" ht="15.75" customHeight="1">
      <c r="B313" s="125" t="s">
        <v>165</v>
      </c>
      <c r="C313" s="125" t="s">
        <v>2100</v>
      </c>
      <c r="D313" s="125" t="s">
        <v>895</v>
      </c>
      <c r="F313" s="125">
        <v>2.0</v>
      </c>
      <c r="H313" s="125" t="s">
        <v>26</v>
      </c>
      <c r="K313" s="125" t="s">
        <v>155</v>
      </c>
      <c r="O313" s="125" t="s">
        <v>54</v>
      </c>
      <c r="P313" s="125" t="s">
        <v>189</v>
      </c>
    </row>
    <row r="314" ht="15.75" customHeight="1">
      <c r="B314" s="125" t="s">
        <v>2943</v>
      </c>
      <c r="C314" s="125" t="s">
        <v>2944</v>
      </c>
      <c r="D314" s="125" t="s">
        <v>2241</v>
      </c>
      <c r="F314" s="125">
        <v>2.0</v>
      </c>
      <c r="H314" s="125" t="s">
        <v>26</v>
      </c>
      <c r="K314" s="125" t="s">
        <v>155</v>
      </c>
      <c r="O314" s="125" t="s">
        <v>74</v>
      </c>
      <c r="P314" s="125" t="s">
        <v>189</v>
      </c>
    </row>
    <row r="315" ht="15.75" customHeight="1">
      <c r="B315" s="125" t="s">
        <v>2211</v>
      </c>
      <c r="C315" s="125" t="s">
        <v>2945</v>
      </c>
      <c r="D315" s="125" t="s">
        <v>2074</v>
      </c>
      <c r="F315" s="125">
        <v>2.5</v>
      </c>
      <c r="H315" s="125" t="s">
        <v>26</v>
      </c>
      <c r="K315" s="125" t="s">
        <v>155</v>
      </c>
      <c r="O315" s="125" t="s">
        <v>74</v>
      </c>
      <c r="P315" s="125" t="s">
        <v>189</v>
      </c>
    </row>
    <row r="316" ht="15.75" customHeight="1">
      <c r="B316" s="125" t="s">
        <v>233</v>
      </c>
      <c r="C316" s="125" t="s">
        <v>1148</v>
      </c>
      <c r="D316" s="125" t="s">
        <v>2903</v>
      </c>
      <c r="F316" s="125">
        <v>2.0</v>
      </c>
      <c r="H316" s="125" t="s">
        <v>26</v>
      </c>
      <c r="K316" s="125" t="s">
        <v>172</v>
      </c>
      <c r="O316" s="125" t="s">
        <v>74</v>
      </c>
      <c r="P316" s="125" t="s">
        <v>189</v>
      </c>
    </row>
    <row r="317" ht="15.75" customHeight="1">
      <c r="B317" s="125" t="s">
        <v>2946</v>
      </c>
      <c r="C317" s="125" t="s">
        <v>2947</v>
      </c>
      <c r="D317" s="125" t="s">
        <v>2948</v>
      </c>
      <c r="F317" s="125">
        <v>1.5</v>
      </c>
      <c r="H317" s="125" t="s">
        <v>26</v>
      </c>
      <c r="K317" s="125" t="s">
        <v>155</v>
      </c>
      <c r="O317" s="125" t="s">
        <v>74</v>
      </c>
      <c r="P317" s="125" t="s">
        <v>189</v>
      </c>
    </row>
    <row r="318" ht="15.75" customHeight="1">
      <c r="B318" s="125" t="s">
        <v>2099</v>
      </c>
      <c r="C318" s="125" t="s">
        <v>2100</v>
      </c>
      <c r="D318" s="125" t="s">
        <v>2101</v>
      </c>
      <c r="F318" s="125">
        <v>3.0</v>
      </c>
      <c r="H318" s="125" t="s">
        <v>26</v>
      </c>
      <c r="K318" s="125" t="s">
        <v>53</v>
      </c>
      <c r="O318" s="125" t="s">
        <v>74</v>
      </c>
      <c r="P318" s="125" t="s">
        <v>189</v>
      </c>
    </row>
    <row r="319" ht="15.75" customHeight="1">
      <c r="B319" s="125" t="s">
        <v>2949</v>
      </c>
      <c r="C319" s="125" t="s">
        <v>2950</v>
      </c>
      <c r="D319" s="125" t="s">
        <v>2101</v>
      </c>
      <c r="F319" s="125">
        <v>2.0</v>
      </c>
      <c r="H319" s="125" t="s">
        <v>26</v>
      </c>
      <c r="K319" s="125" t="s">
        <v>155</v>
      </c>
      <c r="O319" s="125" t="s">
        <v>74</v>
      </c>
      <c r="P319" s="125" t="s">
        <v>189</v>
      </c>
    </row>
    <row r="320" ht="15.75" customHeight="1">
      <c r="B320" s="125" t="s">
        <v>2951</v>
      </c>
      <c r="C320" s="125" t="s">
        <v>2952</v>
      </c>
      <c r="D320" s="125" t="s">
        <v>936</v>
      </c>
      <c r="F320" s="125">
        <v>3.0</v>
      </c>
      <c r="H320" s="125" t="s">
        <v>26</v>
      </c>
      <c r="K320" s="125" t="s">
        <v>172</v>
      </c>
      <c r="O320" s="125" t="s">
        <v>74</v>
      </c>
      <c r="P320" s="125" t="s">
        <v>189</v>
      </c>
    </row>
    <row r="321" ht="15.75" customHeight="1">
      <c r="B321" s="125" t="s">
        <v>2953</v>
      </c>
      <c r="C321" s="125" t="s">
        <v>2954</v>
      </c>
      <c r="D321" s="125" t="s">
        <v>936</v>
      </c>
      <c r="F321" s="125">
        <v>5.0</v>
      </c>
      <c r="H321" s="125" t="s">
        <v>26</v>
      </c>
      <c r="K321" s="125" t="s">
        <v>53</v>
      </c>
      <c r="O321" s="125" t="s">
        <v>74</v>
      </c>
      <c r="P321" s="125" t="s">
        <v>189</v>
      </c>
    </row>
    <row r="322" ht="15.75" customHeight="1">
      <c r="B322" s="125" t="s">
        <v>2955</v>
      </c>
      <c r="C322" s="125" t="s">
        <v>2956</v>
      </c>
      <c r="D322" s="125" t="s">
        <v>2475</v>
      </c>
      <c r="F322" s="125">
        <v>2.9</v>
      </c>
      <c r="H322" s="125" t="s">
        <v>28</v>
      </c>
      <c r="K322" s="125" t="s">
        <v>53</v>
      </c>
      <c r="O322" s="125" t="s">
        <v>54</v>
      </c>
      <c r="P322" s="125" t="s">
        <v>189</v>
      </c>
    </row>
    <row r="323" ht="15.75" customHeight="1">
      <c r="B323" s="125" t="s">
        <v>510</v>
      </c>
      <c r="C323" s="125" t="s">
        <v>2957</v>
      </c>
      <c r="D323" s="125" t="s">
        <v>2391</v>
      </c>
      <c r="F323" s="125">
        <v>1.5</v>
      </c>
      <c r="H323" s="125" t="s">
        <v>28</v>
      </c>
      <c r="K323" s="125" t="s">
        <v>53</v>
      </c>
      <c r="O323" s="125" t="s">
        <v>54</v>
      </c>
      <c r="P323" s="125" t="s">
        <v>189</v>
      </c>
    </row>
    <row r="324" ht="15.75" customHeight="1">
      <c r="B324" s="125" t="s">
        <v>2958</v>
      </c>
      <c r="C324" s="125" t="s">
        <v>866</v>
      </c>
      <c r="D324" s="125" t="s">
        <v>2391</v>
      </c>
      <c r="F324" s="125">
        <v>1.5</v>
      </c>
      <c r="H324" s="125" t="s">
        <v>28</v>
      </c>
      <c r="K324" s="125" t="s">
        <v>53</v>
      </c>
      <c r="O324" s="125" t="s">
        <v>54</v>
      </c>
      <c r="P324" s="125" t="s">
        <v>189</v>
      </c>
    </row>
    <row r="325" ht="15.75" customHeight="1">
      <c r="B325" s="125" t="s">
        <v>516</v>
      </c>
      <c r="C325" s="125" t="s">
        <v>2959</v>
      </c>
      <c r="D325" s="125" t="s">
        <v>2130</v>
      </c>
      <c r="F325" s="125">
        <v>2.2</v>
      </c>
      <c r="H325" s="125" t="s">
        <v>28</v>
      </c>
      <c r="K325" s="125" t="s">
        <v>155</v>
      </c>
      <c r="O325" s="125" t="s">
        <v>54</v>
      </c>
      <c r="P325" s="125" t="s">
        <v>189</v>
      </c>
    </row>
    <row r="326" ht="15.75" customHeight="1">
      <c r="B326" s="125" t="s">
        <v>2960</v>
      </c>
      <c r="C326" s="125" t="s">
        <v>2961</v>
      </c>
      <c r="D326" s="125" t="s">
        <v>2962</v>
      </c>
      <c r="F326" s="125">
        <v>2.0</v>
      </c>
      <c r="H326" s="125" t="s">
        <v>28</v>
      </c>
      <c r="K326" s="125" t="s">
        <v>155</v>
      </c>
      <c r="O326" s="125" t="s">
        <v>54</v>
      </c>
      <c r="P326" s="125" t="s">
        <v>189</v>
      </c>
    </row>
    <row r="327" ht="15.75" customHeight="1">
      <c r="B327" s="125" t="s">
        <v>2963</v>
      </c>
      <c r="C327" s="125" t="s">
        <v>2964</v>
      </c>
      <c r="D327" s="125" t="s">
        <v>1721</v>
      </c>
      <c r="F327" s="125">
        <v>1.5</v>
      </c>
      <c r="H327" s="125" t="s">
        <v>28</v>
      </c>
      <c r="K327" s="125" t="s">
        <v>53</v>
      </c>
      <c r="O327" s="125" t="s">
        <v>54</v>
      </c>
      <c r="P327" s="125" t="s">
        <v>189</v>
      </c>
    </row>
    <row r="328" ht="15.75" customHeight="1">
      <c r="B328" s="125" t="s">
        <v>233</v>
      </c>
      <c r="C328" s="125" t="s">
        <v>2965</v>
      </c>
      <c r="D328" s="125" t="s">
        <v>1542</v>
      </c>
      <c r="E328" s="125" t="s">
        <v>86</v>
      </c>
      <c r="F328" s="125">
        <v>1.75</v>
      </c>
      <c r="H328" s="125" t="s">
        <v>28</v>
      </c>
      <c r="K328" s="125" t="s">
        <v>53</v>
      </c>
      <c r="O328" s="125" t="s">
        <v>54</v>
      </c>
      <c r="P328" s="125" t="s">
        <v>189</v>
      </c>
    </row>
    <row r="329" ht="15.75" customHeight="1">
      <c r="B329" s="125" t="s">
        <v>2966</v>
      </c>
      <c r="C329" s="125" t="s">
        <v>959</v>
      </c>
      <c r="D329" s="125" t="s">
        <v>940</v>
      </c>
      <c r="F329" s="125">
        <v>2.0</v>
      </c>
      <c r="H329" s="125" t="s">
        <v>28</v>
      </c>
      <c r="K329" s="125" t="s">
        <v>155</v>
      </c>
      <c r="O329" s="125" t="s">
        <v>54</v>
      </c>
      <c r="P329" s="125" t="s">
        <v>189</v>
      </c>
    </row>
    <row r="330" ht="15.75" customHeight="1">
      <c r="B330" s="125" t="s">
        <v>2967</v>
      </c>
      <c r="C330" s="125" t="s">
        <v>2968</v>
      </c>
      <c r="D330" s="125" t="s">
        <v>2969</v>
      </c>
      <c r="F330" s="125">
        <v>2.5</v>
      </c>
      <c r="H330" s="125" t="s">
        <v>28</v>
      </c>
      <c r="K330" s="125" t="s">
        <v>155</v>
      </c>
      <c r="O330" s="125" t="s">
        <v>54</v>
      </c>
      <c r="P330" s="125" t="s">
        <v>189</v>
      </c>
    </row>
    <row r="331" ht="15.75" customHeight="1">
      <c r="B331" s="125" t="s">
        <v>2970</v>
      </c>
      <c r="C331" s="125" t="s">
        <v>2475</v>
      </c>
      <c r="D331" s="125" t="s">
        <v>2516</v>
      </c>
      <c r="F331" s="125">
        <v>1.75</v>
      </c>
      <c r="H331" s="125" t="s">
        <v>28</v>
      </c>
      <c r="I331" s="125" t="s">
        <v>179</v>
      </c>
      <c r="O331" s="125" t="s">
        <v>54</v>
      </c>
      <c r="P331" s="125" t="s">
        <v>188</v>
      </c>
    </row>
    <row r="332" ht="15.75" customHeight="1">
      <c r="B332" s="125" t="s">
        <v>2971</v>
      </c>
      <c r="C332" s="125" t="s">
        <v>2972</v>
      </c>
      <c r="D332" s="125" t="s">
        <v>2973</v>
      </c>
      <c r="F332" s="125">
        <v>2.0</v>
      </c>
      <c r="H332" s="125" t="s">
        <v>28</v>
      </c>
      <c r="K332" s="125" t="s">
        <v>53</v>
      </c>
      <c r="O332" s="125" t="s">
        <v>54</v>
      </c>
      <c r="P332" s="125" t="s">
        <v>189</v>
      </c>
    </row>
    <row r="333" ht="15.75" customHeight="1">
      <c r="B333" s="125" t="s">
        <v>165</v>
      </c>
      <c r="C333" s="125" t="s">
        <v>2974</v>
      </c>
      <c r="D333" s="125" t="s">
        <v>956</v>
      </c>
      <c r="F333" s="125">
        <v>1.5</v>
      </c>
      <c r="H333" s="125" t="s">
        <v>28</v>
      </c>
      <c r="K333" s="125" t="s">
        <v>53</v>
      </c>
      <c r="O333" s="125" t="s">
        <v>54</v>
      </c>
      <c r="P333" s="125" t="s">
        <v>189</v>
      </c>
    </row>
    <row r="334" ht="15.75" customHeight="1">
      <c r="B334" s="125" t="s">
        <v>1481</v>
      </c>
      <c r="C334" s="125" t="s">
        <v>1784</v>
      </c>
      <c r="D334" s="125" t="s">
        <v>2540</v>
      </c>
      <c r="F334" s="125">
        <v>2.5</v>
      </c>
      <c r="H334" s="125" t="s">
        <v>28</v>
      </c>
      <c r="K334" s="125" t="s">
        <v>53</v>
      </c>
      <c r="O334" s="125" t="s">
        <v>54</v>
      </c>
      <c r="P334" s="125" t="s">
        <v>189</v>
      </c>
    </row>
    <row r="335" ht="15.75" customHeight="1">
      <c r="B335" s="125" t="s">
        <v>323</v>
      </c>
      <c r="C335" s="125" t="s">
        <v>2975</v>
      </c>
      <c r="D335" s="125" t="s">
        <v>1534</v>
      </c>
      <c r="F335" s="125">
        <v>1.75</v>
      </c>
      <c r="H335" s="125" t="s">
        <v>28</v>
      </c>
      <c r="K335" s="125" t="s">
        <v>155</v>
      </c>
      <c r="O335" s="125" t="s">
        <v>54</v>
      </c>
      <c r="P335" s="125" t="s">
        <v>189</v>
      </c>
    </row>
    <row r="336" ht="15.75" customHeight="1">
      <c r="B336" s="125" t="s">
        <v>252</v>
      </c>
      <c r="C336" s="125" t="s">
        <v>2153</v>
      </c>
      <c r="D336" s="125" t="s">
        <v>596</v>
      </c>
      <c r="F336" s="125">
        <v>1.8</v>
      </c>
      <c r="H336" s="125" t="s">
        <v>28</v>
      </c>
      <c r="K336" s="125" t="s">
        <v>155</v>
      </c>
      <c r="O336" s="125" t="s">
        <v>54</v>
      </c>
      <c r="P336" s="125" t="s">
        <v>189</v>
      </c>
    </row>
    <row r="337" ht="15.75" customHeight="1">
      <c r="B337" s="125" t="s">
        <v>862</v>
      </c>
      <c r="C337" s="125" t="s">
        <v>800</v>
      </c>
      <c r="D337" s="125" t="s">
        <v>2976</v>
      </c>
      <c r="F337" s="125">
        <v>1.8</v>
      </c>
      <c r="H337" s="125" t="s">
        <v>28</v>
      </c>
      <c r="K337" s="125" t="s">
        <v>155</v>
      </c>
      <c r="O337" s="125" t="s">
        <v>54</v>
      </c>
      <c r="P337" s="125" t="s">
        <v>189</v>
      </c>
    </row>
    <row r="338" ht="15.75" customHeight="1">
      <c r="B338" s="125" t="s">
        <v>2977</v>
      </c>
      <c r="C338" s="125" t="s">
        <v>1450</v>
      </c>
      <c r="D338" s="125" t="s">
        <v>464</v>
      </c>
      <c r="F338" s="125">
        <v>1.8</v>
      </c>
      <c r="H338" s="125" t="s">
        <v>28</v>
      </c>
      <c r="K338" s="125" t="s">
        <v>53</v>
      </c>
      <c r="O338" s="125" t="s">
        <v>74</v>
      </c>
      <c r="P338" s="125" t="s">
        <v>189</v>
      </c>
    </row>
    <row r="339" ht="15.75" customHeight="1">
      <c r="B339" s="125" t="s">
        <v>2978</v>
      </c>
      <c r="C339" s="125" t="s">
        <v>171</v>
      </c>
      <c r="D339" s="125" t="s">
        <v>948</v>
      </c>
      <c r="F339" s="125">
        <v>1.5</v>
      </c>
      <c r="H339" s="125" t="s">
        <v>28</v>
      </c>
      <c r="K339" s="125" t="s">
        <v>155</v>
      </c>
      <c r="O339" s="125" t="s">
        <v>54</v>
      </c>
      <c r="P339" s="125" t="s">
        <v>189</v>
      </c>
    </row>
    <row r="340" ht="15.75" customHeight="1">
      <c r="B340" s="125" t="s">
        <v>478</v>
      </c>
      <c r="C340" s="125" t="s">
        <v>2979</v>
      </c>
      <c r="D340" s="125" t="s">
        <v>2980</v>
      </c>
      <c r="F340" s="125">
        <v>1.7</v>
      </c>
      <c r="H340" s="125" t="s">
        <v>28</v>
      </c>
      <c r="K340" s="125" t="s">
        <v>155</v>
      </c>
      <c r="O340" s="125" t="s">
        <v>54</v>
      </c>
      <c r="P340" s="125" t="s">
        <v>189</v>
      </c>
    </row>
    <row r="341" ht="15.75" customHeight="1">
      <c r="B341" s="125" t="s">
        <v>2981</v>
      </c>
      <c r="C341" s="125" t="s">
        <v>2982</v>
      </c>
      <c r="D341" s="125" t="s">
        <v>2983</v>
      </c>
      <c r="F341" s="125">
        <v>2.0</v>
      </c>
      <c r="H341" s="125" t="s">
        <v>28</v>
      </c>
      <c r="K341" s="125" t="s">
        <v>53</v>
      </c>
      <c r="O341" s="125" t="s">
        <v>54</v>
      </c>
      <c r="P341" s="125" t="s">
        <v>189</v>
      </c>
    </row>
    <row r="342" ht="15.75" customHeight="1">
      <c r="B342" s="125" t="s">
        <v>2984</v>
      </c>
      <c r="C342" s="125" t="s">
        <v>2985</v>
      </c>
      <c r="D342" s="125" t="s">
        <v>558</v>
      </c>
      <c r="F342" s="125">
        <v>1.5</v>
      </c>
      <c r="H342" s="125" t="s">
        <v>28</v>
      </c>
      <c r="K342" s="125" t="s">
        <v>155</v>
      </c>
      <c r="O342" s="125" t="s">
        <v>54</v>
      </c>
      <c r="P342" s="125" t="s">
        <v>189</v>
      </c>
    </row>
    <row r="343" ht="15.75" customHeight="1">
      <c r="B343" s="125" t="s">
        <v>1404</v>
      </c>
      <c r="C343" s="125" t="s">
        <v>2550</v>
      </c>
      <c r="D343" s="125" t="s">
        <v>2512</v>
      </c>
      <c r="F343" s="125">
        <v>4.0</v>
      </c>
      <c r="H343" s="125" t="s">
        <v>28</v>
      </c>
      <c r="K343" s="125" t="s">
        <v>155</v>
      </c>
      <c r="O343" s="125" t="s">
        <v>54</v>
      </c>
      <c r="P343" s="125" t="s">
        <v>189</v>
      </c>
    </row>
    <row r="344" ht="15.75" customHeight="1">
      <c r="B344" s="125" t="s">
        <v>1551</v>
      </c>
      <c r="C344" s="125" t="s">
        <v>2571</v>
      </c>
      <c r="D344" s="125" t="s">
        <v>2307</v>
      </c>
      <c r="F344" s="125">
        <v>1.5</v>
      </c>
      <c r="H344" s="125" t="s">
        <v>28</v>
      </c>
      <c r="K344" s="125" t="s">
        <v>155</v>
      </c>
      <c r="O344" s="125" t="s">
        <v>74</v>
      </c>
      <c r="P344" s="125" t="s">
        <v>189</v>
      </c>
    </row>
    <row r="345" ht="15.75" customHeight="1">
      <c r="B345" s="125" t="s">
        <v>1559</v>
      </c>
      <c r="C345" s="125" t="s">
        <v>629</v>
      </c>
      <c r="D345" s="125" t="s">
        <v>2986</v>
      </c>
      <c r="F345" s="125">
        <v>1.8</v>
      </c>
      <c r="H345" s="125" t="s">
        <v>28</v>
      </c>
      <c r="K345" s="125" t="s">
        <v>53</v>
      </c>
      <c r="O345" s="125" t="s">
        <v>54</v>
      </c>
      <c r="P345" s="125" t="s">
        <v>189</v>
      </c>
    </row>
    <row r="346" ht="15.75" customHeight="1">
      <c r="B346" s="125" t="s">
        <v>2987</v>
      </c>
      <c r="C346" s="125" t="s">
        <v>2042</v>
      </c>
      <c r="D346" s="125" t="s">
        <v>965</v>
      </c>
      <c r="F346" s="125">
        <v>2.5</v>
      </c>
      <c r="H346" s="125" t="s">
        <v>28</v>
      </c>
      <c r="K346" s="125" t="s">
        <v>155</v>
      </c>
      <c r="O346" s="125" t="s">
        <v>54</v>
      </c>
      <c r="P346" s="125" t="s">
        <v>189</v>
      </c>
    </row>
    <row r="347" ht="15.75" customHeight="1">
      <c r="B347" s="125" t="s">
        <v>2988</v>
      </c>
      <c r="C347" s="125" t="s">
        <v>2989</v>
      </c>
      <c r="D347" s="125" t="s">
        <v>1821</v>
      </c>
      <c r="F347" s="125">
        <v>1.5</v>
      </c>
      <c r="H347" s="125" t="s">
        <v>28</v>
      </c>
      <c r="K347" s="125" t="s">
        <v>53</v>
      </c>
      <c r="O347" s="125" t="s">
        <v>54</v>
      </c>
      <c r="P347" s="125" t="s">
        <v>189</v>
      </c>
    </row>
    <row r="348" ht="15.75" customHeight="1">
      <c r="B348" s="125" t="s">
        <v>368</v>
      </c>
      <c r="C348" s="125" t="s">
        <v>2990</v>
      </c>
      <c r="D348" s="125" t="s">
        <v>1821</v>
      </c>
      <c r="F348" s="125">
        <v>2.5</v>
      </c>
      <c r="H348" s="125" t="s">
        <v>28</v>
      </c>
      <c r="K348" s="125" t="s">
        <v>155</v>
      </c>
      <c r="O348" s="125" t="s">
        <v>54</v>
      </c>
      <c r="P348" s="125" t="s">
        <v>189</v>
      </c>
    </row>
    <row r="349" ht="15.75" customHeight="1">
      <c r="B349" s="125" t="s">
        <v>2874</v>
      </c>
      <c r="C349" s="125" t="s">
        <v>824</v>
      </c>
      <c r="D349" s="125" t="s">
        <v>2991</v>
      </c>
      <c r="F349" s="125">
        <v>2.5</v>
      </c>
      <c r="H349" s="125" t="s">
        <v>28</v>
      </c>
      <c r="K349" s="125" t="s">
        <v>155</v>
      </c>
      <c r="O349" s="125" t="s">
        <v>54</v>
      </c>
      <c r="P349" s="125" t="s">
        <v>189</v>
      </c>
    </row>
    <row r="350" ht="15.75" customHeight="1">
      <c r="B350" s="125" t="s">
        <v>2172</v>
      </c>
      <c r="C350" s="125" t="s">
        <v>2992</v>
      </c>
      <c r="D350" s="125" t="s">
        <v>2993</v>
      </c>
      <c r="F350" s="125">
        <v>2.5</v>
      </c>
      <c r="H350" s="125" t="s">
        <v>30</v>
      </c>
      <c r="K350" s="125" t="s">
        <v>155</v>
      </c>
      <c r="O350" s="125" t="s">
        <v>54</v>
      </c>
      <c r="P350" s="125" t="s">
        <v>189</v>
      </c>
    </row>
    <row r="351" ht="15.75" customHeight="1">
      <c r="B351" s="125" t="s">
        <v>2994</v>
      </c>
      <c r="C351" s="125" t="s">
        <v>2995</v>
      </c>
      <c r="D351" s="125" t="s">
        <v>2996</v>
      </c>
      <c r="F351" s="125">
        <v>2.75</v>
      </c>
      <c r="H351" s="125" t="s">
        <v>30</v>
      </c>
      <c r="K351" s="125" t="s">
        <v>53</v>
      </c>
      <c r="O351" s="125" t="s">
        <v>54</v>
      </c>
      <c r="P351" s="125" t="s">
        <v>189</v>
      </c>
    </row>
    <row r="352" ht="15.75" customHeight="1">
      <c r="B352" s="125" t="s">
        <v>1851</v>
      </c>
      <c r="C352" s="125" t="s">
        <v>2995</v>
      </c>
      <c r="D352" s="125" t="s">
        <v>2996</v>
      </c>
      <c r="F352" s="125">
        <v>1.5</v>
      </c>
      <c r="H352" s="125" t="s">
        <v>30</v>
      </c>
      <c r="K352" s="125" t="s">
        <v>53</v>
      </c>
      <c r="O352" s="125" t="s">
        <v>54</v>
      </c>
      <c r="P352" s="125" t="s">
        <v>189</v>
      </c>
    </row>
    <row r="353" ht="15.75" customHeight="1">
      <c r="B353" s="125" t="s">
        <v>2997</v>
      </c>
      <c r="C353" s="125" t="s">
        <v>2998</v>
      </c>
      <c r="D353" s="125" t="s">
        <v>2261</v>
      </c>
      <c r="F353" s="125">
        <v>3.0</v>
      </c>
      <c r="H353" s="125" t="s">
        <v>30</v>
      </c>
      <c r="K353" s="125" t="s">
        <v>155</v>
      </c>
      <c r="O353" s="125" t="s">
        <v>74</v>
      </c>
      <c r="P353" s="125" t="s">
        <v>189</v>
      </c>
    </row>
    <row r="354" ht="15.75" customHeight="1">
      <c r="B354" s="125" t="s">
        <v>2999</v>
      </c>
      <c r="C354" s="125" t="s">
        <v>3000</v>
      </c>
      <c r="D354" s="125" t="s">
        <v>2261</v>
      </c>
      <c r="F354" s="125">
        <v>1.75</v>
      </c>
      <c r="H354" s="125" t="s">
        <v>30</v>
      </c>
      <c r="K354" s="125" t="s">
        <v>53</v>
      </c>
      <c r="O354" s="125" t="s">
        <v>74</v>
      </c>
      <c r="P354" s="125" t="s">
        <v>189</v>
      </c>
    </row>
    <row r="355" ht="15.75" customHeight="1">
      <c r="B355" s="125" t="s">
        <v>2774</v>
      </c>
      <c r="C355" s="125" t="s">
        <v>2276</v>
      </c>
      <c r="D355" s="125" t="s">
        <v>1872</v>
      </c>
      <c r="F355" s="125">
        <v>1.5</v>
      </c>
      <c r="H355" s="125" t="s">
        <v>30</v>
      </c>
      <c r="K355" s="125" t="s">
        <v>155</v>
      </c>
      <c r="O355" s="125" t="s">
        <v>74</v>
      </c>
      <c r="P355" s="125" t="s">
        <v>189</v>
      </c>
    </row>
    <row r="356" ht="15.75" customHeight="1">
      <c r="B356" s="125" t="s">
        <v>3001</v>
      </c>
      <c r="C356" s="125" t="s">
        <v>1885</v>
      </c>
      <c r="D356" s="125" t="s">
        <v>3002</v>
      </c>
      <c r="F356" s="125">
        <v>1.5</v>
      </c>
      <c r="H356" s="125" t="s">
        <v>30</v>
      </c>
      <c r="K356" s="125" t="s">
        <v>172</v>
      </c>
      <c r="O356" s="125" t="s">
        <v>74</v>
      </c>
      <c r="P356" s="125" t="s">
        <v>189</v>
      </c>
    </row>
    <row r="357" ht="15.75" customHeight="1">
      <c r="B357" s="125" t="s">
        <v>3003</v>
      </c>
      <c r="C357" s="125" t="s">
        <v>482</v>
      </c>
      <c r="D357" s="125" t="s">
        <v>3004</v>
      </c>
      <c r="F357" s="125">
        <v>1.5</v>
      </c>
      <c r="H357" s="125" t="s">
        <v>30</v>
      </c>
      <c r="K357" s="125" t="s">
        <v>155</v>
      </c>
      <c r="O357" s="125" t="s">
        <v>74</v>
      </c>
      <c r="P357" s="125" t="s">
        <v>189</v>
      </c>
    </row>
    <row r="358" ht="15.75" customHeight="1">
      <c r="B358" s="125" t="s">
        <v>3005</v>
      </c>
      <c r="C358" s="125" t="s">
        <v>2232</v>
      </c>
      <c r="D358" s="125" t="s">
        <v>3006</v>
      </c>
      <c r="F358" s="125">
        <v>1.5</v>
      </c>
      <c r="H358" s="125" t="s">
        <v>30</v>
      </c>
      <c r="K358" s="125" t="s">
        <v>53</v>
      </c>
      <c r="O358" s="125" t="s">
        <v>74</v>
      </c>
      <c r="P358" s="125" t="s">
        <v>189</v>
      </c>
    </row>
    <row r="359" ht="15.75" customHeight="1">
      <c r="B359" s="125" t="s">
        <v>3007</v>
      </c>
      <c r="C359" s="125" t="s">
        <v>3008</v>
      </c>
      <c r="D359" s="125" t="s">
        <v>2335</v>
      </c>
      <c r="F359" s="125">
        <v>1.5</v>
      </c>
      <c r="H359" s="125" t="s">
        <v>30</v>
      </c>
      <c r="K359" s="125" t="s">
        <v>155</v>
      </c>
      <c r="O359" s="125" t="s">
        <v>74</v>
      </c>
      <c r="P359" s="125" t="s">
        <v>189</v>
      </c>
    </row>
    <row r="360" ht="15.75" customHeight="1">
      <c r="B360" s="125" t="s">
        <v>3009</v>
      </c>
      <c r="C360" s="125" t="s">
        <v>478</v>
      </c>
      <c r="D360" s="125" t="s">
        <v>3010</v>
      </c>
      <c r="F360" s="125">
        <v>2.0</v>
      </c>
      <c r="H360" s="125" t="s">
        <v>30</v>
      </c>
      <c r="K360" s="125" t="s">
        <v>155</v>
      </c>
      <c r="O360" s="125" t="s">
        <v>74</v>
      </c>
      <c r="P360" s="125" t="s">
        <v>189</v>
      </c>
    </row>
    <row r="361" ht="15.75" customHeight="1">
      <c r="B361" s="125" t="s">
        <v>3011</v>
      </c>
      <c r="C361" s="125" t="s">
        <v>2270</v>
      </c>
      <c r="D361" s="125" t="s">
        <v>2271</v>
      </c>
      <c r="F361" s="125">
        <v>4.0</v>
      </c>
      <c r="H361" s="125" t="s">
        <v>30</v>
      </c>
      <c r="K361" s="125" t="s">
        <v>155</v>
      </c>
      <c r="O361" s="125" t="s">
        <v>54</v>
      </c>
      <c r="P361" s="125" t="s">
        <v>189</v>
      </c>
    </row>
    <row r="362" ht="15.75" customHeight="1">
      <c r="B362" s="125" t="s">
        <v>2346</v>
      </c>
      <c r="C362" s="125" t="s">
        <v>1915</v>
      </c>
      <c r="D362" s="125" t="s">
        <v>2276</v>
      </c>
      <c r="F362" s="125">
        <v>1.5</v>
      </c>
      <c r="H362" s="125" t="s">
        <v>30</v>
      </c>
      <c r="K362" s="125" t="s">
        <v>172</v>
      </c>
      <c r="O362" s="125" t="s">
        <v>74</v>
      </c>
      <c r="P362" s="125" t="s">
        <v>189</v>
      </c>
    </row>
    <row r="363" ht="15.75" customHeight="1">
      <c r="B363" s="125" t="s">
        <v>2197</v>
      </c>
      <c r="C363" s="125" t="s">
        <v>1892</v>
      </c>
      <c r="D363" s="125" t="s">
        <v>2350</v>
      </c>
      <c r="F363" s="125">
        <v>2.25</v>
      </c>
      <c r="H363" s="125" t="s">
        <v>30</v>
      </c>
      <c r="K363" s="125" t="s">
        <v>172</v>
      </c>
      <c r="O363" s="125" t="s">
        <v>74</v>
      </c>
      <c r="P363" s="125" t="s">
        <v>189</v>
      </c>
    </row>
    <row r="364" ht="15.75" customHeight="1">
      <c r="B364" s="125" t="s">
        <v>3012</v>
      </c>
      <c r="C364" s="125" t="s">
        <v>3013</v>
      </c>
      <c r="D364" s="125" t="s">
        <v>478</v>
      </c>
      <c r="F364" s="125">
        <v>1.2</v>
      </c>
      <c r="H364" s="125" t="s">
        <v>30</v>
      </c>
      <c r="K364" s="125" t="s">
        <v>172</v>
      </c>
      <c r="O364" s="125" t="s">
        <v>74</v>
      </c>
      <c r="P364" s="125" t="s">
        <v>189</v>
      </c>
    </row>
    <row r="365" ht="15.75" customHeight="1">
      <c r="B365" s="125" t="s">
        <v>3014</v>
      </c>
      <c r="C365" s="125" t="s">
        <v>3015</v>
      </c>
      <c r="D365" s="125" t="s">
        <v>478</v>
      </c>
      <c r="F365" s="125">
        <v>2.0</v>
      </c>
      <c r="H365" s="125" t="s">
        <v>30</v>
      </c>
      <c r="K365" s="125" t="s">
        <v>155</v>
      </c>
      <c r="O365" s="125" t="s">
        <v>74</v>
      </c>
      <c r="P365" s="125" t="s">
        <v>189</v>
      </c>
    </row>
    <row r="366" ht="15.75" customHeight="1">
      <c r="B366" s="125" t="s">
        <v>3016</v>
      </c>
      <c r="C366" s="125" t="s">
        <v>2284</v>
      </c>
      <c r="D366" s="125" t="s">
        <v>478</v>
      </c>
      <c r="F366" s="125">
        <v>3.0</v>
      </c>
      <c r="H366" s="125" t="s">
        <v>30</v>
      </c>
      <c r="K366" s="125" t="s">
        <v>53</v>
      </c>
      <c r="O366" s="125" t="s">
        <v>74</v>
      </c>
      <c r="P366" s="125" t="s">
        <v>189</v>
      </c>
    </row>
    <row r="367" ht="15.75" customHeight="1">
      <c r="B367" s="125" t="s">
        <v>748</v>
      </c>
      <c r="C367" s="125" t="s">
        <v>3017</v>
      </c>
      <c r="D367" s="125" t="s">
        <v>1899</v>
      </c>
      <c r="F367" s="125">
        <v>2.0</v>
      </c>
      <c r="H367" s="125" t="s">
        <v>30</v>
      </c>
      <c r="K367" s="125" t="s">
        <v>172</v>
      </c>
      <c r="O367" s="125" t="s">
        <v>74</v>
      </c>
      <c r="P367" s="125" t="s">
        <v>189</v>
      </c>
    </row>
    <row r="368" ht="15.75" customHeight="1">
      <c r="B368" s="125" t="s">
        <v>2358</v>
      </c>
      <c r="C368" s="125" t="s">
        <v>2359</v>
      </c>
      <c r="D368" s="125" t="s">
        <v>2360</v>
      </c>
      <c r="F368" s="125">
        <v>1.5</v>
      </c>
      <c r="H368" s="125" t="s">
        <v>30</v>
      </c>
      <c r="K368" s="125" t="s">
        <v>155</v>
      </c>
      <c r="O368" s="125" t="s">
        <v>74</v>
      </c>
      <c r="P368" s="125" t="s">
        <v>189</v>
      </c>
    </row>
    <row r="369" ht="15.75" customHeight="1">
      <c r="B369" s="125" t="s">
        <v>3018</v>
      </c>
      <c r="C369" s="125" t="s">
        <v>3019</v>
      </c>
      <c r="D369" s="125" t="s">
        <v>1327</v>
      </c>
      <c r="F369" s="125">
        <v>3.0</v>
      </c>
      <c r="H369" s="125" t="s">
        <v>30</v>
      </c>
      <c r="K369" s="125" t="s">
        <v>53</v>
      </c>
      <c r="O369" s="125" t="s">
        <v>74</v>
      </c>
      <c r="P369" s="125" t="s">
        <v>189</v>
      </c>
    </row>
    <row r="370" ht="15.75" customHeight="1">
      <c r="B370" s="125" t="s">
        <v>3020</v>
      </c>
      <c r="C370" s="125" t="s">
        <v>2212</v>
      </c>
      <c r="D370" s="125" t="s">
        <v>3021</v>
      </c>
      <c r="F370" s="125">
        <v>1.5</v>
      </c>
      <c r="H370" s="125" t="s">
        <v>30</v>
      </c>
      <c r="K370" s="125" t="s">
        <v>53</v>
      </c>
      <c r="O370" s="125" t="s">
        <v>74</v>
      </c>
      <c r="P370" s="125" t="s">
        <v>189</v>
      </c>
    </row>
    <row r="371" ht="15.75" customHeight="1">
      <c r="B371" s="125" t="s">
        <v>3022</v>
      </c>
      <c r="C371" s="125" t="s">
        <v>1251</v>
      </c>
      <c r="D371" s="125" t="s">
        <v>3023</v>
      </c>
      <c r="F371" s="125">
        <v>1.5</v>
      </c>
      <c r="H371" s="125" t="s">
        <v>30</v>
      </c>
      <c r="K371" s="125" t="s">
        <v>53</v>
      </c>
      <c r="O371" s="125" t="s">
        <v>74</v>
      </c>
      <c r="P371" s="125" t="s">
        <v>189</v>
      </c>
    </row>
    <row r="372" ht="15.75" customHeight="1">
      <c r="B372" s="125" t="s">
        <v>3024</v>
      </c>
      <c r="C372" s="125" t="s">
        <v>3025</v>
      </c>
      <c r="D372" s="125" t="s">
        <v>2606</v>
      </c>
      <c r="F372" s="125">
        <v>4.0</v>
      </c>
      <c r="H372" s="125" t="s">
        <v>30</v>
      </c>
      <c r="K372" s="125" t="s">
        <v>155</v>
      </c>
      <c r="O372" s="125" t="s">
        <v>74</v>
      </c>
      <c r="P372" s="125" t="s">
        <v>189</v>
      </c>
    </row>
    <row r="373" ht="15.75" customHeight="1">
      <c r="B373" s="125" t="s">
        <v>1220</v>
      </c>
      <c r="C373" s="125" t="s">
        <v>3026</v>
      </c>
      <c r="D373" s="125" t="s">
        <v>1913</v>
      </c>
      <c r="F373" s="125">
        <v>1.5</v>
      </c>
      <c r="H373" s="125" t="s">
        <v>30</v>
      </c>
      <c r="K373" s="125" t="s">
        <v>155</v>
      </c>
      <c r="O373" s="125" t="s">
        <v>74</v>
      </c>
      <c r="P373" s="125" t="s">
        <v>189</v>
      </c>
    </row>
    <row r="374" ht="15.75" customHeight="1">
      <c r="B374" s="125" t="s">
        <v>3027</v>
      </c>
      <c r="C374" s="125" t="s">
        <v>1895</v>
      </c>
      <c r="D374" s="125" t="s">
        <v>3028</v>
      </c>
      <c r="F374" s="125">
        <v>3.0</v>
      </c>
      <c r="H374" s="125" t="s">
        <v>30</v>
      </c>
      <c r="K374" s="125" t="s">
        <v>53</v>
      </c>
      <c r="O374" s="125" t="s">
        <v>74</v>
      </c>
      <c r="P374" s="125" t="s">
        <v>189</v>
      </c>
    </row>
    <row r="375" ht="15.75" customHeight="1">
      <c r="B375" s="125" t="s">
        <v>3029</v>
      </c>
      <c r="C375" s="125" t="s">
        <v>2208</v>
      </c>
      <c r="D375" s="125" t="s">
        <v>2206</v>
      </c>
      <c r="F375" s="125">
        <v>1.5</v>
      </c>
      <c r="H375" s="125" t="s">
        <v>30</v>
      </c>
      <c r="K375" s="125" t="s">
        <v>172</v>
      </c>
      <c r="O375" s="125" t="s">
        <v>74</v>
      </c>
      <c r="P375" s="125" t="s">
        <v>189</v>
      </c>
    </row>
    <row r="376" ht="15.75" customHeight="1">
      <c r="B376" s="125" t="s">
        <v>1318</v>
      </c>
      <c r="C376" s="125" t="s">
        <v>117</v>
      </c>
      <c r="D376" s="125" t="s">
        <v>2224</v>
      </c>
      <c r="F376" s="125">
        <v>4.0</v>
      </c>
      <c r="H376" s="125" t="s">
        <v>30</v>
      </c>
      <c r="K376" s="125" t="s">
        <v>172</v>
      </c>
      <c r="O376" s="125" t="s">
        <v>74</v>
      </c>
      <c r="P376" s="125" t="s">
        <v>189</v>
      </c>
    </row>
    <row r="377" ht="15.75" customHeight="1">
      <c r="B377" s="125" t="s">
        <v>3030</v>
      </c>
      <c r="C377" s="125" t="s">
        <v>3031</v>
      </c>
      <c r="D377" s="125" t="s">
        <v>2702</v>
      </c>
      <c r="F377" s="125">
        <v>1.5</v>
      </c>
      <c r="H377" s="125" t="s">
        <v>30</v>
      </c>
      <c r="K377" s="125" t="s">
        <v>172</v>
      </c>
      <c r="O377" s="125" t="s">
        <v>74</v>
      </c>
      <c r="P377" s="125" t="s">
        <v>189</v>
      </c>
    </row>
    <row r="378" ht="15.75" customHeight="1">
      <c r="B378" s="125" t="s">
        <v>936</v>
      </c>
      <c r="C378" s="125" t="s">
        <v>1870</v>
      </c>
      <c r="D378" s="125" t="s">
        <v>332</v>
      </c>
      <c r="F378" s="125">
        <v>1.5</v>
      </c>
      <c r="H378" s="125" t="s">
        <v>30</v>
      </c>
      <c r="K378" s="125" t="s">
        <v>172</v>
      </c>
      <c r="O378" s="125" t="s">
        <v>54</v>
      </c>
      <c r="P378" s="125" t="s">
        <v>189</v>
      </c>
    </row>
    <row r="379" ht="15.75" customHeight="1">
      <c r="B379" s="125" t="s">
        <v>3032</v>
      </c>
      <c r="C379" s="125" t="s">
        <v>998</v>
      </c>
      <c r="D379" s="125" t="s">
        <v>3033</v>
      </c>
      <c r="F379" s="125">
        <v>2.5</v>
      </c>
      <c r="H379" s="125" t="s">
        <v>30</v>
      </c>
      <c r="K379" s="125" t="s">
        <v>172</v>
      </c>
      <c r="O379" s="125" t="s">
        <v>74</v>
      </c>
      <c r="P379" s="125" t="s">
        <v>189</v>
      </c>
    </row>
    <row r="380" ht="15.75" customHeight="1">
      <c r="B380" s="125" t="s">
        <v>1527</v>
      </c>
      <c r="C380" s="125" t="s">
        <v>478</v>
      </c>
      <c r="D380" s="125" t="s">
        <v>117</v>
      </c>
      <c r="F380" s="125">
        <v>1.5</v>
      </c>
      <c r="H380" s="125" t="s">
        <v>30</v>
      </c>
      <c r="K380" s="125" t="s">
        <v>53</v>
      </c>
      <c r="O380" s="125" t="s">
        <v>74</v>
      </c>
      <c r="P380" s="125" t="s">
        <v>189</v>
      </c>
    </row>
    <row r="381" ht="15.75" customHeight="1">
      <c r="B381" s="125" t="s">
        <v>3034</v>
      </c>
      <c r="C381" s="125" t="s">
        <v>3035</v>
      </c>
      <c r="D381" s="125" t="s">
        <v>3036</v>
      </c>
      <c r="F381" s="125">
        <v>3.5</v>
      </c>
      <c r="H381" s="125" t="s">
        <v>30</v>
      </c>
      <c r="K381" s="125" t="s">
        <v>172</v>
      </c>
      <c r="O381" s="125" t="s">
        <v>74</v>
      </c>
      <c r="P381" s="125" t="s">
        <v>189</v>
      </c>
    </row>
    <row r="382" ht="15.75" customHeight="1">
      <c r="B382" s="125" t="s">
        <v>862</v>
      </c>
      <c r="C382" s="125" t="s">
        <v>3037</v>
      </c>
      <c r="D382" s="125" t="s">
        <v>3038</v>
      </c>
      <c r="E382" s="125" t="s">
        <v>86</v>
      </c>
      <c r="F382" s="125">
        <v>1.75</v>
      </c>
      <c r="H382" s="125" t="s">
        <v>30</v>
      </c>
      <c r="K382" s="125" t="s">
        <v>155</v>
      </c>
      <c r="O382" s="125" t="s">
        <v>74</v>
      </c>
      <c r="P382" s="125" t="s">
        <v>189</v>
      </c>
    </row>
    <row r="383" ht="15.75" customHeight="1">
      <c r="B383" s="125" t="s">
        <v>1483</v>
      </c>
      <c r="C383" s="125" t="s">
        <v>3039</v>
      </c>
      <c r="D383" s="125" t="s">
        <v>2235</v>
      </c>
      <c r="F383" s="125">
        <v>1.5</v>
      </c>
      <c r="H383" s="125" t="s">
        <v>30</v>
      </c>
      <c r="K383" s="125" t="s">
        <v>172</v>
      </c>
      <c r="O383" s="125" t="s">
        <v>74</v>
      </c>
      <c r="P383" s="125" t="s">
        <v>189</v>
      </c>
    </row>
    <row r="384" ht="15.75" customHeight="1">
      <c r="B384" s="125" t="s">
        <v>1996</v>
      </c>
      <c r="C384" s="125" t="s">
        <v>3040</v>
      </c>
      <c r="D384" s="125" t="s">
        <v>3041</v>
      </c>
      <c r="F384" s="125">
        <v>3.0</v>
      </c>
      <c r="H384" s="125" t="s">
        <v>30</v>
      </c>
      <c r="K384" s="125" t="s">
        <v>172</v>
      </c>
      <c r="O384" s="125" t="s">
        <v>74</v>
      </c>
      <c r="P384" s="125" t="s">
        <v>189</v>
      </c>
    </row>
    <row r="385" ht="15.75" customHeight="1">
      <c r="B385" s="125" t="s">
        <v>1465</v>
      </c>
      <c r="C385" s="125" t="s">
        <v>3042</v>
      </c>
      <c r="D385" s="125" t="s">
        <v>3043</v>
      </c>
      <c r="F385" s="125">
        <v>2.0</v>
      </c>
      <c r="H385" s="125" t="s">
        <v>30</v>
      </c>
      <c r="K385" s="125" t="s">
        <v>155</v>
      </c>
      <c r="O385" s="125" t="s">
        <v>74</v>
      </c>
      <c r="P385" s="125" t="s">
        <v>189</v>
      </c>
    </row>
    <row r="386" ht="15.75" customHeight="1">
      <c r="B386" s="125" t="s">
        <v>3044</v>
      </c>
      <c r="C386" s="125" t="s">
        <v>3045</v>
      </c>
      <c r="D386" s="125" t="s">
        <v>582</v>
      </c>
      <c r="F386" s="125">
        <v>2.5</v>
      </c>
      <c r="H386" s="125" t="s">
        <v>30</v>
      </c>
      <c r="K386" s="125" t="s">
        <v>53</v>
      </c>
      <c r="O386" s="125" t="s">
        <v>74</v>
      </c>
      <c r="P386" s="125" t="s">
        <v>189</v>
      </c>
    </row>
    <row r="387" ht="15.75" customHeight="1">
      <c r="B387" s="125" t="s">
        <v>3046</v>
      </c>
      <c r="C387" s="125" t="s">
        <v>3047</v>
      </c>
      <c r="D387" s="125" t="s">
        <v>1913</v>
      </c>
      <c r="F387" s="125">
        <v>1.5</v>
      </c>
      <c r="H387" s="125" t="s">
        <v>30</v>
      </c>
      <c r="K387" s="125" t="s">
        <v>155</v>
      </c>
      <c r="O387" s="125" t="s">
        <v>74</v>
      </c>
      <c r="P387" s="125" t="s">
        <v>189</v>
      </c>
    </row>
    <row r="388" ht="15.75" customHeight="1">
      <c r="B388" s="125" t="s">
        <v>3048</v>
      </c>
      <c r="C388" s="125" t="s">
        <v>3049</v>
      </c>
      <c r="D388" s="125" t="s">
        <v>3050</v>
      </c>
      <c r="F388" s="125">
        <v>2.0</v>
      </c>
      <c r="H388" s="125" t="s">
        <v>30</v>
      </c>
      <c r="K388" s="125" t="s">
        <v>155</v>
      </c>
      <c r="O388" s="125" t="s">
        <v>74</v>
      </c>
      <c r="P388" s="125" t="s">
        <v>189</v>
      </c>
    </row>
    <row r="389" ht="15.75" customHeight="1">
      <c r="B389" s="125" t="s">
        <v>688</v>
      </c>
      <c r="C389" s="125" t="s">
        <v>3051</v>
      </c>
      <c r="D389" s="125" t="s">
        <v>3050</v>
      </c>
      <c r="F389" s="125">
        <v>1.5</v>
      </c>
      <c r="H389" s="125" t="s">
        <v>30</v>
      </c>
      <c r="K389" s="125" t="s">
        <v>53</v>
      </c>
      <c r="O389" s="125" t="s">
        <v>74</v>
      </c>
      <c r="P389" s="125" t="s">
        <v>189</v>
      </c>
    </row>
    <row r="390" ht="15.75" customHeight="1">
      <c r="B390" s="125" t="s">
        <v>3030</v>
      </c>
      <c r="C390" s="125" t="s">
        <v>3031</v>
      </c>
      <c r="D390" s="125" t="s">
        <v>2702</v>
      </c>
      <c r="F390" s="125">
        <v>1.5</v>
      </c>
      <c r="H390" s="125" t="s">
        <v>30</v>
      </c>
      <c r="K390" s="125" t="s">
        <v>53</v>
      </c>
      <c r="O390" s="125" t="s">
        <v>74</v>
      </c>
      <c r="P390" s="125" t="s">
        <v>189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C$390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</row>
    <row r="5" ht="14.25" customHeight="1">
      <c r="A5" s="3" t="s">
        <v>3</v>
      </c>
      <c r="B5" s="3"/>
    </row>
    <row r="6" ht="14.25" customHeight="1">
      <c r="A6" s="77" t="s">
        <v>3052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464</v>
      </c>
      <c r="C11" s="50">
        <f t="shared" si="1"/>
        <v>416.0533</v>
      </c>
      <c r="D11" s="51">
        <f t="shared" si="1"/>
        <v>0</v>
      </c>
      <c r="E11" s="51">
        <f t="shared" si="1"/>
        <v>240.35</v>
      </c>
      <c r="F11" s="51">
        <f t="shared" si="1"/>
        <v>0</v>
      </c>
      <c r="G11" s="51">
        <f t="shared" si="1"/>
        <v>14.24</v>
      </c>
      <c r="H11" s="52">
        <f t="shared" si="1"/>
        <v>0</v>
      </c>
      <c r="I11" s="53">
        <f t="shared" si="1"/>
        <v>0</v>
      </c>
      <c r="J11" s="51">
        <f t="shared" si="1"/>
        <v>0</v>
      </c>
      <c r="K11" s="51">
        <f t="shared" si="1"/>
        <v>4.2</v>
      </c>
      <c r="L11" s="51">
        <f t="shared" si="1"/>
        <v>0</v>
      </c>
      <c r="M11" s="54">
        <f t="shared" si="1"/>
        <v>25.6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29.8</v>
      </c>
      <c r="R11" s="50">
        <f t="shared" si="1"/>
        <v>416.0533</v>
      </c>
      <c r="S11" s="51">
        <f t="shared" si="1"/>
        <v>0</v>
      </c>
      <c r="T11" s="51">
        <f t="shared" si="1"/>
        <v>244.55</v>
      </c>
      <c r="U11" s="51">
        <f t="shared" si="1"/>
        <v>0</v>
      </c>
      <c r="V11" s="51">
        <f t="shared" si="1"/>
        <v>39.84</v>
      </c>
      <c r="W11" s="52">
        <f t="shared" si="1"/>
        <v>700.4433</v>
      </c>
      <c r="X11" s="56"/>
      <c r="Y11" s="57"/>
      <c r="Z11" s="57"/>
    </row>
    <row r="12" ht="14.25" customHeight="1">
      <c r="A12" s="58" t="s">
        <v>20</v>
      </c>
      <c r="B12" s="79">
        <v>0.0</v>
      </c>
      <c r="C12" s="62"/>
      <c r="D12" s="80"/>
      <c r="E12" s="80"/>
      <c r="F12" s="80"/>
      <c r="G12" s="80"/>
      <c r="H12" s="59"/>
      <c r="I12" s="60"/>
      <c r="J12" s="80"/>
      <c r="K12" s="80"/>
      <c r="L12" s="80"/>
      <c r="M12" s="83"/>
      <c r="N12" s="62"/>
      <c r="O12" s="80"/>
      <c r="P12" s="59"/>
      <c r="Q12" s="61">
        <f t="shared" ref="Q12:Q22" si="4">SUM(I12:P12)</f>
        <v>0</v>
      </c>
      <c r="R12" s="62">
        <f t="shared" ref="R12:S12" si="2">C12+I12</f>
        <v>0</v>
      </c>
      <c r="S12" s="80">
        <f t="shared" si="2"/>
        <v>0</v>
      </c>
      <c r="T12" s="80">
        <f t="shared" ref="T12:V12" si="3">E12+K12+N12</f>
        <v>0</v>
      </c>
      <c r="U12" s="80">
        <f t="shared" si="3"/>
        <v>0</v>
      </c>
      <c r="V12" s="80">
        <f t="shared" si="3"/>
        <v>0</v>
      </c>
      <c r="W12" s="59">
        <f t="shared" ref="W12:W22" si="7">SUM(R12:V12)</f>
        <v>0</v>
      </c>
      <c r="X12" s="64"/>
    </row>
    <row r="13" ht="14.25" customHeight="1">
      <c r="A13" s="58" t="s">
        <v>21</v>
      </c>
      <c r="B13" s="79">
        <v>14.0</v>
      </c>
      <c r="C13" s="88">
        <v>21.0</v>
      </c>
      <c r="D13" s="80"/>
      <c r="E13" s="85">
        <v>3.8</v>
      </c>
      <c r="F13" s="80"/>
      <c r="G13" s="85">
        <v>1.0</v>
      </c>
      <c r="H13" s="59"/>
      <c r="I13" s="60"/>
      <c r="J13" s="80"/>
      <c r="K13" s="80"/>
      <c r="L13" s="80"/>
      <c r="M13" s="83"/>
      <c r="N13" s="62"/>
      <c r="O13" s="80"/>
      <c r="P13" s="59"/>
      <c r="Q13" s="61">
        <f t="shared" si="4"/>
        <v>0</v>
      </c>
      <c r="R13" s="62">
        <f t="shared" ref="R13:S13" si="5">C13+I13</f>
        <v>21</v>
      </c>
      <c r="S13" s="80">
        <f t="shared" si="5"/>
        <v>0</v>
      </c>
      <c r="T13" s="80">
        <f t="shared" ref="T13:V13" si="6">E13+K13+N13</f>
        <v>3.8</v>
      </c>
      <c r="U13" s="80">
        <f t="shared" si="6"/>
        <v>0</v>
      </c>
      <c r="V13" s="80">
        <f t="shared" si="6"/>
        <v>1</v>
      </c>
      <c r="W13" s="59">
        <f t="shared" si="7"/>
        <v>25.8</v>
      </c>
      <c r="X13" s="64"/>
    </row>
    <row r="14" ht="14.25" customHeight="1">
      <c r="A14" s="58" t="s">
        <v>22</v>
      </c>
      <c r="B14" s="79">
        <v>113.0</v>
      </c>
      <c r="C14" s="88">
        <v>138.1</v>
      </c>
      <c r="D14" s="80"/>
      <c r="E14" s="85">
        <v>74.6</v>
      </c>
      <c r="F14" s="80"/>
      <c r="G14" s="85">
        <v>0.0</v>
      </c>
      <c r="H14" s="59"/>
      <c r="I14" s="60"/>
      <c r="J14" s="80"/>
      <c r="K14" s="85">
        <v>2.0</v>
      </c>
      <c r="L14" s="80"/>
      <c r="M14" s="86">
        <v>25.6</v>
      </c>
      <c r="N14" s="62"/>
      <c r="O14" s="80"/>
      <c r="P14" s="59"/>
      <c r="Q14" s="61">
        <f t="shared" si="4"/>
        <v>27.6</v>
      </c>
      <c r="R14" s="62">
        <f t="shared" ref="R14:S14" si="8">C14+I14</f>
        <v>138.1</v>
      </c>
      <c r="S14" s="80">
        <f t="shared" si="8"/>
        <v>0</v>
      </c>
      <c r="T14" s="80">
        <f t="shared" ref="T14:V14" si="9">E14+K14+N14</f>
        <v>76.6</v>
      </c>
      <c r="U14" s="80">
        <f t="shared" si="9"/>
        <v>0</v>
      </c>
      <c r="V14" s="80">
        <f t="shared" si="9"/>
        <v>25.6</v>
      </c>
      <c r="W14" s="59">
        <f t="shared" si="7"/>
        <v>240.3</v>
      </c>
      <c r="X14" s="64"/>
    </row>
    <row r="15" ht="14.25" customHeight="1">
      <c r="A15" s="58" t="s">
        <v>23</v>
      </c>
      <c r="B15" s="79">
        <v>5.0</v>
      </c>
      <c r="C15" s="88">
        <v>10.7</v>
      </c>
      <c r="D15" s="80"/>
      <c r="E15" s="85">
        <v>0.0</v>
      </c>
      <c r="F15" s="80"/>
      <c r="G15" s="85">
        <v>0.0</v>
      </c>
      <c r="H15" s="59"/>
      <c r="I15" s="60"/>
      <c r="J15" s="80"/>
      <c r="K15" s="80"/>
      <c r="L15" s="80"/>
      <c r="M15" s="83"/>
      <c r="N15" s="62"/>
      <c r="O15" s="80"/>
      <c r="P15" s="59"/>
      <c r="Q15" s="61">
        <f t="shared" si="4"/>
        <v>0</v>
      </c>
      <c r="R15" s="62">
        <f t="shared" ref="R15:S15" si="10">C15+I15</f>
        <v>10.7</v>
      </c>
      <c r="S15" s="80">
        <f t="shared" si="10"/>
        <v>0</v>
      </c>
      <c r="T15" s="80">
        <f t="shared" ref="T15:V15" si="11">E15+K15+N15</f>
        <v>0</v>
      </c>
      <c r="U15" s="80">
        <f t="shared" si="11"/>
        <v>0</v>
      </c>
      <c r="V15" s="80">
        <f t="shared" si="11"/>
        <v>0</v>
      </c>
      <c r="W15" s="59">
        <f t="shared" si="7"/>
        <v>10.7</v>
      </c>
      <c r="X15" s="64"/>
    </row>
    <row r="16" ht="14.25" customHeight="1">
      <c r="A16" s="58" t="s">
        <v>24</v>
      </c>
      <c r="B16" s="79">
        <v>49.0</v>
      </c>
      <c r="C16" s="88">
        <v>71.5</v>
      </c>
      <c r="D16" s="80"/>
      <c r="E16" s="85">
        <v>0.0</v>
      </c>
      <c r="F16" s="80"/>
      <c r="G16" s="85">
        <v>0.0</v>
      </c>
      <c r="H16" s="59"/>
      <c r="I16" s="60"/>
      <c r="J16" s="80"/>
      <c r="K16" s="80"/>
      <c r="L16" s="80"/>
      <c r="M16" s="83"/>
      <c r="N16" s="62"/>
      <c r="O16" s="80"/>
      <c r="P16" s="59"/>
      <c r="Q16" s="61">
        <f t="shared" si="4"/>
        <v>0</v>
      </c>
      <c r="R16" s="62">
        <f t="shared" ref="R16:S16" si="12">C16+I16</f>
        <v>71.5</v>
      </c>
      <c r="S16" s="80">
        <f t="shared" si="12"/>
        <v>0</v>
      </c>
      <c r="T16" s="80">
        <f t="shared" ref="T16:V16" si="13">E16+K16+N16</f>
        <v>0</v>
      </c>
      <c r="U16" s="80">
        <f t="shared" si="13"/>
        <v>0</v>
      </c>
      <c r="V16" s="80">
        <f t="shared" si="13"/>
        <v>0</v>
      </c>
      <c r="W16" s="59">
        <f t="shared" si="7"/>
        <v>71.5</v>
      </c>
      <c r="X16" s="64"/>
    </row>
    <row r="17" ht="14.25" customHeight="1">
      <c r="A17" s="58" t="s">
        <v>25</v>
      </c>
      <c r="B17" s="79">
        <v>54.0</v>
      </c>
      <c r="C17" s="88">
        <v>0.0</v>
      </c>
      <c r="D17" s="80"/>
      <c r="E17" s="85">
        <v>51.2</v>
      </c>
      <c r="F17" s="80"/>
      <c r="G17" s="85">
        <v>4.69</v>
      </c>
      <c r="H17" s="59"/>
      <c r="I17" s="60"/>
      <c r="J17" s="80"/>
      <c r="K17" s="85">
        <v>2.2</v>
      </c>
      <c r="L17" s="80"/>
      <c r="M17" s="86">
        <v>0.0</v>
      </c>
      <c r="N17" s="62"/>
      <c r="O17" s="80"/>
      <c r="P17" s="59"/>
      <c r="Q17" s="61">
        <f t="shared" si="4"/>
        <v>2.2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53.4</v>
      </c>
      <c r="U17" s="80">
        <f t="shared" si="15"/>
        <v>0</v>
      </c>
      <c r="V17" s="80">
        <f t="shared" si="15"/>
        <v>4.69</v>
      </c>
      <c r="W17" s="59">
        <f t="shared" si="7"/>
        <v>58.09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0"/>
      <c r="H18" s="59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68.0</v>
      </c>
      <c r="C19" s="88">
        <v>71.91</v>
      </c>
      <c r="D19" s="80"/>
      <c r="E19" s="85">
        <v>24.75</v>
      </c>
      <c r="F19" s="80"/>
      <c r="G19" s="85">
        <v>3.8</v>
      </c>
      <c r="H19" s="59"/>
      <c r="I19" s="60"/>
      <c r="J19" s="80"/>
      <c r="K19" s="80"/>
      <c r="L19" s="80"/>
      <c r="M19" s="83"/>
      <c r="N19" s="62"/>
      <c r="O19" s="80"/>
      <c r="P19" s="59"/>
      <c r="Q19" s="61">
        <f t="shared" si="4"/>
        <v>0</v>
      </c>
      <c r="R19" s="62">
        <f t="shared" ref="R19:S19" si="18">C19+I19</f>
        <v>71.91</v>
      </c>
      <c r="S19" s="80">
        <f t="shared" si="18"/>
        <v>0</v>
      </c>
      <c r="T19" s="80">
        <f t="shared" ref="T19:V19" si="19">E19+K19+N19</f>
        <v>24.75</v>
      </c>
      <c r="U19" s="80">
        <f t="shared" si="19"/>
        <v>0</v>
      </c>
      <c r="V19" s="80">
        <f t="shared" si="19"/>
        <v>3.8</v>
      </c>
      <c r="W19" s="59">
        <f t="shared" si="7"/>
        <v>100.46</v>
      </c>
      <c r="X19" s="64"/>
    </row>
    <row r="20" ht="14.25" customHeight="1">
      <c r="A20" s="58" t="s">
        <v>28</v>
      </c>
      <c r="B20" s="79">
        <v>92.0</v>
      </c>
      <c r="C20" s="88">
        <v>41.1</v>
      </c>
      <c r="D20" s="80"/>
      <c r="E20" s="85">
        <v>53.2</v>
      </c>
      <c r="F20" s="80"/>
      <c r="G20" s="85">
        <v>1.0</v>
      </c>
      <c r="H20" s="59"/>
      <c r="I20" s="60"/>
      <c r="J20" s="80"/>
      <c r="K20" s="80"/>
      <c r="L20" s="80"/>
      <c r="M20" s="83"/>
      <c r="N20" s="62"/>
      <c r="O20" s="80"/>
      <c r="P20" s="59"/>
      <c r="Q20" s="61">
        <f t="shared" si="4"/>
        <v>0</v>
      </c>
      <c r="R20" s="62">
        <f t="shared" ref="R20:S20" si="20">C20+I20</f>
        <v>41.1</v>
      </c>
      <c r="S20" s="80">
        <f t="shared" si="20"/>
        <v>0</v>
      </c>
      <c r="T20" s="80">
        <f t="shared" ref="T20:V20" si="21">E20+K20+N20</f>
        <v>53.2</v>
      </c>
      <c r="U20" s="80">
        <f t="shared" si="21"/>
        <v>0</v>
      </c>
      <c r="V20" s="80">
        <f t="shared" si="21"/>
        <v>1</v>
      </c>
      <c r="W20" s="59">
        <f t="shared" si="7"/>
        <v>95.3</v>
      </c>
      <c r="X20" s="64"/>
    </row>
    <row r="21" ht="14.25" customHeight="1">
      <c r="A21" s="58" t="s">
        <v>29</v>
      </c>
      <c r="B21" s="79">
        <v>32.0</v>
      </c>
      <c r="C21" s="88">
        <v>61.7433</v>
      </c>
      <c r="D21" s="80"/>
      <c r="E21" s="85">
        <v>0.0</v>
      </c>
      <c r="F21" s="80"/>
      <c r="G21" s="85">
        <v>0.0</v>
      </c>
      <c r="H21" s="59"/>
      <c r="I21" s="60"/>
      <c r="J21" s="80"/>
      <c r="K21" s="80"/>
      <c r="L21" s="80"/>
      <c r="M21" s="83"/>
      <c r="N21" s="62"/>
      <c r="O21" s="80"/>
      <c r="P21" s="59"/>
      <c r="Q21" s="61">
        <f t="shared" si="4"/>
        <v>0</v>
      </c>
      <c r="R21" s="62">
        <f t="shared" ref="R21:S21" si="22">C21+I21</f>
        <v>61.7433</v>
      </c>
      <c r="S21" s="80">
        <f t="shared" si="22"/>
        <v>0</v>
      </c>
      <c r="T21" s="80">
        <f t="shared" ref="T21:V21" si="23">E21+K21+N21</f>
        <v>0</v>
      </c>
      <c r="U21" s="80">
        <f t="shared" si="23"/>
        <v>0</v>
      </c>
      <c r="V21" s="80">
        <f t="shared" si="23"/>
        <v>0</v>
      </c>
      <c r="W21" s="59">
        <f t="shared" si="7"/>
        <v>61.7433</v>
      </c>
      <c r="X21" s="64"/>
    </row>
    <row r="22" ht="14.25" customHeight="1">
      <c r="A22" s="58" t="s">
        <v>30</v>
      </c>
      <c r="B22" s="79">
        <v>37.0</v>
      </c>
      <c r="C22" s="88">
        <v>0.0</v>
      </c>
      <c r="D22" s="80"/>
      <c r="E22" s="85">
        <v>32.8</v>
      </c>
      <c r="F22" s="80"/>
      <c r="G22" s="85">
        <v>3.75</v>
      </c>
      <c r="H22" s="59"/>
      <c r="I22" s="60"/>
      <c r="J22" s="80"/>
      <c r="K22" s="80"/>
      <c r="L22" s="80"/>
      <c r="M22" s="83"/>
      <c r="N22" s="62"/>
      <c r="O22" s="80"/>
      <c r="P22" s="59"/>
      <c r="Q22" s="61">
        <f t="shared" si="4"/>
        <v>0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32.8</v>
      </c>
      <c r="U22" s="80">
        <f t="shared" si="25"/>
        <v>0</v>
      </c>
      <c r="V22" s="80">
        <f t="shared" si="25"/>
        <v>3.75</v>
      </c>
      <c r="W22" s="59">
        <f t="shared" si="7"/>
        <v>36.55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>
      <c r="A27" s="75"/>
      <c r="B27" s="7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4" width="17.75"/>
    <col customWidth="1" min="5" max="5" width="8.13"/>
    <col customWidth="1" min="6" max="6" width="8.63"/>
    <col customWidth="1" min="7" max="7" width="10.5"/>
    <col customWidth="1" min="8" max="8" width="14.88"/>
    <col customWidth="1" min="9" max="9" width="11.63"/>
    <col customWidth="1" min="10" max="13" width="10.0"/>
    <col customWidth="1" min="14" max="14" width="9.25"/>
    <col customWidth="1" min="15" max="15" width="15.25"/>
    <col customWidth="1" min="16" max="16" width="6.13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134" t="s">
        <v>188</v>
      </c>
      <c r="J4" s="91"/>
      <c r="K4" s="134" t="s">
        <v>189</v>
      </c>
      <c r="L4" s="91"/>
      <c r="M4" s="134" t="s">
        <v>190</v>
      </c>
      <c r="N4" s="91"/>
      <c r="O4" s="91"/>
      <c r="P4" s="125" t="s">
        <v>1927</v>
      </c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91"/>
      <c r="J5" s="91"/>
      <c r="K5" s="91"/>
      <c r="L5" s="91"/>
      <c r="M5" s="91"/>
      <c r="N5" s="91"/>
      <c r="O5" s="91"/>
    </row>
    <row r="6" ht="14.25" customHeight="1">
      <c r="A6" s="135" t="s">
        <v>3053</v>
      </c>
      <c r="B6" s="96"/>
      <c r="C6" s="96"/>
      <c r="D6" s="96"/>
      <c r="E6" s="96"/>
      <c r="F6" s="95"/>
      <c r="G6" s="95"/>
      <c r="H6" s="95"/>
      <c r="I6" s="97"/>
      <c r="J6" s="97"/>
      <c r="K6" s="97"/>
      <c r="L6" s="97"/>
      <c r="M6" s="97"/>
      <c r="N6" s="97"/>
      <c r="O6" s="98"/>
    </row>
    <row r="7" ht="33.0" customHeight="1">
      <c r="A7" s="99" t="s">
        <v>40</v>
      </c>
      <c r="B7" s="148" t="s">
        <v>192</v>
      </c>
      <c r="C7" s="107"/>
      <c r="D7" s="107"/>
      <c r="E7" s="149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3054</v>
      </c>
      <c r="C9" s="118" t="s">
        <v>81</v>
      </c>
      <c r="D9" s="118" t="s">
        <v>544</v>
      </c>
      <c r="E9" s="117"/>
      <c r="F9" s="150">
        <v>1.5</v>
      </c>
      <c r="G9" s="117"/>
      <c r="H9" s="118" t="s">
        <v>21</v>
      </c>
      <c r="I9" s="137" t="s">
        <v>992</v>
      </c>
      <c r="J9" s="120"/>
      <c r="K9" s="120"/>
      <c r="L9" s="120"/>
      <c r="M9" s="120"/>
      <c r="N9" s="120"/>
      <c r="O9" s="121" t="s">
        <v>54</v>
      </c>
    </row>
    <row r="10" ht="14.25" customHeight="1">
      <c r="A10" s="117"/>
      <c r="B10" s="118" t="s">
        <v>1299</v>
      </c>
      <c r="C10" s="118" t="s">
        <v>3055</v>
      </c>
      <c r="D10" s="118" t="s">
        <v>1459</v>
      </c>
      <c r="E10" s="117"/>
      <c r="F10" s="150">
        <v>1.0</v>
      </c>
      <c r="G10" s="117"/>
      <c r="H10" s="118" t="s">
        <v>21</v>
      </c>
      <c r="I10" s="137" t="s">
        <v>196</v>
      </c>
      <c r="J10" s="120"/>
      <c r="K10" s="120"/>
      <c r="L10" s="120"/>
      <c r="M10" s="120"/>
      <c r="N10" s="120"/>
      <c r="O10" s="121" t="s">
        <v>54</v>
      </c>
    </row>
    <row r="11" ht="14.25" customHeight="1">
      <c r="A11" s="117" t="s">
        <v>19</v>
      </c>
      <c r="B11" s="118" t="s">
        <v>407</v>
      </c>
      <c r="C11" s="118" t="s">
        <v>1745</v>
      </c>
      <c r="D11" s="118" t="s">
        <v>1746</v>
      </c>
      <c r="E11" s="118" t="s">
        <v>86</v>
      </c>
      <c r="F11" s="150">
        <v>1.5</v>
      </c>
      <c r="G11" s="117"/>
      <c r="H11" s="118" t="s">
        <v>21</v>
      </c>
      <c r="I11" s="137" t="s">
        <v>992</v>
      </c>
      <c r="J11" s="120"/>
      <c r="K11" s="120"/>
      <c r="L11" s="120"/>
      <c r="M11" s="120"/>
      <c r="N11" s="120"/>
      <c r="O11" s="121" t="s">
        <v>54</v>
      </c>
    </row>
    <row r="12" ht="14.25" customHeight="1">
      <c r="A12" s="117" t="s">
        <v>20</v>
      </c>
      <c r="B12" s="118" t="s">
        <v>3056</v>
      </c>
      <c r="C12" s="118" t="s">
        <v>3057</v>
      </c>
      <c r="D12" s="118" t="s">
        <v>3058</v>
      </c>
      <c r="E12" s="117"/>
      <c r="F12" s="150">
        <v>0.75</v>
      </c>
      <c r="G12" s="117"/>
      <c r="H12" s="118" t="s">
        <v>21</v>
      </c>
      <c r="I12" s="137"/>
      <c r="J12" s="120"/>
      <c r="K12" s="121" t="s">
        <v>549</v>
      </c>
      <c r="L12" s="120"/>
      <c r="M12" s="120"/>
      <c r="N12" s="120"/>
      <c r="O12" s="121" t="s">
        <v>54</v>
      </c>
    </row>
    <row r="13" ht="14.25" customHeight="1">
      <c r="A13" s="117" t="s">
        <v>21</v>
      </c>
      <c r="B13" s="118" t="s">
        <v>2577</v>
      </c>
      <c r="C13" s="118" t="s">
        <v>1484</v>
      </c>
      <c r="D13" s="118" t="s">
        <v>81</v>
      </c>
      <c r="E13" s="117"/>
      <c r="F13" s="150">
        <v>1.0</v>
      </c>
      <c r="G13" s="117"/>
      <c r="H13" s="118" t="s">
        <v>21</v>
      </c>
      <c r="I13" s="137"/>
      <c r="J13" s="120"/>
      <c r="K13" s="121" t="s">
        <v>155</v>
      </c>
      <c r="L13" s="120"/>
      <c r="M13" s="120"/>
      <c r="N13" s="120"/>
      <c r="O13" s="121" t="s">
        <v>54</v>
      </c>
    </row>
    <row r="14" ht="14.25" customHeight="1">
      <c r="A14" s="117" t="s">
        <v>22</v>
      </c>
      <c r="B14" s="118" t="s">
        <v>78</v>
      </c>
      <c r="C14" s="118" t="s">
        <v>3059</v>
      </c>
      <c r="D14" s="118" t="s">
        <v>419</v>
      </c>
      <c r="E14" s="117"/>
      <c r="F14" s="150">
        <v>5.58</v>
      </c>
      <c r="G14" s="117"/>
      <c r="H14" s="118" t="s">
        <v>21</v>
      </c>
      <c r="I14" s="137" t="s">
        <v>992</v>
      </c>
      <c r="J14" s="120"/>
      <c r="K14" s="120"/>
      <c r="L14" s="120"/>
      <c r="M14" s="120"/>
      <c r="N14" s="120"/>
      <c r="O14" s="121" t="s">
        <v>54</v>
      </c>
    </row>
    <row r="15" ht="14.25" customHeight="1">
      <c r="A15" s="117" t="s">
        <v>23</v>
      </c>
      <c r="B15" s="118" t="s">
        <v>1213</v>
      </c>
      <c r="C15" s="118" t="s">
        <v>1973</v>
      </c>
      <c r="D15" s="118" t="s">
        <v>357</v>
      </c>
      <c r="E15" s="117"/>
      <c r="F15" s="150">
        <v>1.7</v>
      </c>
      <c r="G15" s="117"/>
      <c r="H15" s="118" t="s">
        <v>21</v>
      </c>
      <c r="I15" s="137" t="s">
        <v>992</v>
      </c>
      <c r="J15" s="120"/>
      <c r="K15" s="120"/>
      <c r="L15" s="120"/>
      <c r="M15" s="120"/>
      <c r="N15" s="120"/>
      <c r="O15" s="121" t="s">
        <v>54</v>
      </c>
    </row>
    <row r="16" ht="14.25" customHeight="1">
      <c r="A16" s="117" t="s">
        <v>24</v>
      </c>
      <c r="B16" s="118" t="s">
        <v>1446</v>
      </c>
      <c r="C16" s="118" t="s">
        <v>559</v>
      </c>
      <c r="D16" s="118" t="s">
        <v>3060</v>
      </c>
      <c r="E16" s="117"/>
      <c r="F16" s="150">
        <v>2.0</v>
      </c>
      <c r="G16" s="117"/>
      <c r="H16" s="118" t="s">
        <v>21</v>
      </c>
      <c r="I16" s="137" t="s">
        <v>992</v>
      </c>
      <c r="J16" s="120"/>
      <c r="K16" s="120"/>
      <c r="L16" s="120"/>
      <c r="M16" s="120"/>
      <c r="N16" s="120"/>
      <c r="O16" s="121" t="s">
        <v>54</v>
      </c>
    </row>
    <row r="17" ht="14.25" customHeight="1">
      <c r="A17" s="117" t="s">
        <v>25</v>
      </c>
      <c r="B17" s="118" t="s">
        <v>291</v>
      </c>
      <c r="C17" s="118" t="s">
        <v>3061</v>
      </c>
      <c r="D17" s="118" t="s">
        <v>2071</v>
      </c>
      <c r="E17" s="117"/>
      <c r="F17" s="150">
        <v>2.75</v>
      </c>
      <c r="G17" s="117"/>
      <c r="H17" s="118" t="s">
        <v>21</v>
      </c>
      <c r="I17" s="137" t="s">
        <v>1977</v>
      </c>
      <c r="J17" s="120"/>
      <c r="K17" s="120"/>
      <c r="L17" s="120"/>
      <c r="M17" s="120"/>
      <c r="N17" s="120"/>
      <c r="O17" s="121" t="s">
        <v>54</v>
      </c>
    </row>
    <row r="18" ht="14.25" customHeight="1">
      <c r="A18" s="117" t="s">
        <v>26</v>
      </c>
      <c r="B18" s="118" t="s">
        <v>1554</v>
      </c>
      <c r="C18" s="118" t="s">
        <v>948</v>
      </c>
      <c r="D18" s="118" t="s">
        <v>1492</v>
      </c>
      <c r="E18" s="117"/>
      <c r="F18" s="150">
        <v>2.0</v>
      </c>
      <c r="G18" s="117"/>
      <c r="H18" s="118" t="s">
        <v>21</v>
      </c>
      <c r="I18" s="137" t="s">
        <v>992</v>
      </c>
      <c r="J18" s="120"/>
      <c r="K18" s="120"/>
      <c r="L18" s="120"/>
      <c r="M18" s="120"/>
      <c r="N18" s="120"/>
      <c r="O18" s="121" t="s">
        <v>54</v>
      </c>
    </row>
    <row r="19" ht="14.25" customHeight="1">
      <c r="A19" s="117" t="s">
        <v>27</v>
      </c>
      <c r="B19" s="118" t="s">
        <v>516</v>
      </c>
      <c r="C19" s="118" t="s">
        <v>3062</v>
      </c>
      <c r="D19" s="118" t="s">
        <v>2405</v>
      </c>
      <c r="E19" s="117"/>
      <c r="F19" s="150">
        <v>1.0</v>
      </c>
      <c r="G19" s="117"/>
      <c r="H19" s="118" t="s">
        <v>21</v>
      </c>
      <c r="I19" s="137"/>
      <c r="J19" s="120"/>
      <c r="K19" s="121" t="s">
        <v>172</v>
      </c>
      <c r="L19" s="120"/>
      <c r="M19" s="120"/>
      <c r="N19" s="120"/>
      <c r="O19" s="121" t="s">
        <v>54</v>
      </c>
    </row>
    <row r="20" ht="14.25" customHeight="1">
      <c r="A20" s="117" t="s">
        <v>28</v>
      </c>
      <c r="B20" s="118" t="s">
        <v>3063</v>
      </c>
      <c r="C20" s="118" t="s">
        <v>419</v>
      </c>
      <c r="D20" s="118" t="s">
        <v>1484</v>
      </c>
      <c r="E20" s="117"/>
      <c r="F20" s="150">
        <v>1.0</v>
      </c>
      <c r="G20" s="117"/>
      <c r="H20" s="118" t="s">
        <v>21</v>
      </c>
      <c r="I20" s="137"/>
      <c r="J20" s="120"/>
      <c r="K20" s="121" t="s">
        <v>549</v>
      </c>
      <c r="L20" s="120"/>
      <c r="M20" s="120"/>
      <c r="N20" s="120"/>
      <c r="O20" s="121" t="s">
        <v>54</v>
      </c>
    </row>
    <row r="21" ht="14.25" customHeight="1">
      <c r="A21" s="122" t="s">
        <v>29</v>
      </c>
      <c r="B21" s="123" t="s">
        <v>1103</v>
      </c>
      <c r="C21" s="123" t="s">
        <v>3064</v>
      </c>
      <c r="D21" s="123" t="s">
        <v>3065</v>
      </c>
      <c r="E21" s="124"/>
      <c r="F21" s="151">
        <v>3.0</v>
      </c>
      <c r="G21" s="124"/>
      <c r="H21" s="123" t="s">
        <v>21</v>
      </c>
      <c r="I21" s="121" t="s">
        <v>992</v>
      </c>
      <c r="J21" s="120"/>
      <c r="K21" s="120"/>
      <c r="L21" s="120"/>
      <c r="M21" s="120"/>
      <c r="N21" s="120"/>
      <c r="O21" s="121" t="s">
        <v>54</v>
      </c>
    </row>
    <row r="22" ht="14.25" customHeight="1">
      <c r="A22" s="122" t="s">
        <v>30</v>
      </c>
      <c r="B22" s="123" t="s">
        <v>3066</v>
      </c>
      <c r="C22" s="124"/>
      <c r="D22" s="123" t="s">
        <v>3067</v>
      </c>
      <c r="E22" s="124"/>
      <c r="F22" s="151">
        <v>1.0</v>
      </c>
      <c r="G22" s="124"/>
      <c r="H22" s="123" t="s">
        <v>21</v>
      </c>
      <c r="I22" s="121"/>
      <c r="J22" s="120"/>
      <c r="K22" s="120"/>
      <c r="L22" s="120"/>
      <c r="M22" s="121" t="s">
        <v>1083</v>
      </c>
      <c r="N22" s="120"/>
      <c r="O22" s="121" t="s">
        <v>54</v>
      </c>
    </row>
    <row r="23" ht="14.25" customHeight="1">
      <c r="B23" s="125" t="s">
        <v>1058</v>
      </c>
      <c r="C23" s="125" t="s">
        <v>84</v>
      </c>
      <c r="D23" s="125" t="s">
        <v>236</v>
      </c>
      <c r="F23" s="152">
        <v>2.0</v>
      </c>
      <c r="H23" s="125" t="s">
        <v>23</v>
      </c>
      <c r="I23" s="125" t="s">
        <v>179</v>
      </c>
      <c r="O23" s="125" t="s">
        <v>54</v>
      </c>
    </row>
    <row r="24" ht="14.25" customHeight="1">
      <c r="B24" s="125" t="s">
        <v>3068</v>
      </c>
      <c r="C24" s="125" t="s">
        <v>2046</v>
      </c>
      <c r="D24" s="125" t="s">
        <v>3069</v>
      </c>
      <c r="F24" s="152">
        <v>2.0</v>
      </c>
      <c r="H24" s="125" t="s">
        <v>23</v>
      </c>
      <c r="I24" s="125" t="s">
        <v>179</v>
      </c>
      <c r="O24" s="125" t="s">
        <v>54</v>
      </c>
    </row>
    <row r="25" ht="14.25" customHeight="1">
      <c r="B25" s="125" t="s">
        <v>516</v>
      </c>
      <c r="C25" s="125" t="s">
        <v>3070</v>
      </c>
      <c r="D25" s="125" t="s">
        <v>3069</v>
      </c>
      <c r="F25" s="152">
        <v>2.0</v>
      </c>
      <c r="H25" s="125" t="s">
        <v>23</v>
      </c>
      <c r="I25" s="125" t="s">
        <v>179</v>
      </c>
      <c r="O25" s="125" t="s">
        <v>54</v>
      </c>
    </row>
    <row r="26" ht="14.25" customHeight="1">
      <c r="A26" s="126">
        <f>-A29</f>
        <v>0</v>
      </c>
      <c r="B26" s="125" t="s">
        <v>3071</v>
      </c>
      <c r="C26" s="125" t="s">
        <v>81</v>
      </c>
      <c r="D26" s="125" t="s">
        <v>1555</v>
      </c>
      <c r="F26" s="152">
        <v>2.7</v>
      </c>
      <c r="H26" s="125" t="s">
        <v>23</v>
      </c>
      <c r="I26" s="125" t="s">
        <v>179</v>
      </c>
      <c r="O26" s="125" t="s">
        <v>54</v>
      </c>
    </row>
    <row r="27" ht="14.25" customHeight="1">
      <c r="B27" s="125" t="s">
        <v>3072</v>
      </c>
      <c r="C27" s="125" t="s">
        <v>89</v>
      </c>
      <c r="D27" s="125" t="s">
        <v>2650</v>
      </c>
      <c r="F27" s="152">
        <v>2.0</v>
      </c>
      <c r="H27" s="125" t="s">
        <v>23</v>
      </c>
      <c r="I27" s="125" t="s">
        <v>179</v>
      </c>
      <c r="O27" s="125" t="s">
        <v>54</v>
      </c>
    </row>
    <row r="28" ht="14.25" customHeight="1">
      <c r="B28" s="125" t="s">
        <v>3073</v>
      </c>
      <c r="C28" s="125" t="s">
        <v>3074</v>
      </c>
      <c r="D28" s="125" t="s">
        <v>3075</v>
      </c>
      <c r="F28" s="152">
        <v>10.0</v>
      </c>
      <c r="H28" s="125" t="s">
        <v>22</v>
      </c>
      <c r="I28" s="125" t="s">
        <v>992</v>
      </c>
      <c r="O28" s="125" t="s">
        <v>54</v>
      </c>
    </row>
    <row r="29" ht="14.25" customHeight="1">
      <c r="B29" s="125" t="s">
        <v>1525</v>
      </c>
      <c r="C29" s="125" t="s">
        <v>1659</v>
      </c>
      <c r="D29" s="125" t="s">
        <v>1660</v>
      </c>
      <c r="F29" s="152">
        <v>2.0</v>
      </c>
      <c r="H29" s="125" t="s">
        <v>22</v>
      </c>
      <c r="K29" s="125" t="s">
        <v>155</v>
      </c>
      <c r="O29" s="125" t="s">
        <v>54</v>
      </c>
    </row>
    <row r="30" ht="14.25" customHeight="1">
      <c r="B30" s="125" t="s">
        <v>2256</v>
      </c>
      <c r="C30" s="125" t="s">
        <v>1659</v>
      </c>
      <c r="D30" s="125" t="s">
        <v>1660</v>
      </c>
      <c r="F30" s="152">
        <v>1.0</v>
      </c>
      <c r="H30" s="125" t="s">
        <v>22</v>
      </c>
      <c r="K30" s="125" t="s">
        <v>172</v>
      </c>
      <c r="O30" s="125" t="s">
        <v>54</v>
      </c>
    </row>
    <row r="31" ht="14.25" customHeight="1">
      <c r="B31" s="125" t="s">
        <v>791</v>
      </c>
      <c r="C31" s="125" t="s">
        <v>582</v>
      </c>
      <c r="D31" s="125" t="s">
        <v>1824</v>
      </c>
      <c r="F31" s="152">
        <v>2.0</v>
      </c>
      <c r="H31" s="125" t="s">
        <v>22</v>
      </c>
      <c r="I31" s="125" t="s">
        <v>3076</v>
      </c>
      <c r="O31" s="125" t="s">
        <v>54</v>
      </c>
    </row>
    <row r="32" ht="14.25" customHeight="1">
      <c r="B32" s="125" t="s">
        <v>3077</v>
      </c>
      <c r="C32" s="125" t="s">
        <v>1627</v>
      </c>
      <c r="D32" s="125" t="s">
        <v>3078</v>
      </c>
      <c r="F32" s="152">
        <v>1.0</v>
      </c>
      <c r="H32" s="125" t="s">
        <v>22</v>
      </c>
      <c r="I32" s="125" t="s">
        <v>3076</v>
      </c>
      <c r="O32" s="125" t="s">
        <v>54</v>
      </c>
    </row>
    <row r="33" ht="14.25" customHeight="1">
      <c r="B33" s="125" t="s">
        <v>1159</v>
      </c>
      <c r="C33" s="125" t="s">
        <v>1160</v>
      </c>
      <c r="D33" s="125" t="s">
        <v>555</v>
      </c>
      <c r="F33" s="152">
        <v>1.6</v>
      </c>
      <c r="H33" s="125" t="s">
        <v>22</v>
      </c>
      <c r="K33" s="125" t="s">
        <v>155</v>
      </c>
      <c r="O33" s="125" t="s">
        <v>54</v>
      </c>
    </row>
    <row r="34" ht="14.25" customHeight="1">
      <c r="B34" s="125" t="s">
        <v>1337</v>
      </c>
      <c r="C34" s="125" t="s">
        <v>554</v>
      </c>
      <c r="D34" s="125" t="s">
        <v>555</v>
      </c>
      <c r="F34" s="152">
        <v>2.0</v>
      </c>
      <c r="H34" s="125" t="s">
        <v>22</v>
      </c>
      <c r="I34" s="125" t="s">
        <v>179</v>
      </c>
      <c r="O34" s="125" t="s">
        <v>54</v>
      </c>
    </row>
    <row r="35" ht="14.25" customHeight="1">
      <c r="B35" s="125" t="s">
        <v>1673</v>
      </c>
      <c r="C35" s="125" t="s">
        <v>864</v>
      </c>
      <c r="D35" s="125" t="s">
        <v>3079</v>
      </c>
      <c r="F35" s="152">
        <v>1.8</v>
      </c>
      <c r="H35" s="125" t="s">
        <v>22</v>
      </c>
      <c r="K35" s="125" t="s">
        <v>155</v>
      </c>
      <c r="O35" s="125" t="s">
        <v>54</v>
      </c>
    </row>
    <row r="36" ht="14.25" customHeight="1">
      <c r="B36" s="125" t="s">
        <v>3080</v>
      </c>
      <c r="C36" s="125" t="s">
        <v>3031</v>
      </c>
      <c r="D36" s="125" t="s">
        <v>3081</v>
      </c>
      <c r="F36" s="152">
        <v>1.2</v>
      </c>
      <c r="H36" s="125" t="s">
        <v>22</v>
      </c>
      <c r="M36" s="125" t="s">
        <v>740</v>
      </c>
      <c r="O36" s="125" t="s">
        <v>74</v>
      </c>
    </row>
    <row r="37" ht="14.25" customHeight="1">
      <c r="B37" s="125" t="s">
        <v>711</v>
      </c>
      <c r="C37" s="125" t="s">
        <v>3082</v>
      </c>
      <c r="D37" s="125" t="s">
        <v>559</v>
      </c>
      <c r="F37" s="152">
        <v>1.2</v>
      </c>
      <c r="H37" s="125" t="s">
        <v>22</v>
      </c>
      <c r="K37" s="125" t="s">
        <v>172</v>
      </c>
      <c r="O37" s="125" t="s">
        <v>54</v>
      </c>
    </row>
    <row r="38" ht="14.25" customHeight="1">
      <c r="B38" s="125" t="s">
        <v>3083</v>
      </c>
      <c r="C38" s="125" t="s">
        <v>1604</v>
      </c>
      <c r="D38" s="125" t="s">
        <v>1605</v>
      </c>
      <c r="F38" s="152">
        <v>2.0</v>
      </c>
      <c r="H38" s="125" t="s">
        <v>22</v>
      </c>
      <c r="I38" s="125" t="s">
        <v>992</v>
      </c>
      <c r="O38" s="125" t="s">
        <v>54</v>
      </c>
    </row>
    <row r="39" ht="14.25" customHeight="1">
      <c r="B39" s="125" t="s">
        <v>2318</v>
      </c>
      <c r="C39" s="125" t="s">
        <v>1635</v>
      </c>
      <c r="D39" s="125" t="s">
        <v>1613</v>
      </c>
      <c r="F39" s="152">
        <v>2.0</v>
      </c>
      <c r="H39" s="125" t="s">
        <v>22</v>
      </c>
      <c r="K39" s="125" t="s">
        <v>155</v>
      </c>
      <c r="O39" s="125" t="s">
        <v>54</v>
      </c>
    </row>
    <row r="40" ht="14.25" customHeight="1">
      <c r="B40" s="125" t="s">
        <v>595</v>
      </c>
      <c r="C40" s="125" t="s">
        <v>1170</v>
      </c>
      <c r="D40" s="125" t="s">
        <v>1189</v>
      </c>
      <c r="F40" s="152">
        <v>1.0</v>
      </c>
      <c r="H40" s="125" t="s">
        <v>22</v>
      </c>
      <c r="I40" s="125" t="s">
        <v>992</v>
      </c>
      <c r="O40" s="125" t="s">
        <v>54</v>
      </c>
    </row>
    <row r="41" ht="14.25" customHeight="1">
      <c r="B41" s="125" t="s">
        <v>3084</v>
      </c>
      <c r="C41" s="125" t="s">
        <v>555</v>
      </c>
      <c r="D41" s="125" t="s">
        <v>1189</v>
      </c>
      <c r="F41" s="152">
        <v>1.0</v>
      </c>
      <c r="H41" s="125" t="s">
        <v>22</v>
      </c>
      <c r="I41" s="125" t="s">
        <v>3076</v>
      </c>
      <c r="O41" s="125" t="s">
        <v>54</v>
      </c>
    </row>
    <row r="42" ht="14.25" customHeight="1">
      <c r="B42" s="125" t="s">
        <v>1663</v>
      </c>
      <c r="C42" s="125" t="s">
        <v>555</v>
      </c>
      <c r="D42" s="125" t="s">
        <v>1189</v>
      </c>
      <c r="E42" s="125" t="s">
        <v>86</v>
      </c>
      <c r="F42" s="152">
        <v>1.0</v>
      </c>
      <c r="H42" s="125" t="s">
        <v>22</v>
      </c>
      <c r="I42" s="125" t="s">
        <v>179</v>
      </c>
      <c r="O42" s="125" t="s">
        <v>54</v>
      </c>
    </row>
    <row r="43" ht="14.25" customHeight="1">
      <c r="B43" s="125" t="s">
        <v>3085</v>
      </c>
      <c r="C43" s="125" t="s">
        <v>1170</v>
      </c>
      <c r="D43" s="125" t="s">
        <v>1189</v>
      </c>
      <c r="F43" s="152">
        <v>1.5</v>
      </c>
      <c r="H43" s="125" t="s">
        <v>22</v>
      </c>
      <c r="K43" s="125" t="s">
        <v>172</v>
      </c>
      <c r="O43" s="125" t="s">
        <v>54</v>
      </c>
    </row>
    <row r="44" ht="14.25" customHeight="1">
      <c r="B44" s="125" t="s">
        <v>2256</v>
      </c>
      <c r="C44" s="125" t="s">
        <v>1618</v>
      </c>
      <c r="D44" s="125" t="s">
        <v>1619</v>
      </c>
      <c r="F44" s="152">
        <v>1.5</v>
      </c>
      <c r="H44" s="125" t="s">
        <v>22</v>
      </c>
      <c r="K44" s="125" t="s">
        <v>155</v>
      </c>
      <c r="O44" s="125" t="s">
        <v>54</v>
      </c>
    </row>
    <row r="45" ht="14.25" customHeight="1">
      <c r="B45" s="125" t="s">
        <v>3086</v>
      </c>
      <c r="C45" s="125" t="s">
        <v>181</v>
      </c>
      <c r="D45" s="125" t="s">
        <v>1197</v>
      </c>
      <c r="F45" s="152">
        <v>3.5</v>
      </c>
      <c r="H45" s="125" t="s">
        <v>22</v>
      </c>
      <c r="K45" s="125" t="s">
        <v>155</v>
      </c>
      <c r="O45" s="125" t="s">
        <v>54</v>
      </c>
    </row>
    <row r="46" ht="14.25" customHeight="1">
      <c r="B46" s="125" t="s">
        <v>3087</v>
      </c>
      <c r="C46" s="125" t="s">
        <v>1181</v>
      </c>
      <c r="D46" s="125" t="s">
        <v>1197</v>
      </c>
      <c r="F46" s="152">
        <v>1.0</v>
      </c>
      <c r="H46" s="125" t="s">
        <v>22</v>
      </c>
      <c r="I46" s="125" t="s">
        <v>179</v>
      </c>
      <c r="O46" s="125" t="s">
        <v>54</v>
      </c>
    </row>
    <row r="47" ht="14.25" customHeight="1">
      <c r="B47" s="125" t="s">
        <v>1442</v>
      </c>
      <c r="C47" s="125" t="s">
        <v>181</v>
      </c>
      <c r="D47" s="125" t="s">
        <v>1197</v>
      </c>
      <c r="F47" s="152">
        <v>2.0</v>
      </c>
      <c r="H47" s="125" t="s">
        <v>22</v>
      </c>
      <c r="I47" s="125" t="s">
        <v>992</v>
      </c>
      <c r="O47" s="125" t="s">
        <v>54</v>
      </c>
    </row>
    <row r="48" ht="14.25" customHeight="1">
      <c r="B48" s="125" t="s">
        <v>3088</v>
      </c>
      <c r="C48" s="125" t="s">
        <v>323</v>
      </c>
      <c r="D48" s="125" t="s">
        <v>1197</v>
      </c>
      <c r="F48" s="152">
        <v>2.0</v>
      </c>
      <c r="H48" s="125" t="s">
        <v>22</v>
      </c>
      <c r="I48" s="125" t="s">
        <v>992</v>
      </c>
      <c r="O48" s="125" t="s">
        <v>54</v>
      </c>
    </row>
    <row r="49" ht="14.25" customHeight="1">
      <c r="B49" s="125" t="s">
        <v>1103</v>
      </c>
      <c r="C49" s="125" t="s">
        <v>117</v>
      </c>
      <c r="D49" s="125" t="s">
        <v>1197</v>
      </c>
      <c r="F49" s="152">
        <v>1.7</v>
      </c>
      <c r="H49" s="125" t="s">
        <v>22</v>
      </c>
      <c r="K49" s="125" t="s">
        <v>155</v>
      </c>
      <c r="O49" s="125" t="s">
        <v>54</v>
      </c>
    </row>
    <row r="50" ht="14.25" customHeight="1">
      <c r="B50" s="125" t="s">
        <v>3089</v>
      </c>
      <c r="C50" s="125" t="s">
        <v>1206</v>
      </c>
      <c r="D50" s="125" t="s">
        <v>1207</v>
      </c>
      <c r="F50" s="152">
        <v>1.5</v>
      </c>
      <c r="H50" s="125" t="s">
        <v>22</v>
      </c>
      <c r="K50" s="125" t="s">
        <v>155</v>
      </c>
      <c r="O50" s="125" t="s">
        <v>54</v>
      </c>
    </row>
    <row r="51" ht="14.25" customHeight="1">
      <c r="B51" s="125" t="s">
        <v>3090</v>
      </c>
      <c r="C51" s="125" t="s">
        <v>3091</v>
      </c>
      <c r="D51" s="125" t="s">
        <v>254</v>
      </c>
      <c r="F51" s="152">
        <v>1.5</v>
      </c>
      <c r="H51" s="125" t="s">
        <v>22</v>
      </c>
      <c r="K51" s="125" t="s">
        <v>155</v>
      </c>
      <c r="O51" s="125" t="s">
        <v>54</v>
      </c>
    </row>
    <row r="52" ht="14.25" customHeight="1">
      <c r="B52" s="125" t="s">
        <v>1829</v>
      </c>
      <c r="C52" s="125" t="s">
        <v>117</v>
      </c>
      <c r="D52" s="125" t="s">
        <v>562</v>
      </c>
      <c r="F52" s="152">
        <v>1.5</v>
      </c>
      <c r="H52" s="125" t="s">
        <v>22</v>
      </c>
      <c r="K52" s="125" t="s">
        <v>172</v>
      </c>
      <c r="O52" s="125" t="s">
        <v>54</v>
      </c>
    </row>
    <row r="53" ht="14.25" customHeight="1">
      <c r="B53" s="125" t="s">
        <v>2861</v>
      </c>
      <c r="C53" s="125" t="s">
        <v>561</v>
      </c>
      <c r="D53" s="125" t="s">
        <v>562</v>
      </c>
      <c r="F53" s="152">
        <v>1.0</v>
      </c>
      <c r="H53" s="125" t="s">
        <v>22</v>
      </c>
      <c r="I53" s="125" t="s">
        <v>179</v>
      </c>
      <c r="O53" s="125" t="s">
        <v>54</v>
      </c>
    </row>
    <row r="54" ht="14.25" customHeight="1">
      <c r="B54" s="125" t="s">
        <v>1449</v>
      </c>
      <c r="C54" s="125" t="s">
        <v>1326</v>
      </c>
      <c r="D54" s="125" t="s">
        <v>562</v>
      </c>
      <c r="F54" s="152">
        <v>1.0</v>
      </c>
      <c r="H54" s="125" t="s">
        <v>22</v>
      </c>
      <c r="I54" s="125" t="s">
        <v>3076</v>
      </c>
      <c r="O54" s="125" t="s">
        <v>54</v>
      </c>
    </row>
    <row r="55" ht="14.25" customHeight="1">
      <c r="B55" s="125" t="s">
        <v>1079</v>
      </c>
      <c r="C55" s="125" t="s">
        <v>1160</v>
      </c>
      <c r="D55" s="125" t="s">
        <v>1221</v>
      </c>
      <c r="F55" s="152">
        <v>1.0</v>
      </c>
      <c r="H55" s="125" t="s">
        <v>22</v>
      </c>
      <c r="I55" s="125" t="s">
        <v>992</v>
      </c>
      <c r="O55" s="125" t="s">
        <v>54</v>
      </c>
    </row>
    <row r="56" ht="14.25" customHeight="1">
      <c r="B56" s="125" t="s">
        <v>3092</v>
      </c>
      <c r="C56" s="125" t="s">
        <v>3093</v>
      </c>
      <c r="D56" s="125" t="s">
        <v>3094</v>
      </c>
      <c r="F56" s="152">
        <v>2.0</v>
      </c>
      <c r="H56" s="125" t="s">
        <v>22</v>
      </c>
      <c r="I56" s="125" t="s">
        <v>992</v>
      </c>
      <c r="O56" s="125" t="s">
        <v>54</v>
      </c>
    </row>
    <row r="57" ht="14.25" customHeight="1">
      <c r="B57" s="125" t="s">
        <v>3095</v>
      </c>
      <c r="C57" s="125" t="s">
        <v>3096</v>
      </c>
      <c r="D57" s="125" t="s">
        <v>1229</v>
      </c>
      <c r="F57" s="152">
        <v>1.5</v>
      </c>
      <c r="H57" s="125" t="s">
        <v>22</v>
      </c>
      <c r="K57" s="125" t="s">
        <v>172</v>
      </c>
      <c r="O57" s="125" t="s">
        <v>54</v>
      </c>
    </row>
    <row r="58" ht="14.25" customHeight="1">
      <c r="B58" s="125" t="s">
        <v>469</v>
      </c>
      <c r="C58" s="125" t="s">
        <v>3097</v>
      </c>
      <c r="D58" s="125" t="s">
        <v>565</v>
      </c>
      <c r="F58" s="152">
        <v>2.0</v>
      </c>
      <c r="H58" s="125" t="s">
        <v>22</v>
      </c>
      <c r="M58" s="125" t="s">
        <v>304</v>
      </c>
      <c r="O58" s="125" t="s">
        <v>74</v>
      </c>
    </row>
    <row r="59" ht="14.25" customHeight="1">
      <c r="B59" s="125" t="s">
        <v>3098</v>
      </c>
      <c r="C59" s="125" t="s">
        <v>3099</v>
      </c>
      <c r="D59" s="125" t="s">
        <v>2665</v>
      </c>
      <c r="F59" s="152">
        <v>7.0</v>
      </c>
      <c r="H59" s="125" t="s">
        <v>22</v>
      </c>
      <c r="I59" s="125" t="s">
        <v>992</v>
      </c>
      <c r="O59" s="125" t="s">
        <v>54</v>
      </c>
    </row>
    <row r="60" ht="14.25" customHeight="1">
      <c r="B60" s="125" t="s">
        <v>3100</v>
      </c>
      <c r="C60" s="125" t="s">
        <v>435</v>
      </c>
      <c r="D60" s="125" t="s">
        <v>2665</v>
      </c>
      <c r="F60" s="152">
        <v>4.0</v>
      </c>
      <c r="H60" s="125" t="s">
        <v>22</v>
      </c>
      <c r="I60" s="125" t="s">
        <v>125</v>
      </c>
      <c r="O60" s="125" t="s">
        <v>54</v>
      </c>
    </row>
    <row r="61" ht="14.25" customHeight="1">
      <c r="B61" s="125" t="s">
        <v>3101</v>
      </c>
      <c r="C61" s="125" t="s">
        <v>567</v>
      </c>
      <c r="D61" s="125" t="s">
        <v>302</v>
      </c>
      <c r="F61" s="152">
        <v>2.0</v>
      </c>
      <c r="H61" s="125" t="s">
        <v>22</v>
      </c>
      <c r="I61" s="125" t="s">
        <v>992</v>
      </c>
      <c r="O61" s="125" t="s">
        <v>54</v>
      </c>
    </row>
    <row r="62" ht="14.25" customHeight="1">
      <c r="B62" s="125" t="s">
        <v>169</v>
      </c>
      <c r="C62" s="125" t="s">
        <v>3102</v>
      </c>
      <c r="D62" s="125" t="s">
        <v>1238</v>
      </c>
      <c r="F62" s="152">
        <v>2.0</v>
      </c>
      <c r="H62" s="125" t="s">
        <v>22</v>
      </c>
      <c r="I62" s="125" t="s">
        <v>992</v>
      </c>
      <c r="O62" s="125" t="s">
        <v>54</v>
      </c>
    </row>
    <row r="63" ht="14.25" customHeight="1">
      <c r="B63" s="125" t="s">
        <v>1702</v>
      </c>
      <c r="C63" s="125" t="s">
        <v>3103</v>
      </c>
      <c r="D63" s="125" t="s">
        <v>1695</v>
      </c>
      <c r="E63" s="125" t="s">
        <v>86</v>
      </c>
      <c r="F63" s="152">
        <v>2.0</v>
      </c>
      <c r="H63" s="125" t="s">
        <v>22</v>
      </c>
      <c r="K63" s="125" t="s">
        <v>155</v>
      </c>
      <c r="O63" s="125" t="s">
        <v>54</v>
      </c>
    </row>
    <row r="64" ht="14.25" customHeight="1">
      <c r="B64" s="125" t="s">
        <v>3104</v>
      </c>
      <c r="C64" s="125" t="s">
        <v>1172</v>
      </c>
      <c r="D64" s="125" t="s">
        <v>1241</v>
      </c>
      <c r="F64" s="152">
        <v>3.0</v>
      </c>
      <c r="H64" s="125" t="s">
        <v>22</v>
      </c>
      <c r="K64" s="125" t="s">
        <v>172</v>
      </c>
      <c r="O64" s="125" t="s">
        <v>54</v>
      </c>
    </row>
    <row r="65" ht="14.25" customHeight="1">
      <c r="B65" s="125" t="s">
        <v>3105</v>
      </c>
      <c r="C65" s="125" t="s">
        <v>3106</v>
      </c>
      <c r="D65" s="125" t="s">
        <v>1003</v>
      </c>
      <c r="F65" s="152">
        <v>8.4</v>
      </c>
      <c r="H65" s="125" t="s">
        <v>22</v>
      </c>
      <c r="M65" s="125" t="s">
        <v>304</v>
      </c>
      <c r="O65" s="125" t="s">
        <v>74</v>
      </c>
    </row>
    <row r="66" ht="14.25" customHeight="1">
      <c r="B66" s="125" t="s">
        <v>3107</v>
      </c>
      <c r="C66" s="125" t="s">
        <v>895</v>
      </c>
      <c r="D66" s="125" t="s">
        <v>1003</v>
      </c>
      <c r="F66" s="152">
        <v>2.0</v>
      </c>
      <c r="H66" s="125" t="s">
        <v>22</v>
      </c>
      <c r="M66" s="125" t="s">
        <v>740</v>
      </c>
      <c r="O66" s="125" t="s">
        <v>74</v>
      </c>
    </row>
    <row r="67" ht="14.25" customHeight="1">
      <c r="B67" s="125" t="s">
        <v>816</v>
      </c>
      <c r="C67" s="125" t="s">
        <v>3108</v>
      </c>
      <c r="D67" s="125" t="s">
        <v>588</v>
      </c>
      <c r="F67" s="152">
        <v>2.0</v>
      </c>
      <c r="H67" s="125" t="s">
        <v>22</v>
      </c>
      <c r="I67" s="125" t="s">
        <v>992</v>
      </c>
      <c r="O67" s="125" t="s">
        <v>54</v>
      </c>
    </row>
    <row r="68" ht="14.25" customHeight="1">
      <c r="B68" s="125" t="s">
        <v>2222</v>
      </c>
      <c r="C68" s="125" t="s">
        <v>3108</v>
      </c>
      <c r="D68" s="125" t="s">
        <v>588</v>
      </c>
      <c r="F68" s="152">
        <v>2.0</v>
      </c>
      <c r="H68" s="125" t="s">
        <v>22</v>
      </c>
      <c r="I68" s="125" t="s">
        <v>992</v>
      </c>
      <c r="O68" s="125" t="s">
        <v>54</v>
      </c>
    </row>
    <row r="69" ht="14.25" customHeight="1">
      <c r="B69" s="125" t="s">
        <v>791</v>
      </c>
      <c r="C69" s="125" t="s">
        <v>3109</v>
      </c>
      <c r="D69" s="125" t="s">
        <v>1256</v>
      </c>
      <c r="F69" s="152">
        <v>1.5</v>
      </c>
      <c r="H69" s="125" t="s">
        <v>22</v>
      </c>
      <c r="K69" s="125" t="s">
        <v>172</v>
      </c>
      <c r="O69" s="125" t="s">
        <v>54</v>
      </c>
    </row>
    <row r="70" ht="14.25" customHeight="1">
      <c r="B70" s="125" t="s">
        <v>3110</v>
      </c>
      <c r="C70" s="125" t="s">
        <v>1197</v>
      </c>
      <c r="D70" s="125" t="s">
        <v>1256</v>
      </c>
      <c r="F70" s="152">
        <v>2.0</v>
      </c>
      <c r="H70" s="125" t="s">
        <v>22</v>
      </c>
      <c r="I70" s="125" t="s">
        <v>992</v>
      </c>
      <c r="O70" s="125" t="s">
        <v>54</v>
      </c>
    </row>
    <row r="71" ht="14.25" customHeight="1">
      <c r="B71" s="125" t="s">
        <v>181</v>
      </c>
      <c r="C71" s="125" t="s">
        <v>570</v>
      </c>
      <c r="D71" s="125" t="s">
        <v>2651</v>
      </c>
      <c r="E71" s="125" t="s">
        <v>86</v>
      </c>
      <c r="F71" s="152">
        <v>2.0</v>
      </c>
      <c r="H71" s="125" t="s">
        <v>22</v>
      </c>
      <c r="M71" s="125" t="s">
        <v>304</v>
      </c>
      <c r="O71" s="125" t="s">
        <v>74</v>
      </c>
    </row>
    <row r="72" ht="14.25" customHeight="1">
      <c r="B72" s="125" t="s">
        <v>3111</v>
      </c>
      <c r="C72" s="125" t="s">
        <v>269</v>
      </c>
      <c r="D72" s="125" t="s">
        <v>3112</v>
      </c>
      <c r="F72" s="152">
        <v>2.0</v>
      </c>
      <c r="H72" s="125" t="s">
        <v>22</v>
      </c>
      <c r="M72" s="125" t="s">
        <v>304</v>
      </c>
      <c r="O72" s="125" t="s">
        <v>74</v>
      </c>
    </row>
    <row r="73" ht="14.25" customHeight="1">
      <c r="B73" s="125" t="s">
        <v>1368</v>
      </c>
      <c r="C73" s="125" t="s">
        <v>1349</v>
      </c>
      <c r="D73" s="125" t="s">
        <v>629</v>
      </c>
      <c r="F73" s="152">
        <v>2.0</v>
      </c>
      <c r="H73" s="125" t="s">
        <v>22</v>
      </c>
      <c r="I73" s="125" t="s">
        <v>992</v>
      </c>
      <c r="O73" s="125" t="s">
        <v>54</v>
      </c>
    </row>
    <row r="74" ht="14.25" customHeight="1">
      <c r="B74" s="125" t="s">
        <v>510</v>
      </c>
      <c r="C74" s="125" t="s">
        <v>555</v>
      </c>
      <c r="D74" s="125" t="s">
        <v>3113</v>
      </c>
      <c r="F74" s="152">
        <v>1.5</v>
      </c>
      <c r="H74" s="125" t="s">
        <v>22</v>
      </c>
      <c r="K74" s="125" t="s">
        <v>53</v>
      </c>
      <c r="O74" s="125" t="s">
        <v>54</v>
      </c>
    </row>
    <row r="75" ht="14.25" customHeight="1">
      <c r="B75" s="125" t="s">
        <v>3114</v>
      </c>
      <c r="C75" s="125" t="s">
        <v>1263</v>
      </c>
      <c r="D75" s="125" t="s">
        <v>154</v>
      </c>
      <c r="F75" s="152">
        <v>2.0</v>
      </c>
      <c r="H75" s="125" t="s">
        <v>22</v>
      </c>
      <c r="I75" s="125" t="s">
        <v>992</v>
      </c>
      <c r="O75" s="125" t="s">
        <v>54</v>
      </c>
    </row>
    <row r="76" ht="14.25" customHeight="1">
      <c r="B76" s="125" t="s">
        <v>444</v>
      </c>
      <c r="C76" s="125" t="s">
        <v>95</v>
      </c>
      <c r="D76" s="125" t="s">
        <v>570</v>
      </c>
      <c r="F76" s="152">
        <v>2.0</v>
      </c>
      <c r="H76" s="125" t="s">
        <v>22</v>
      </c>
      <c r="I76" s="125" t="s">
        <v>992</v>
      </c>
      <c r="O76" s="125" t="s">
        <v>54</v>
      </c>
    </row>
    <row r="77" ht="14.25" customHeight="1">
      <c r="B77" s="125" t="s">
        <v>3115</v>
      </c>
      <c r="C77" s="125" t="s">
        <v>3116</v>
      </c>
      <c r="D77" s="125" t="s">
        <v>3117</v>
      </c>
      <c r="F77" s="152">
        <v>2.0</v>
      </c>
      <c r="H77" s="125" t="s">
        <v>22</v>
      </c>
      <c r="I77" s="125" t="s">
        <v>992</v>
      </c>
      <c r="O77" s="125" t="s">
        <v>54</v>
      </c>
    </row>
    <row r="78" ht="14.25" customHeight="1">
      <c r="B78" s="125" t="s">
        <v>110</v>
      </c>
      <c r="C78" s="125" t="s">
        <v>438</v>
      </c>
      <c r="D78" s="125" t="s">
        <v>1178</v>
      </c>
      <c r="F78" s="152">
        <v>1.5</v>
      </c>
      <c r="H78" s="125" t="s">
        <v>22</v>
      </c>
      <c r="K78" s="125" t="s">
        <v>155</v>
      </c>
      <c r="O78" s="125" t="s">
        <v>54</v>
      </c>
    </row>
    <row r="79" ht="14.25" customHeight="1">
      <c r="B79" s="125" t="s">
        <v>1637</v>
      </c>
      <c r="C79" s="125" t="s">
        <v>1635</v>
      </c>
      <c r="D79" s="125" t="s">
        <v>1639</v>
      </c>
      <c r="E79" s="125" t="s">
        <v>86</v>
      </c>
      <c r="F79" s="152">
        <v>2.0</v>
      </c>
      <c r="H79" s="125" t="s">
        <v>22</v>
      </c>
      <c r="M79" s="125" t="s">
        <v>740</v>
      </c>
      <c r="O79" s="125" t="s">
        <v>74</v>
      </c>
    </row>
    <row r="80" ht="14.25" customHeight="1">
      <c r="B80" s="125" t="s">
        <v>3118</v>
      </c>
      <c r="C80" s="125" t="s">
        <v>1635</v>
      </c>
      <c r="D80" s="125" t="s">
        <v>1639</v>
      </c>
      <c r="F80" s="152">
        <v>2.0</v>
      </c>
      <c r="H80" s="125" t="s">
        <v>22</v>
      </c>
      <c r="M80" s="125" t="s">
        <v>304</v>
      </c>
      <c r="O80" s="125" t="s">
        <v>74</v>
      </c>
    </row>
    <row r="81" ht="14.25" customHeight="1">
      <c r="B81" s="125" t="s">
        <v>3119</v>
      </c>
      <c r="C81" s="125" t="s">
        <v>256</v>
      </c>
      <c r="D81" s="125" t="s">
        <v>779</v>
      </c>
      <c r="F81" s="152">
        <v>1.5</v>
      </c>
      <c r="H81" s="125" t="s">
        <v>22</v>
      </c>
      <c r="K81" s="125" t="s">
        <v>155</v>
      </c>
      <c r="O81" s="125" t="s">
        <v>54</v>
      </c>
    </row>
    <row r="82" ht="14.25" customHeight="1">
      <c r="B82" s="125" t="s">
        <v>3120</v>
      </c>
      <c r="C82" s="125" t="s">
        <v>779</v>
      </c>
      <c r="D82" s="125" t="s">
        <v>3121</v>
      </c>
      <c r="F82" s="152">
        <v>1.5</v>
      </c>
      <c r="H82" s="125" t="s">
        <v>22</v>
      </c>
      <c r="K82" s="125" t="s">
        <v>155</v>
      </c>
      <c r="O82" s="125" t="s">
        <v>54</v>
      </c>
    </row>
    <row r="83" ht="14.25" customHeight="1">
      <c r="B83" s="125" t="s">
        <v>3122</v>
      </c>
      <c r="C83" s="125" t="s">
        <v>117</v>
      </c>
      <c r="D83" s="125" t="s">
        <v>3123</v>
      </c>
      <c r="F83" s="152">
        <v>2.0</v>
      </c>
      <c r="H83" s="125" t="s">
        <v>22</v>
      </c>
      <c r="I83" s="125" t="s">
        <v>992</v>
      </c>
      <c r="O83" s="125" t="s">
        <v>54</v>
      </c>
    </row>
    <row r="84" ht="14.25" customHeight="1">
      <c r="B84" s="125" t="s">
        <v>3124</v>
      </c>
      <c r="C84" s="125" t="s">
        <v>117</v>
      </c>
      <c r="D84" s="125" t="s">
        <v>561</v>
      </c>
      <c r="F84" s="152">
        <v>2.0</v>
      </c>
      <c r="H84" s="125" t="s">
        <v>22</v>
      </c>
      <c r="I84" s="125" t="s">
        <v>992</v>
      </c>
      <c r="O84" s="125" t="s">
        <v>54</v>
      </c>
    </row>
    <row r="85" ht="14.25" customHeight="1">
      <c r="B85" s="125" t="s">
        <v>3125</v>
      </c>
      <c r="C85" s="125" t="s">
        <v>1300</v>
      </c>
      <c r="D85" s="125" t="s">
        <v>561</v>
      </c>
      <c r="E85" s="125" t="s">
        <v>86</v>
      </c>
      <c r="F85" s="152">
        <v>2.0</v>
      </c>
      <c r="H85" s="125" t="s">
        <v>22</v>
      </c>
      <c r="I85" s="125" t="s">
        <v>992</v>
      </c>
      <c r="O85" s="125" t="s">
        <v>54</v>
      </c>
    </row>
    <row r="86" ht="14.25" customHeight="1">
      <c r="B86" s="125" t="s">
        <v>1670</v>
      </c>
      <c r="C86" s="125" t="s">
        <v>1300</v>
      </c>
      <c r="D86" s="125" t="s">
        <v>561</v>
      </c>
      <c r="F86" s="152">
        <v>2.0</v>
      </c>
      <c r="H86" s="125" t="s">
        <v>22</v>
      </c>
      <c r="I86" s="125" t="s">
        <v>992</v>
      </c>
      <c r="O86" s="125" t="s">
        <v>54</v>
      </c>
    </row>
    <row r="87" ht="14.25" customHeight="1">
      <c r="B87" s="125" t="s">
        <v>3126</v>
      </c>
      <c r="C87" s="125" t="s">
        <v>3127</v>
      </c>
      <c r="D87" s="125" t="s">
        <v>3128</v>
      </c>
      <c r="F87" s="152">
        <v>2.0</v>
      </c>
      <c r="H87" s="125" t="s">
        <v>22</v>
      </c>
      <c r="I87" s="125" t="s">
        <v>992</v>
      </c>
      <c r="O87" s="125" t="s">
        <v>54</v>
      </c>
    </row>
    <row r="88" ht="14.25" customHeight="1">
      <c r="B88" s="125" t="s">
        <v>3129</v>
      </c>
      <c r="C88" s="125" t="s">
        <v>1181</v>
      </c>
      <c r="D88" s="125" t="s">
        <v>1306</v>
      </c>
      <c r="F88" s="152">
        <v>1.6</v>
      </c>
      <c r="H88" s="125" t="s">
        <v>22</v>
      </c>
      <c r="K88" s="125" t="s">
        <v>155</v>
      </c>
      <c r="O88" s="125" t="s">
        <v>54</v>
      </c>
    </row>
    <row r="89" ht="14.25" customHeight="1">
      <c r="B89" s="125" t="s">
        <v>826</v>
      </c>
      <c r="C89" s="125" t="s">
        <v>1635</v>
      </c>
      <c r="D89" s="125" t="s">
        <v>2160</v>
      </c>
      <c r="F89" s="152">
        <v>2.0</v>
      </c>
      <c r="H89" s="125" t="s">
        <v>22</v>
      </c>
      <c r="I89" s="125" t="s">
        <v>992</v>
      </c>
      <c r="O89" s="125" t="s">
        <v>54</v>
      </c>
    </row>
    <row r="90" ht="14.25" customHeight="1">
      <c r="B90" s="125" t="s">
        <v>2238</v>
      </c>
      <c r="C90" s="125" t="s">
        <v>1277</v>
      </c>
      <c r="D90" s="125" t="s">
        <v>1308</v>
      </c>
      <c r="F90" s="152">
        <v>2.0</v>
      </c>
      <c r="H90" s="125" t="s">
        <v>22</v>
      </c>
      <c r="K90" s="125" t="s">
        <v>155</v>
      </c>
      <c r="O90" s="125" t="s">
        <v>54</v>
      </c>
    </row>
    <row r="91" ht="14.25" customHeight="1">
      <c r="B91" s="125" t="s">
        <v>3130</v>
      </c>
      <c r="C91" s="125" t="s">
        <v>2747</v>
      </c>
      <c r="D91" s="125" t="s">
        <v>95</v>
      </c>
      <c r="F91" s="152">
        <v>2.0</v>
      </c>
      <c r="H91" s="125" t="s">
        <v>22</v>
      </c>
      <c r="I91" s="125" t="s">
        <v>992</v>
      </c>
      <c r="O91" s="125" t="s">
        <v>54</v>
      </c>
    </row>
    <row r="92" ht="14.25" customHeight="1">
      <c r="B92" s="125" t="s">
        <v>2172</v>
      </c>
      <c r="C92" s="125" t="s">
        <v>1981</v>
      </c>
      <c r="D92" s="125" t="s">
        <v>567</v>
      </c>
      <c r="F92" s="152">
        <v>1.5</v>
      </c>
      <c r="H92" s="125" t="s">
        <v>22</v>
      </c>
      <c r="K92" s="125" t="s">
        <v>155</v>
      </c>
      <c r="O92" s="125" t="s">
        <v>54</v>
      </c>
    </row>
    <row r="93" ht="14.25" customHeight="1">
      <c r="B93" s="125" t="s">
        <v>3131</v>
      </c>
      <c r="C93" s="125" t="s">
        <v>582</v>
      </c>
      <c r="D93" s="125" t="s">
        <v>1316</v>
      </c>
      <c r="F93" s="152">
        <v>2.0</v>
      </c>
      <c r="H93" s="125" t="s">
        <v>22</v>
      </c>
      <c r="I93" s="125" t="s">
        <v>992</v>
      </c>
      <c r="O93" s="125" t="s">
        <v>54</v>
      </c>
    </row>
    <row r="94" ht="14.25" customHeight="1">
      <c r="B94" s="125" t="s">
        <v>3132</v>
      </c>
      <c r="C94" s="125" t="s">
        <v>1468</v>
      </c>
      <c r="D94" s="125" t="s">
        <v>219</v>
      </c>
      <c r="F94" s="152">
        <v>2.0</v>
      </c>
      <c r="H94" s="125" t="s">
        <v>22</v>
      </c>
      <c r="K94" s="125" t="s">
        <v>53</v>
      </c>
      <c r="O94" s="125" t="s">
        <v>54</v>
      </c>
    </row>
    <row r="95" ht="14.25" customHeight="1">
      <c r="B95" s="125" t="s">
        <v>1904</v>
      </c>
      <c r="C95" s="125" t="s">
        <v>3133</v>
      </c>
      <c r="D95" s="125" t="s">
        <v>3134</v>
      </c>
      <c r="F95" s="152">
        <v>1.5</v>
      </c>
      <c r="H95" s="125" t="s">
        <v>22</v>
      </c>
      <c r="K95" s="125" t="s">
        <v>155</v>
      </c>
      <c r="O95" s="125" t="s">
        <v>54</v>
      </c>
    </row>
    <row r="96" ht="14.25" customHeight="1">
      <c r="B96" s="125" t="s">
        <v>3135</v>
      </c>
      <c r="C96" s="125" t="s">
        <v>814</v>
      </c>
      <c r="D96" s="125" t="s">
        <v>3136</v>
      </c>
      <c r="F96" s="152">
        <v>1.5</v>
      </c>
      <c r="H96" s="125" t="s">
        <v>22</v>
      </c>
      <c r="K96" s="125" t="s">
        <v>172</v>
      </c>
      <c r="O96" s="125" t="s">
        <v>54</v>
      </c>
    </row>
    <row r="97" ht="14.25" customHeight="1">
      <c r="B97" s="125" t="s">
        <v>3137</v>
      </c>
      <c r="C97" s="125" t="s">
        <v>3138</v>
      </c>
      <c r="D97" s="125" t="s">
        <v>558</v>
      </c>
      <c r="F97" s="152">
        <v>1.5</v>
      </c>
      <c r="H97" s="125" t="s">
        <v>22</v>
      </c>
      <c r="K97" s="125" t="s">
        <v>53</v>
      </c>
      <c r="O97" s="125" t="s">
        <v>54</v>
      </c>
    </row>
    <row r="98" ht="14.25" customHeight="1">
      <c r="B98" s="125" t="s">
        <v>3139</v>
      </c>
      <c r="C98" s="125" t="s">
        <v>3140</v>
      </c>
      <c r="D98" s="125" t="s">
        <v>558</v>
      </c>
      <c r="F98" s="152">
        <v>2.0</v>
      </c>
      <c r="H98" s="125" t="s">
        <v>22</v>
      </c>
      <c r="K98" s="125" t="s">
        <v>155</v>
      </c>
      <c r="O98" s="125" t="s">
        <v>54</v>
      </c>
    </row>
    <row r="99" ht="14.25" customHeight="1">
      <c r="B99" s="125" t="s">
        <v>2904</v>
      </c>
      <c r="C99" s="125" t="s">
        <v>253</v>
      </c>
      <c r="D99" s="125" t="s">
        <v>558</v>
      </c>
      <c r="F99" s="152">
        <v>9.0</v>
      </c>
      <c r="H99" s="125" t="s">
        <v>22</v>
      </c>
      <c r="I99" s="125" t="s">
        <v>992</v>
      </c>
      <c r="O99" s="125" t="s">
        <v>54</v>
      </c>
    </row>
    <row r="100" ht="14.25" customHeight="1">
      <c r="B100" s="125" t="s">
        <v>3141</v>
      </c>
      <c r="C100" s="125" t="s">
        <v>571</v>
      </c>
      <c r="D100" s="125" t="s">
        <v>1330</v>
      </c>
      <c r="F100" s="152">
        <v>2.1</v>
      </c>
      <c r="H100" s="125" t="s">
        <v>22</v>
      </c>
      <c r="K100" s="125" t="s">
        <v>172</v>
      </c>
      <c r="O100" s="125" t="s">
        <v>54</v>
      </c>
    </row>
    <row r="101" ht="14.25" customHeight="1">
      <c r="B101" s="125" t="s">
        <v>2635</v>
      </c>
      <c r="C101" s="125" t="s">
        <v>2665</v>
      </c>
      <c r="D101" s="125" t="s">
        <v>454</v>
      </c>
      <c r="F101" s="152">
        <v>2.0</v>
      </c>
      <c r="H101" s="125" t="s">
        <v>22</v>
      </c>
      <c r="I101" s="125" t="s">
        <v>992</v>
      </c>
      <c r="O101" s="125" t="s">
        <v>54</v>
      </c>
    </row>
    <row r="102" ht="14.25" customHeight="1">
      <c r="B102" s="125" t="s">
        <v>3142</v>
      </c>
      <c r="C102" s="125" t="s">
        <v>3143</v>
      </c>
      <c r="D102" s="125" t="s">
        <v>167</v>
      </c>
      <c r="F102" s="152">
        <v>2.0</v>
      </c>
      <c r="H102" s="125" t="s">
        <v>22</v>
      </c>
      <c r="I102" s="125" t="s">
        <v>992</v>
      </c>
      <c r="O102" s="125" t="s">
        <v>54</v>
      </c>
    </row>
    <row r="103" ht="14.25" customHeight="1">
      <c r="B103" s="125" t="s">
        <v>3144</v>
      </c>
      <c r="C103" s="125" t="s">
        <v>3145</v>
      </c>
      <c r="D103" s="125" t="s">
        <v>3108</v>
      </c>
      <c r="F103" s="152">
        <v>2.0</v>
      </c>
      <c r="H103" s="125" t="s">
        <v>22</v>
      </c>
      <c r="I103" s="125" t="s">
        <v>992</v>
      </c>
      <c r="O103" s="125" t="s">
        <v>54</v>
      </c>
    </row>
    <row r="104" ht="14.25" customHeight="1">
      <c r="B104" s="125" t="s">
        <v>3146</v>
      </c>
      <c r="C104" s="125" t="s">
        <v>3147</v>
      </c>
      <c r="D104" s="125" t="s">
        <v>3148</v>
      </c>
      <c r="F104" s="152">
        <v>2.0</v>
      </c>
      <c r="H104" s="125" t="s">
        <v>22</v>
      </c>
      <c r="I104" s="125" t="s">
        <v>992</v>
      </c>
      <c r="O104" s="125" t="s">
        <v>54</v>
      </c>
    </row>
    <row r="105" ht="14.25" customHeight="1">
      <c r="B105" s="125" t="s">
        <v>3149</v>
      </c>
      <c r="C105" s="125" t="s">
        <v>3150</v>
      </c>
      <c r="D105" s="125" t="s">
        <v>1123</v>
      </c>
      <c r="F105" s="152">
        <v>2.0</v>
      </c>
      <c r="H105" s="125" t="s">
        <v>22</v>
      </c>
      <c r="I105" s="125" t="s">
        <v>992</v>
      </c>
      <c r="O105" s="125" t="s">
        <v>54</v>
      </c>
    </row>
    <row r="106" ht="14.25" customHeight="1">
      <c r="B106" s="125" t="s">
        <v>3151</v>
      </c>
      <c r="C106" s="125" t="s">
        <v>1108</v>
      </c>
      <c r="D106" s="125" t="s">
        <v>1260</v>
      </c>
      <c r="F106" s="152">
        <v>7.3</v>
      </c>
      <c r="H106" s="125" t="s">
        <v>22</v>
      </c>
      <c r="I106" s="125" t="s">
        <v>992</v>
      </c>
      <c r="O106" s="125" t="s">
        <v>54</v>
      </c>
    </row>
    <row r="107" ht="14.25" customHeight="1">
      <c r="B107" s="125" t="s">
        <v>1205</v>
      </c>
      <c r="C107" s="125" t="s">
        <v>596</v>
      </c>
      <c r="D107" s="125" t="s">
        <v>597</v>
      </c>
      <c r="F107" s="152">
        <v>2.0</v>
      </c>
      <c r="H107" s="125" t="s">
        <v>22</v>
      </c>
      <c r="M107" s="125" t="s">
        <v>740</v>
      </c>
      <c r="O107" s="125" t="s">
        <v>74</v>
      </c>
    </row>
    <row r="108" ht="14.25" customHeight="1">
      <c r="B108" s="125" t="s">
        <v>3152</v>
      </c>
      <c r="C108" s="125" t="s">
        <v>1160</v>
      </c>
      <c r="D108" s="125" t="s">
        <v>1336</v>
      </c>
      <c r="F108" s="152">
        <v>1.5</v>
      </c>
      <c r="H108" s="125" t="s">
        <v>22</v>
      </c>
      <c r="K108" s="125" t="s">
        <v>172</v>
      </c>
      <c r="O108" s="125" t="s">
        <v>54</v>
      </c>
    </row>
    <row r="109" ht="14.25" customHeight="1">
      <c r="B109" s="125" t="s">
        <v>3153</v>
      </c>
      <c r="C109" s="125" t="s">
        <v>3154</v>
      </c>
      <c r="D109" s="125" t="s">
        <v>3155</v>
      </c>
      <c r="F109" s="152">
        <v>2.0</v>
      </c>
      <c r="H109" s="125" t="s">
        <v>22</v>
      </c>
      <c r="M109" s="125" t="s">
        <v>740</v>
      </c>
      <c r="O109" s="125" t="s">
        <v>74</v>
      </c>
    </row>
    <row r="110" ht="14.25" customHeight="1">
      <c r="B110" s="125" t="s">
        <v>1690</v>
      </c>
      <c r="C110" s="125" t="s">
        <v>2681</v>
      </c>
      <c r="D110" s="125" t="s">
        <v>3156</v>
      </c>
      <c r="F110" s="152">
        <v>1.5</v>
      </c>
      <c r="H110" s="125" t="s">
        <v>22</v>
      </c>
      <c r="K110" s="125" t="s">
        <v>155</v>
      </c>
      <c r="O110" s="125" t="s">
        <v>54</v>
      </c>
    </row>
    <row r="111" ht="14.25" customHeight="1">
      <c r="B111" s="125" t="s">
        <v>490</v>
      </c>
      <c r="C111" s="125" t="s">
        <v>3157</v>
      </c>
      <c r="D111" s="125" t="s">
        <v>3158</v>
      </c>
      <c r="F111" s="152">
        <v>1.5</v>
      </c>
      <c r="H111" s="125" t="s">
        <v>22</v>
      </c>
      <c r="K111" s="125" t="s">
        <v>155</v>
      </c>
      <c r="O111" s="125" t="s">
        <v>54</v>
      </c>
    </row>
    <row r="112" ht="14.25" customHeight="1">
      <c r="B112" s="125" t="s">
        <v>865</v>
      </c>
      <c r="C112" s="125" t="s">
        <v>1873</v>
      </c>
      <c r="D112" s="125" t="s">
        <v>582</v>
      </c>
      <c r="F112" s="152">
        <v>1.5</v>
      </c>
      <c r="H112" s="125" t="s">
        <v>22</v>
      </c>
      <c r="K112" s="125" t="s">
        <v>155</v>
      </c>
      <c r="O112" s="125" t="s">
        <v>54</v>
      </c>
    </row>
    <row r="113" ht="14.25" customHeight="1">
      <c r="B113" s="125" t="s">
        <v>3159</v>
      </c>
      <c r="C113" s="125" t="s">
        <v>3160</v>
      </c>
      <c r="D113" s="125" t="s">
        <v>3161</v>
      </c>
      <c r="F113" s="152">
        <v>2.0</v>
      </c>
      <c r="H113" s="125" t="s">
        <v>22</v>
      </c>
      <c r="I113" s="125" t="s">
        <v>992</v>
      </c>
      <c r="O113" s="125" t="s">
        <v>54</v>
      </c>
    </row>
    <row r="114" ht="14.25" customHeight="1">
      <c r="B114" s="125" t="s">
        <v>3162</v>
      </c>
      <c r="C114" s="125" t="s">
        <v>3163</v>
      </c>
      <c r="D114" s="125" t="s">
        <v>3164</v>
      </c>
      <c r="F114" s="152">
        <v>2.0</v>
      </c>
      <c r="H114" s="125" t="s">
        <v>22</v>
      </c>
      <c r="K114" s="125" t="s">
        <v>155</v>
      </c>
      <c r="O114" s="125" t="s">
        <v>54</v>
      </c>
    </row>
    <row r="115" ht="14.25" customHeight="1">
      <c r="B115" s="125" t="s">
        <v>3165</v>
      </c>
      <c r="C115" s="125" t="s">
        <v>1181</v>
      </c>
      <c r="D115" s="125" t="s">
        <v>1351</v>
      </c>
      <c r="F115" s="152">
        <v>1.75</v>
      </c>
      <c r="H115" s="125" t="s">
        <v>22</v>
      </c>
      <c r="K115" s="125" t="s">
        <v>155</v>
      </c>
      <c r="O115" s="125" t="s">
        <v>54</v>
      </c>
    </row>
    <row r="116" ht="14.25" customHeight="1">
      <c r="B116" s="125" t="s">
        <v>240</v>
      </c>
      <c r="C116" s="125" t="s">
        <v>1181</v>
      </c>
      <c r="D116" s="125" t="s">
        <v>1351</v>
      </c>
      <c r="F116" s="152">
        <v>3.0</v>
      </c>
      <c r="H116" s="125" t="s">
        <v>22</v>
      </c>
      <c r="I116" s="125" t="s">
        <v>992</v>
      </c>
      <c r="O116" s="125" t="s">
        <v>54</v>
      </c>
    </row>
    <row r="117" ht="14.25" customHeight="1">
      <c r="B117" s="125" t="s">
        <v>286</v>
      </c>
      <c r="C117" s="125" t="s">
        <v>3166</v>
      </c>
      <c r="D117" s="125" t="s">
        <v>1668</v>
      </c>
      <c r="F117" s="152">
        <v>2.0</v>
      </c>
      <c r="H117" s="125" t="s">
        <v>22</v>
      </c>
      <c r="I117" s="125" t="s">
        <v>179</v>
      </c>
      <c r="O117" s="125" t="s">
        <v>54</v>
      </c>
    </row>
    <row r="118" ht="14.25" customHeight="1">
      <c r="B118" s="125" t="s">
        <v>3167</v>
      </c>
      <c r="C118" s="125" t="s">
        <v>523</v>
      </c>
      <c r="D118" s="125" t="s">
        <v>1668</v>
      </c>
      <c r="F118" s="152">
        <v>2.0</v>
      </c>
      <c r="H118" s="125" t="s">
        <v>22</v>
      </c>
      <c r="I118" s="125" t="s">
        <v>3076</v>
      </c>
      <c r="O118" s="125" t="s">
        <v>54</v>
      </c>
    </row>
    <row r="119" ht="14.25" customHeight="1">
      <c r="B119" s="125" t="s">
        <v>3168</v>
      </c>
      <c r="C119" s="125" t="s">
        <v>3169</v>
      </c>
      <c r="D119" s="125" t="s">
        <v>3170</v>
      </c>
      <c r="F119" s="152">
        <v>2.0</v>
      </c>
      <c r="H119" s="125" t="s">
        <v>22</v>
      </c>
      <c r="I119" s="125" t="s">
        <v>3076</v>
      </c>
      <c r="O119" s="125" t="s">
        <v>54</v>
      </c>
    </row>
    <row r="120" ht="14.25" customHeight="1">
      <c r="B120" s="125" t="s">
        <v>3171</v>
      </c>
      <c r="C120" s="125" t="s">
        <v>3172</v>
      </c>
      <c r="D120" s="125" t="s">
        <v>3173</v>
      </c>
      <c r="F120" s="152">
        <v>3.0</v>
      </c>
      <c r="H120" s="125" t="s">
        <v>22</v>
      </c>
      <c r="I120" s="125" t="s">
        <v>992</v>
      </c>
      <c r="O120" s="125" t="s">
        <v>54</v>
      </c>
    </row>
    <row r="121" ht="14.25" customHeight="1">
      <c r="B121" s="125" t="s">
        <v>791</v>
      </c>
      <c r="C121" s="125" t="s">
        <v>3174</v>
      </c>
      <c r="D121" s="125" t="s">
        <v>576</v>
      </c>
      <c r="F121" s="152">
        <v>2.7</v>
      </c>
      <c r="H121" s="125" t="s">
        <v>22</v>
      </c>
      <c r="I121" s="125" t="s">
        <v>179</v>
      </c>
      <c r="O121" s="125" t="s">
        <v>54</v>
      </c>
    </row>
    <row r="122" ht="14.25" customHeight="1">
      <c r="B122" s="125" t="s">
        <v>3175</v>
      </c>
      <c r="C122" s="125" t="s">
        <v>1260</v>
      </c>
      <c r="D122" s="125" t="s">
        <v>583</v>
      </c>
      <c r="F122" s="152">
        <v>1.8</v>
      </c>
      <c r="H122" s="125" t="s">
        <v>22</v>
      </c>
      <c r="K122" s="125" t="s">
        <v>172</v>
      </c>
      <c r="O122" s="125" t="s">
        <v>54</v>
      </c>
    </row>
    <row r="123" ht="14.25" customHeight="1">
      <c r="B123" s="125" t="s">
        <v>2238</v>
      </c>
      <c r="C123" s="125" t="s">
        <v>3176</v>
      </c>
      <c r="D123" s="125" t="s">
        <v>3177</v>
      </c>
      <c r="F123" s="152">
        <v>2.0</v>
      </c>
      <c r="H123" s="125" t="s">
        <v>22</v>
      </c>
      <c r="I123" s="125" t="s">
        <v>3076</v>
      </c>
      <c r="O123" s="125" t="s">
        <v>54</v>
      </c>
    </row>
    <row r="124" ht="14.25" customHeight="1">
      <c r="B124" s="125" t="s">
        <v>165</v>
      </c>
      <c r="C124" s="125" t="s">
        <v>3178</v>
      </c>
      <c r="D124" s="125" t="s">
        <v>3177</v>
      </c>
      <c r="F124" s="152">
        <v>2.0</v>
      </c>
      <c r="H124" s="125" t="s">
        <v>22</v>
      </c>
      <c r="I124" s="125" t="s">
        <v>3076</v>
      </c>
      <c r="O124" s="125" t="s">
        <v>54</v>
      </c>
    </row>
    <row r="125" ht="14.25" customHeight="1">
      <c r="B125" s="125" t="s">
        <v>3179</v>
      </c>
      <c r="C125" s="125" t="s">
        <v>582</v>
      </c>
      <c r="D125" s="125" t="s">
        <v>181</v>
      </c>
      <c r="F125" s="152">
        <v>1.35</v>
      </c>
      <c r="H125" s="125" t="s">
        <v>22</v>
      </c>
      <c r="K125" s="125" t="s">
        <v>155</v>
      </c>
      <c r="O125" s="125" t="s">
        <v>54</v>
      </c>
    </row>
    <row r="126" ht="14.25" customHeight="1">
      <c r="B126" s="125" t="s">
        <v>3180</v>
      </c>
      <c r="C126" s="125" t="s">
        <v>154</v>
      </c>
      <c r="D126" s="125" t="s">
        <v>1181</v>
      </c>
      <c r="F126" s="152">
        <v>2.0</v>
      </c>
      <c r="H126" s="125" t="s">
        <v>22</v>
      </c>
      <c r="I126" s="125" t="s">
        <v>3076</v>
      </c>
      <c r="O126" s="125" t="s">
        <v>54</v>
      </c>
    </row>
    <row r="127" ht="14.25" customHeight="1">
      <c r="B127" s="125" t="s">
        <v>3181</v>
      </c>
      <c r="C127" s="125" t="s">
        <v>1292</v>
      </c>
      <c r="D127" s="125" t="s">
        <v>1181</v>
      </c>
      <c r="F127" s="152">
        <v>2.0</v>
      </c>
      <c r="H127" s="125" t="s">
        <v>22</v>
      </c>
      <c r="I127" s="125" t="s">
        <v>3076</v>
      </c>
      <c r="O127" s="125" t="s">
        <v>54</v>
      </c>
    </row>
    <row r="128" ht="14.25" customHeight="1">
      <c r="B128" s="125" t="s">
        <v>3180</v>
      </c>
      <c r="C128" s="125" t="s">
        <v>154</v>
      </c>
      <c r="D128" s="125" t="s">
        <v>1181</v>
      </c>
      <c r="F128" s="152">
        <v>1.5</v>
      </c>
      <c r="H128" s="125" t="s">
        <v>22</v>
      </c>
      <c r="K128" s="125" t="s">
        <v>53</v>
      </c>
      <c r="O128" s="125" t="s">
        <v>54</v>
      </c>
    </row>
    <row r="129" ht="14.25" customHeight="1">
      <c r="B129" s="125" t="s">
        <v>2543</v>
      </c>
      <c r="C129" s="125" t="s">
        <v>1336</v>
      </c>
      <c r="D129" s="125" t="s">
        <v>1181</v>
      </c>
      <c r="F129" s="152">
        <v>1.5</v>
      </c>
      <c r="H129" s="125" t="s">
        <v>22</v>
      </c>
      <c r="K129" s="125" t="s">
        <v>172</v>
      </c>
      <c r="O129" s="125" t="s">
        <v>54</v>
      </c>
    </row>
    <row r="130" ht="14.25" customHeight="1">
      <c r="B130" s="125" t="s">
        <v>1446</v>
      </c>
      <c r="C130" s="125" t="s">
        <v>1332</v>
      </c>
      <c r="D130" s="125" t="s">
        <v>1181</v>
      </c>
      <c r="F130" s="152">
        <v>1.3</v>
      </c>
      <c r="H130" s="125" t="s">
        <v>22</v>
      </c>
      <c r="K130" s="125" t="s">
        <v>155</v>
      </c>
      <c r="O130" s="125" t="s">
        <v>54</v>
      </c>
    </row>
    <row r="131" ht="14.25" customHeight="1">
      <c r="B131" s="125" t="s">
        <v>3182</v>
      </c>
      <c r="C131" s="125" t="s">
        <v>3183</v>
      </c>
      <c r="D131" s="125" t="s">
        <v>708</v>
      </c>
      <c r="F131" s="152">
        <v>2.1</v>
      </c>
      <c r="H131" s="125" t="s">
        <v>22</v>
      </c>
      <c r="I131" s="125" t="s">
        <v>992</v>
      </c>
      <c r="O131" s="125" t="s">
        <v>54</v>
      </c>
    </row>
    <row r="132" ht="14.25" customHeight="1">
      <c r="B132" s="125" t="s">
        <v>3184</v>
      </c>
      <c r="C132" s="125" t="s">
        <v>2665</v>
      </c>
      <c r="D132" s="125" t="s">
        <v>3185</v>
      </c>
      <c r="F132" s="152">
        <v>1.7</v>
      </c>
      <c r="H132" s="125" t="s">
        <v>22</v>
      </c>
      <c r="K132" s="125" t="s">
        <v>53</v>
      </c>
      <c r="O132" s="125" t="s">
        <v>54</v>
      </c>
    </row>
    <row r="133" ht="14.25" customHeight="1">
      <c r="B133" s="125" t="s">
        <v>1673</v>
      </c>
      <c r="C133" s="125" t="s">
        <v>1197</v>
      </c>
      <c r="D133" s="125" t="s">
        <v>2707</v>
      </c>
      <c r="F133" s="152">
        <v>2.0</v>
      </c>
      <c r="H133" s="125" t="s">
        <v>22</v>
      </c>
      <c r="I133" s="125" t="s">
        <v>992</v>
      </c>
      <c r="O133" s="125" t="s">
        <v>54</v>
      </c>
    </row>
    <row r="134" ht="14.25" customHeight="1">
      <c r="B134" s="125" t="s">
        <v>2427</v>
      </c>
      <c r="C134" s="125" t="s">
        <v>1369</v>
      </c>
      <c r="D134" s="125" t="s">
        <v>1237</v>
      </c>
      <c r="F134" s="152">
        <v>2.0</v>
      </c>
      <c r="H134" s="125" t="s">
        <v>22</v>
      </c>
      <c r="I134" s="125" t="s">
        <v>3076</v>
      </c>
      <c r="O134" s="125" t="s">
        <v>54</v>
      </c>
    </row>
    <row r="135" ht="14.25" customHeight="1">
      <c r="B135" s="125" t="s">
        <v>919</v>
      </c>
      <c r="C135" s="125" t="s">
        <v>641</v>
      </c>
      <c r="D135" s="125" t="s">
        <v>1281</v>
      </c>
      <c r="F135" s="152">
        <v>2.0</v>
      </c>
      <c r="H135" s="125" t="s">
        <v>22</v>
      </c>
      <c r="I135" s="125" t="s">
        <v>3076</v>
      </c>
      <c r="O135" s="125" t="s">
        <v>54</v>
      </c>
    </row>
    <row r="136" ht="14.25" customHeight="1">
      <c r="B136" s="125" t="s">
        <v>420</v>
      </c>
      <c r="C136" s="125" t="s">
        <v>3186</v>
      </c>
      <c r="D136" s="125" t="s">
        <v>2709</v>
      </c>
      <c r="F136" s="152">
        <v>1.7</v>
      </c>
      <c r="H136" s="125" t="s">
        <v>22</v>
      </c>
      <c r="K136" s="125" t="s">
        <v>172</v>
      </c>
      <c r="O136" s="125" t="s">
        <v>54</v>
      </c>
    </row>
    <row r="137" ht="14.25" customHeight="1">
      <c r="B137" s="125" t="s">
        <v>720</v>
      </c>
      <c r="C137" s="125" t="s">
        <v>558</v>
      </c>
      <c r="D137" s="125" t="s">
        <v>946</v>
      </c>
      <c r="F137" s="152">
        <v>2.0</v>
      </c>
      <c r="H137" s="125" t="s">
        <v>22</v>
      </c>
      <c r="K137" s="125" t="s">
        <v>172</v>
      </c>
      <c r="O137" s="125" t="s">
        <v>54</v>
      </c>
    </row>
    <row r="138" ht="14.25" customHeight="1">
      <c r="B138" s="125" t="s">
        <v>1217</v>
      </c>
      <c r="C138" s="125" t="s">
        <v>3187</v>
      </c>
      <c r="D138" s="125" t="s">
        <v>824</v>
      </c>
      <c r="F138" s="152">
        <v>2.0</v>
      </c>
      <c r="H138" s="125" t="s">
        <v>22</v>
      </c>
      <c r="I138" s="125" t="s">
        <v>3076</v>
      </c>
      <c r="O138" s="125" t="s">
        <v>54</v>
      </c>
    </row>
    <row r="139" ht="14.25" customHeight="1">
      <c r="B139" s="125" t="s">
        <v>3188</v>
      </c>
      <c r="C139" s="125" t="s">
        <v>567</v>
      </c>
      <c r="D139" s="125" t="s">
        <v>3189</v>
      </c>
      <c r="F139" s="152">
        <v>2.0</v>
      </c>
      <c r="H139" s="125" t="s">
        <v>22</v>
      </c>
      <c r="I139" s="125" t="s">
        <v>992</v>
      </c>
      <c r="O139" s="125" t="s">
        <v>54</v>
      </c>
    </row>
    <row r="140" ht="14.25" customHeight="1">
      <c r="B140" s="125" t="s">
        <v>316</v>
      </c>
      <c r="C140" s="125" t="s">
        <v>3190</v>
      </c>
      <c r="D140" s="125" t="s">
        <v>117</v>
      </c>
      <c r="F140" s="152">
        <v>2.0</v>
      </c>
      <c r="H140" s="125" t="s">
        <v>22</v>
      </c>
      <c r="K140" s="125" t="s">
        <v>155</v>
      </c>
      <c r="O140" s="125" t="s">
        <v>74</v>
      </c>
    </row>
    <row r="141" ht="14.25" customHeight="1">
      <c r="B141" s="125" t="s">
        <v>3191</v>
      </c>
      <c r="C141" s="125" t="s">
        <v>1953</v>
      </c>
      <c r="D141" s="125" t="s">
        <v>2762</v>
      </c>
      <c r="F141" s="152">
        <v>1.0</v>
      </c>
      <c r="H141" s="125" t="s">
        <v>24</v>
      </c>
      <c r="I141" s="125" t="s">
        <v>179</v>
      </c>
      <c r="O141" s="125" t="s">
        <v>54</v>
      </c>
    </row>
    <row r="142" ht="14.25" customHeight="1">
      <c r="B142" s="125" t="s">
        <v>1268</v>
      </c>
      <c r="C142" s="125" t="s">
        <v>3192</v>
      </c>
      <c r="D142" s="125" t="s">
        <v>1662</v>
      </c>
      <c r="F142" s="152">
        <v>1.0</v>
      </c>
      <c r="H142" s="125" t="s">
        <v>24</v>
      </c>
      <c r="I142" s="125" t="s">
        <v>179</v>
      </c>
      <c r="O142" s="125" t="s">
        <v>54</v>
      </c>
    </row>
    <row r="143" ht="14.25" customHeight="1">
      <c r="B143" s="125" t="s">
        <v>748</v>
      </c>
      <c r="C143" s="125" t="s">
        <v>3193</v>
      </c>
      <c r="D143" s="125" t="s">
        <v>3194</v>
      </c>
      <c r="E143" s="125" t="s">
        <v>86</v>
      </c>
      <c r="F143" s="152">
        <v>1.0</v>
      </c>
      <c r="H143" s="125" t="s">
        <v>24</v>
      </c>
      <c r="I143" s="125" t="s">
        <v>179</v>
      </c>
      <c r="O143" s="125" t="s">
        <v>54</v>
      </c>
    </row>
    <row r="144" ht="14.25" customHeight="1">
      <c r="B144" s="125" t="s">
        <v>3195</v>
      </c>
      <c r="C144" s="125" t="s">
        <v>3196</v>
      </c>
      <c r="D144" s="125" t="s">
        <v>3194</v>
      </c>
      <c r="F144" s="152">
        <v>7.0</v>
      </c>
      <c r="H144" s="125" t="s">
        <v>24</v>
      </c>
      <c r="I144" s="125" t="s">
        <v>179</v>
      </c>
      <c r="O144" s="125" t="s">
        <v>54</v>
      </c>
    </row>
    <row r="145" ht="14.25" customHeight="1">
      <c r="B145" s="125" t="s">
        <v>233</v>
      </c>
      <c r="C145" s="125" t="s">
        <v>3196</v>
      </c>
      <c r="D145" s="125" t="s">
        <v>3194</v>
      </c>
      <c r="F145" s="152">
        <v>2.5</v>
      </c>
      <c r="H145" s="125" t="s">
        <v>24</v>
      </c>
      <c r="I145" s="125" t="s">
        <v>179</v>
      </c>
      <c r="O145" s="125" t="s">
        <v>54</v>
      </c>
    </row>
    <row r="146" ht="14.25" customHeight="1">
      <c r="B146" s="125" t="s">
        <v>2777</v>
      </c>
      <c r="C146" s="125" t="s">
        <v>3197</v>
      </c>
      <c r="D146" s="125" t="s">
        <v>248</v>
      </c>
      <c r="F146" s="152">
        <v>1.0</v>
      </c>
      <c r="H146" s="125" t="s">
        <v>24</v>
      </c>
      <c r="I146" s="125" t="s">
        <v>1102</v>
      </c>
      <c r="O146" s="125" t="s">
        <v>54</v>
      </c>
    </row>
    <row r="147" ht="14.25" customHeight="1">
      <c r="B147" s="125" t="s">
        <v>3198</v>
      </c>
      <c r="C147" s="125" t="s">
        <v>864</v>
      </c>
      <c r="D147" s="125" t="s">
        <v>2719</v>
      </c>
      <c r="F147" s="152">
        <v>1.0</v>
      </c>
      <c r="H147" s="125" t="s">
        <v>24</v>
      </c>
      <c r="I147" s="125" t="s">
        <v>1102</v>
      </c>
      <c r="O147" s="125" t="s">
        <v>54</v>
      </c>
    </row>
    <row r="148" ht="14.25" customHeight="1">
      <c r="B148" s="125" t="s">
        <v>748</v>
      </c>
      <c r="C148" s="125" t="s">
        <v>357</v>
      </c>
      <c r="D148" s="125" t="s">
        <v>2719</v>
      </c>
      <c r="E148" s="125" t="s">
        <v>137</v>
      </c>
      <c r="F148" s="152">
        <v>1.0</v>
      </c>
      <c r="H148" s="125" t="s">
        <v>24</v>
      </c>
      <c r="I148" s="125" t="s">
        <v>179</v>
      </c>
      <c r="O148" s="125" t="s">
        <v>54</v>
      </c>
    </row>
    <row r="149" ht="14.25" customHeight="1">
      <c r="B149" s="125" t="s">
        <v>3199</v>
      </c>
      <c r="C149" s="125" t="s">
        <v>2757</v>
      </c>
      <c r="D149" s="125" t="s">
        <v>2719</v>
      </c>
      <c r="F149" s="152">
        <v>1.0</v>
      </c>
      <c r="H149" s="125" t="s">
        <v>24</v>
      </c>
      <c r="I149" s="125" t="s">
        <v>179</v>
      </c>
      <c r="O149" s="125" t="s">
        <v>54</v>
      </c>
    </row>
    <row r="150" ht="14.25" customHeight="1">
      <c r="B150" s="125" t="s">
        <v>3200</v>
      </c>
      <c r="C150" s="125" t="s">
        <v>795</v>
      </c>
      <c r="D150" s="125" t="s">
        <v>1600</v>
      </c>
      <c r="F150" s="152">
        <v>1.0</v>
      </c>
      <c r="H150" s="125" t="s">
        <v>24</v>
      </c>
      <c r="I150" s="125" t="s">
        <v>179</v>
      </c>
      <c r="O150" s="125" t="s">
        <v>54</v>
      </c>
    </row>
    <row r="151" ht="14.25" customHeight="1">
      <c r="B151" s="125" t="s">
        <v>3201</v>
      </c>
      <c r="C151" s="125" t="s">
        <v>795</v>
      </c>
      <c r="D151" s="125" t="s">
        <v>1600</v>
      </c>
      <c r="F151" s="152">
        <v>1.0</v>
      </c>
      <c r="H151" s="125" t="s">
        <v>24</v>
      </c>
      <c r="I151" s="125" t="s">
        <v>179</v>
      </c>
      <c r="O151" s="125" t="s">
        <v>54</v>
      </c>
    </row>
    <row r="152" ht="14.25" customHeight="1">
      <c r="B152" s="125" t="s">
        <v>1583</v>
      </c>
      <c r="C152" s="125" t="s">
        <v>814</v>
      </c>
      <c r="D152" s="125" t="s">
        <v>1600</v>
      </c>
      <c r="F152" s="152">
        <v>1.8</v>
      </c>
      <c r="H152" s="125" t="s">
        <v>24</v>
      </c>
      <c r="I152" s="125" t="s">
        <v>179</v>
      </c>
      <c r="O152" s="125" t="s">
        <v>54</v>
      </c>
    </row>
    <row r="153" ht="14.25" customHeight="1">
      <c r="B153" s="125" t="s">
        <v>2328</v>
      </c>
      <c r="C153" s="125" t="s">
        <v>3202</v>
      </c>
      <c r="D153" s="125" t="s">
        <v>3203</v>
      </c>
      <c r="F153" s="152">
        <v>2.0</v>
      </c>
      <c r="H153" s="125" t="s">
        <v>24</v>
      </c>
      <c r="I153" s="125" t="s">
        <v>179</v>
      </c>
      <c r="O153" s="125" t="s">
        <v>54</v>
      </c>
    </row>
    <row r="154" ht="14.25" customHeight="1">
      <c r="B154" s="125" t="s">
        <v>3204</v>
      </c>
      <c r="C154" s="125" t="s">
        <v>795</v>
      </c>
      <c r="D154" s="125" t="s">
        <v>85</v>
      </c>
      <c r="F154" s="152">
        <v>1.0</v>
      </c>
      <c r="H154" s="125" t="s">
        <v>24</v>
      </c>
      <c r="I154" s="125" t="s">
        <v>179</v>
      </c>
      <c r="O154" s="125" t="s">
        <v>54</v>
      </c>
    </row>
    <row r="155" ht="14.25" customHeight="1">
      <c r="B155" s="125" t="s">
        <v>2908</v>
      </c>
      <c r="C155" s="125" t="s">
        <v>597</v>
      </c>
      <c r="D155" s="125" t="s">
        <v>85</v>
      </c>
      <c r="F155" s="152">
        <v>0.75</v>
      </c>
      <c r="H155" s="125" t="s">
        <v>24</v>
      </c>
      <c r="I155" s="125" t="s">
        <v>179</v>
      </c>
      <c r="O155" s="125" t="s">
        <v>54</v>
      </c>
    </row>
    <row r="156" ht="14.25" customHeight="1">
      <c r="B156" s="125" t="s">
        <v>1691</v>
      </c>
      <c r="C156" s="125" t="s">
        <v>1883</v>
      </c>
      <c r="D156" s="125" t="s">
        <v>3205</v>
      </c>
      <c r="F156" s="152">
        <v>1.0</v>
      </c>
      <c r="H156" s="125" t="s">
        <v>24</v>
      </c>
      <c r="I156" s="125" t="s">
        <v>179</v>
      </c>
      <c r="O156" s="125" t="s">
        <v>54</v>
      </c>
    </row>
    <row r="157" ht="14.25" customHeight="1">
      <c r="B157" s="125" t="s">
        <v>2804</v>
      </c>
      <c r="C157" s="125" t="s">
        <v>1650</v>
      </c>
      <c r="D157" s="125" t="s">
        <v>2737</v>
      </c>
      <c r="F157" s="152">
        <v>2.91</v>
      </c>
      <c r="H157" s="125" t="s">
        <v>24</v>
      </c>
      <c r="I157" s="125" t="s">
        <v>179</v>
      </c>
      <c r="O157" s="125" t="s">
        <v>54</v>
      </c>
    </row>
    <row r="158" ht="14.25" customHeight="1">
      <c r="B158" s="125" t="s">
        <v>291</v>
      </c>
      <c r="C158" s="125" t="s">
        <v>3206</v>
      </c>
      <c r="D158" s="125" t="s">
        <v>2741</v>
      </c>
      <c r="F158" s="152">
        <v>0.75</v>
      </c>
      <c r="H158" s="125" t="s">
        <v>24</v>
      </c>
      <c r="I158" s="125" t="s">
        <v>179</v>
      </c>
      <c r="O158" s="125" t="s">
        <v>54</v>
      </c>
    </row>
    <row r="159" ht="14.25" customHeight="1">
      <c r="B159" s="125" t="s">
        <v>953</v>
      </c>
      <c r="C159" s="125" t="s">
        <v>3207</v>
      </c>
      <c r="D159" s="125" t="s">
        <v>435</v>
      </c>
      <c r="F159" s="152">
        <v>3.5</v>
      </c>
      <c r="H159" s="125" t="s">
        <v>24</v>
      </c>
      <c r="I159" s="125" t="s">
        <v>179</v>
      </c>
      <c r="O159" s="125" t="s">
        <v>54</v>
      </c>
    </row>
    <row r="160" ht="14.25" customHeight="1">
      <c r="B160" s="125" t="s">
        <v>3208</v>
      </c>
      <c r="C160" s="125" t="s">
        <v>394</v>
      </c>
      <c r="D160" s="125" t="s">
        <v>2751</v>
      </c>
      <c r="F160" s="152">
        <v>1.07</v>
      </c>
      <c r="H160" s="125" t="s">
        <v>24</v>
      </c>
      <c r="I160" s="125" t="s">
        <v>179</v>
      </c>
      <c r="O160" s="125" t="s">
        <v>54</v>
      </c>
    </row>
    <row r="161" ht="14.25" customHeight="1">
      <c r="B161" s="125" t="s">
        <v>1006</v>
      </c>
      <c r="C161" s="125" t="s">
        <v>572</v>
      </c>
      <c r="D161" s="125" t="s">
        <v>573</v>
      </c>
      <c r="F161" s="152">
        <v>1.0</v>
      </c>
      <c r="H161" s="125" t="s">
        <v>24</v>
      </c>
      <c r="I161" s="125" t="s">
        <v>179</v>
      </c>
      <c r="O161" s="125" t="s">
        <v>54</v>
      </c>
    </row>
    <row r="162" ht="14.25" customHeight="1">
      <c r="B162" s="125" t="s">
        <v>2317</v>
      </c>
      <c r="C162" s="125" t="s">
        <v>3209</v>
      </c>
      <c r="D162" s="125" t="s">
        <v>373</v>
      </c>
      <c r="F162" s="152">
        <v>1.0</v>
      </c>
      <c r="H162" s="125" t="s">
        <v>24</v>
      </c>
      <c r="I162" s="125" t="s">
        <v>179</v>
      </c>
      <c r="O162" s="125" t="s">
        <v>54</v>
      </c>
    </row>
    <row r="163" ht="14.25" customHeight="1">
      <c r="B163" s="125" t="s">
        <v>1112</v>
      </c>
      <c r="C163" s="125" t="s">
        <v>3210</v>
      </c>
      <c r="D163" s="125" t="s">
        <v>3211</v>
      </c>
      <c r="F163" s="152">
        <v>1.0</v>
      </c>
      <c r="H163" s="125" t="s">
        <v>24</v>
      </c>
      <c r="I163" s="125" t="s">
        <v>179</v>
      </c>
      <c r="O163" s="125" t="s">
        <v>54</v>
      </c>
    </row>
    <row r="164" ht="14.25" customHeight="1">
      <c r="B164" s="125" t="s">
        <v>3212</v>
      </c>
      <c r="C164" s="125" t="s">
        <v>3213</v>
      </c>
      <c r="D164" s="125" t="s">
        <v>1655</v>
      </c>
      <c r="F164" s="152">
        <v>1.0</v>
      </c>
      <c r="H164" s="125" t="s">
        <v>24</v>
      </c>
      <c r="I164" s="125" t="s">
        <v>179</v>
      </c>
      <c r="O164" s="125" t="s">
        <v>54</v>
      </c>
    </row>
    <row r="165" ht="14.25" customHeight="1">
      <c r="B165" s="125" t="s">
        <v>3214</v>
      </c>
      <c r="C165" s="125" t="s">
        <v>3215</v>
      </c>
      <c r="D165" s="125" t="s">
        <v>1655</v>
      </c>
      <c r="F165" s="152">
        <v>1.0</v>
      </c>
      <c r="H165" s="125" t="s">
        <v>24</v>
      </c>
      <c r="I165" s="125" t="s">
        <v>179</v>
      </c>
      <c r="O165" s="125" t="s">
        <v>54</v>
      </c>
    </row>
    <row r="166" ht="14.25" customHeight="1">
      <c r="B166" s="125" t="s">
        <v>563</v>
      </c>
      <c r="C166" s="125" t="s">
        <v>181</v>
      </c>
      <c r="D166" s="125" t="s">
        <v>2263</v>
      </c>
      <c r="F166" s="152">
        <v>1.0</v>
      </c>
      <c r="H166" s="125" t="s">
        <v>24</v>
      </c>
      <c r="I166" s="125" t="s">
        <v>179</v>
      </c>
      <c r="O166" s="125" t="s">
        <v>54</v>
      </c>
    </row>
    <row r="167" ht="14.25" customHeight="1">
      <c r="B167" s="125" t="s">
        <v>169</v>
      </c>
      <c r="C167" s="125" t="s">
        <v>3216</v>
      </c>
      <c r="D167" s="125" t="s">
        <v>585</v>
      </c>
      <c r="E167" s="125" t="s">
        <v>86</v>
      </c>
      <c r="F167" s="152">
        <v>1.3</v>
      </c>
      <c r="H167" s="125" t="s">
        <v>24</v>
      </c>
      <c r="I167" s="125" t="s">
        <v>179</v>
      </c>
      <c r="O167" s="125" t="s">
        <v>54</v>
      </c>
    </row>
    <row r="168" ht="14.25" customHeight="1">
      <c r="B168" s="125" t="s">
        <v>3217</v>
      </c>
      <c r="C168" s="125" t="s">
        <v>1391</v>
      </c>
      <c r="D168" s="125" t="s">
        <v>814</v>
      </c>
      <c r="F168" s="152">
        <v>1.25</v>
      </c>
      <c r="H168" s="125" t="s">
        <v>24</v>
      </c>
      <c r="I168" s="125" t="s">
        <v>179</v>
      </c>
      <c r="O168" s="125" t="s">
        <v>54</v>
      </c>
    </row>
    <row r="169" ht="14.25" customHeight="1">
      <c r="B169" s="125" t="s">
        <v>759</v>
      </c>
      <c r="C169" s="125" t="s">
        <v>2762</v>
      </c>
      <c r="D169" s="125" t="s">
        <v>1953</v>
      </c>
      <c r="F169" s="152">
        <v>1.0</v>
      </c>
      <c r="H169" s="125" t="s">
        <v>24</v>
      </c>
      <c r="I169" s="125" t="s">
        <v>179</v>
      </c>
      <c r="O169" s="125" t="s">
        <v>54</v>
      </c>
    </row>
    <row r="170" ht="14.25" customHeight="1">
      <c r="B170" s="125" t="s">
        <v>3218</v>
      </c>
      <c r="C170" s="125" t="s">
        <v>3219</v>
      </c>
      <c r="D170" s="125" t="s">
        <v>1953</v>
      </c>
      <c r="F170" s="152">
        <v>1.0</v>
      </c>
      <c r="H170" s="125" t="s">
        <v>24</v>
      </c>
      <c r="I170" s="125" t="s">
        <v>179</v>
      </c>
      <c r="O170" s="125" t="s">
        <v>54</v>
      </c>
    </row>
    <row r="171" ht="14.25" customHeight="1">
      <c r="B171" s="125" t="s">
        <v>3220</v>
      </c>
      <c r="C171" s="125" t="s">
        <v>3221</v>
      </c>
      <c r="D171" s="125" t="s">
        <v>1953</v>
      </c>
      <c r="F171" s="152">
        <v>1.0</v>
      </c>
      <c r="H171" s="125" t="s">
        <v>24</v>
      </c>
      <c r="I171" s="125" t="s">
        <v>179</v>
      </c>
      <c r="O171" s="125" t="s">
        <v>54</v>
      </c>
    </row>
    <row r="172" ht="14.25" customHeight="1">
      <c r="B172" s="125" t="s">
        <v>506</v>
      </c>
      <c r="C172" s="125" t="s">
        <v>1674</v>
      </c>
      <c r="D172" s="125" t="s">
        <v>1675</v>
      </c>
      <c r="F172" s="152">
        <v>1.0</v>
      </c>
      <c r="H172" s="125" t="s">
        <v>24</v>
      </c>
      <c r="I172" s="125" t="s">
        <v>179</v>
      </c>
      <c r="O172" s="125" t="s">
        <v>54</v>
      </c>
    </row>
    <row r="173" ht="14.25" customHeight="1">
      <c r="B173" s="125" t="s">
        <v>3222</v>
      </c>
      <c r="C173" s="125" t="s">
        <v>2160</v>
      </c>
      <c r="D173" s="125" t="s">
        <v>1678</v>
      </c>
      <c r="F173" s="152">
        <v>3.5</v>
      </c>
      <c r="H173" s="125" t="s">
        <v>24</v>
      </c>
      <c r="I173" s="125" t="s">
        <v>179</v>
      </c>
      <c r="O173" s="125" t="s">
        <v>54</v>
      </c>
    </row>
    <row r="174" ht="14.25" customHeight="1">
      <c r="B174" s="125" t="s">
        <v>490</v>
      </c>
      <c r="C174" s="125" t="s">
        <v>2160</v>
      </c>
      <c r="D174" s="125" t="s">
        <v>1678</v>
      </c>
      <c r="F174" s="152">
        <v>1.0</v>
      </c>
      <c r="H174" s="125" t="s">
        <v>24</v>
      </c>
      <c r="I174" s="125" t="s">
        <v>179</v>
      </c>
      <c r="O174" s="125" t="s">
        <v>54</v>
      </c>
    </row>
    <row r="175" ht="14.25" customHeight="1">
      <c r="B175" s="125" t="s">
        <v>3223</v>
      </c>
      <c r="C175" s="125" t="s">
        <v>3194</v>
      </c>
      <c r="D175" s="125" t="s">
        <v>3224</v>
      </c>
      <c r="F175" s="152">
        <v>1.0</v>
      </c>
      <c r="H175" s="125" t="s">
        <v>24</v>
      </c>
      <c r="I175" s="125" t="s">
        <v>179</v>
      </c>
      <c r="O175" s="125" t="s">
        <v>54</v>
      </c>
    </row>
    <row r="176" ht="14.25" customHeight="1">
      <c r="B176" s="125" t="s">
        <v>3225</v>
      </c>
      <c r="C176" s="125" t="s">
        <v>3226</v>
      </c>
      <c r="D176" s="125" t="s">
        <v>600</v>
      </c>
      <c r="F176" s="152">
        <v>1.0</v>
      </c>
      <c r="H176" s="125" t="s">
        <v>24</v>
      </c>
      <c r="I176" s="125" t="s">
        <v>1102</v>
      </c>
      <c r="O176" s="125" t="s">
        <v>54</v>
      </c>
    </row>
    <row r="177" ht="14.25" customHeight="1">
      <c r="B177" s="125" t="s">
        <v>3227</v>
      </c>
      <c r="C177" s="125" t="s">
        <v>3228</v>
      </c>
      <c r="D177" s="125" t="s">
        <v>2782</v>
      </c>
      <c r="F177" s="152">
        <v>0.75</v>
      </c>
      <c r="H177" s="125" t="s">
        <v>24</v>
      </c>
      <c r="I177" s="125" t="s">
        <v>179</v>
      </c>
      <c r="O177" s="125" t="s">
        <v>54</v>
      </c>
    </row>
    <row r="178" ht="14.25" customHeight="1">
      <c r="B178" s="125" t="s">
        <v>3229</v>
      </c>
      <c r="C178" s="125" t="s">
        <v>3230</v>
      </c>
      <c r="D178" s="125" t="s">
        <v>3231</v>
      </c>
      <c r="F178" s="152">
        <v>1.0</v>
      </c>
      <c r="H178" s="125" t="s">
        <v>24</v>
      </c>
      <c r="I178" s="125" t="s">
        <v>179</v>
      </c>
      <c r="O178" s="125" t="s">
        <v>54</v>
      </c>
    </row>
    <row r="179" ht="14.25" customHeight="1">
      <c r="B179" s="125" t="s">
        <v>3232</v>
      </c>
      <c r="C179" s="125" t="s">
        <v>3233</v>
      </c>
      <c r="D179" s="125" t="s">
        <v>2770</v>
      </c>
      <c r="F179" s="152">
        <v>0.8</v>
      </c>
      <c r="H179" s="125" t="s">
        <v>24</v>
      </c>
      <c r="I179" s="125" t="s">
        <v>179</v>
      </c>
      <c r="O179" s="125" t="s">
        <v>54</v>
      </c>
    </row>
    <row r="180" ht="14.25" customHeight="1">
      <c r="B180" s="125" t="s">
        <v>3234</v>
      </c>
      <c r="C180" s="125" t="s">
        <v>3235</v>
      </c>
      <c r="D180" s="125" t="s">
        <v>3236</v>
      </c>
      <c r="F180" s="152">
        <v>1.0</v>
      </c>
      <c r="H180" s="125" t="s">
        <v>24</v>
      </c>
      <c r="I180" s="125" t="s">
        <v>179</v>
      </c>
      <c r="O180" s="125" t="s">
        <v>54</v>
      </c>
    </row>
    <row r="181" ht="14.25" customHeight="1">
      <c r="B181" s="125" t="s">
        <v>743</v>
      </c>
      <c r="C181" s="125" t="s">
        <v>1953</v>
      </c>
      <c r="D181" s="125" t="s">
        <v>3237</v>
      </c>
      <c r="F181" s="152">
        <v>1.0</v>
      </c>
      <c r="H181" s="125" t="s">
        <v>24</v>
      </c>
      <c r="I181" s="125" t="s">
        <v>179</v>
      </c>
      <c r="O181" s="125" t="s">
        <v>54</v>
      </c>
    </row>
    <row r="182" ht="14.25" customHeight="1">
      <c r="B182" s="125" t="s">
        <v>862</v>
      </c>
      <c r="C182" s="125" t="s">
        <v>1953</v>
      </c>
      <c r="D182" s="125" t="s">
        <v>3237</v>
      </c>
      <c r="F182" s="152">
        <v>1.0</v>
      </c>
      <c r="H182" s="125" t="s">
        <v>24</v>
      </c>
      <c r="I182" s="125" t="s">
        <v>1102</v>
      </c>
      <c r="O182" s="125" t="s">
        <v>54</v>
      </c>
    </row>
    <row r="183" ht="14.25" customHeight="1">
      <c r="B183" s="125" t="s">
        <v>3238</v>
      </c>
      <c r="C183" s="125" t="s">
        <v>585</v>
      </c>
      <c r="D183" s="125" t="s">
        <v>603</v>
      </c>
      <c r="F183" s="152">
        <v>1.0</v>
      </c>
      <c r="H183" s="125" t="s">
        <v>24</v>
      </c>
      <c r="I183" s="125" t="s">
        <v>179</v>
      </c>
      <c r="O183" s="125" t="s">
        <v>54</v>
      </c>
    </row>
    <row r="184" ht="14.25" customHeight="1">
      <c r="B184" s="125" t="s">
        <v>3239</v>
      </c>
      <c r="C184" s="125" t="s">
        <v>1056</v>
      </c>
      <c r="D184" s="125" t="s">
        <v>603</v>
      </c>
      <c r="F184" s="152">
        <v>1.0</v>
      </c>
      <c r="H184" s="125" t="s">
        <v>24</v>
      </c>
      <c r="I184" s="125" t="s">
        <v>179</v>
      </c>
      <c r="O184" s="125" t="s">
        <v>54</v>
      </c>
    </row>
    <row r="185" ht="14.25" customHeight="1">
      <c r="B185" s="125" t="s">
        <v>291</v>
      </c>
      <c r="C185" s="125" t="s">
        <v>602</v>
      </c>
      <c r="D185" s="125" t="s">
        <v>603</v>
      </c>
      <c r="F185" s="152">
        <v>1.0</v>
      </c>
      <c r="H185" s="125" t="s">
        <v>24</v>
      </c>
      <c r="I185" s="125" t="s">
        <v>179</v>
      </c>
      <c r="O185" s="125" t="s">
        <v>54</v>
      </c>
    </row>
    <row r="186" ht="14.25" customHeight="1">
      <c r="B186" s="125" t="s">
        <v>1805</v>
      </c>
      <c r="C186" s="125" t="s">
        <v>585</v>
      </c>
      <c r="D186" s="125" t="s">
        <v>603</v>
      </c>
      <c r="F186" s="152">
        <v>0.75</v>
      </c>
      <c r="H186" s="125" t="s">
        <v>24</v>
      </c>
      <c r="I186" s="125" t="s">
        <v>1102</v>
      </c>
      <c r="O186" s="125" t="s">
        <v>54</v>
      </c>
    </row>
    <row r="187" ht="14.25" customHeight="1">
      <c r="B187" s="125" t="s">
        <v>3240</v>
      </c>
      <c r="C187" s="125" t="s">
        <v>602</v>
      </c>
      <c r="D187" s="125" t="s">
        <v>603</v>
      </c>
      <c r="F187" s="152">
        <v>1.0</v>
      </c>
      <c r="H187" s="125" t="s">
        <v>24</v>
      </c>
      <c r="I187" s="125" t="s">
        <v>179</v>
      </c>
      <c r="O187" s="125" t="s">
        <v>54</v>
      </c>
    </row>
    <row r="188" ht="14.25" customHeight="1">
      <c r="B188" s="125" t="s">
        <v>608</v>
      </c>
      <c r="C188" s="125" t="s">
        <v>3241</v>
      </c>
      <c r="D188" s="125" t="s">
        <v>603</v>
      </c>
      <c r="E188" s="125" t="s">
        <v>137</v>
      </c>
      <c r="F188" s="152">
        <v>1.0</v>
      </c>
      <c r="H188" s="125" t="s">
        <v>24</v>
      </c>
      <c r="I188" s="125" t="s">
        <v>179</v>
      </c>
      <c r="O188" s="125" t="s">
        <v>54</v>
      </c>
    </row>
    <row r="189" ht="14.25" customHeight="1">
      <c r="B189" s="125" t="s">
        <v>1184</v>
      </c>
      <c r="C189" s="125" t="s">
        <v>3242</v>
      </c>
      <c r="D189" s="125" t="s">
        <v>1078</v>
      </c>
      <c r="E189" s="125" t="s">
        <v>137</v>
      </c>
      <c r="F189" s="152">
        <v>7.9</v>
      </c>
      <c r="H189" s="125" t="s">
        <v>24</v>
      </c>
      <c r="I189" s="125" t="s">
        <v>179</v>
      </c>
      <c r="O189" s="125" t="s">
        <v>54</v>
      </c>
    </row>
    <row r="190" ht="14.25" customHeight="1">
      <c r="B190" s="125" t="s">
        <v>3051</v>
      </c>
      <c r="C190" s="125" t="s">
        <v>624</v>
      </c>
      <c r="D190" s="125" t="s">
        <v>2800</v>
      </c>
      <c r="F190" s="152">
        <v>1.0</v>
      </c>
      <c r="H190" s="125" t="s">
        <v>25</v>
      </c>
      <c r="K190" s="125" t="s">
        <v>172</v>
      </c>
      <c r="O190" s="125" t="s">
        <v>54</v>
      </c>
    </row>
    <row r="191" ht="14.25" customHeight="1">
      <c r="B191" s="125" t="s">
        <v>3243</v>
      </c>
      <c r="C191" s="125" t="s">
        <v>3244</v>
      </c>
      <c r="D191" s="125" t="s">
        <v>1605</v>
      </c>
      <c r="F191" s="152">
        <v>1.0</v>
      </c>
      <c r="H191" s="125" t="s">
        <v>25</v>
      </c>
      <c r="K191" s="125" t="s">
        <v>155</v>
      </c>
      <c r="O191" s="125" t="s">
        <v>54</v>
      </c>
    </row>
    <row r="192" ht="14.25" customHeight="1">
      <c r="B192" s="125" t="s">
        <v>357</v>
      </c>
      <c r="C192" s="125" t="s">
        <v>3245</v>
      </c>
      <c r="D192" s="125" t="s">
        <v>3246</v>
      </c>
      <c r="E192" s="125" t="s">
        <v>86</v>
      </c>
      <c r="F192" s="152">
        <v>1.4</v>
      </c>
      <c r="H192" s="125" t="s">
        <v>25</v>
      </c>
      <c r="K192" s="125" t="s">
        <v>155</v>
      </c>
      <c r="O192" s="125" t="s">
        <v>74</v>
      </c>
    </row>
    <row r="193" ht="15.75" customHeight="1">
      <c r="B193" s="125" t="s">
        <v>252</v>
      </c>
      <c r="C193" s="125" t="s">
        <v>3247</v>
      </c>
      <c r="D193" s="125" t="s">
        <v>3248</v>
      </c>
      <c r="F193" s="152">
        <v>1.0</v>
      </c>
      <c r="H193" s="125" t="s">
        <v>25</v>
      </c>
      <c r="K193" s="125" t="s">
        <v>53</v>
      </c>
      <c r="O193" s="125" t="s">
        <v>54</v>
      </c>
    </row>
    <row r="194" ht="15.75" customHeight="1">
      <c r="B194" s="125" t="s">
        <v>1002</v>
      </c>
      <c r="C194" s="125" t="s">
        <v>1421</v>
      </c>
      <c r="D194" s="125" t="s">
        <v>2910</v>
      </c>
      <c r="F194" s="152">
        <v>1.0</v>
      </c>
      <c r="H194" s="125" t="s">
        <v>25</v>
      </c>
      <c r="K194" s="125" t="s">
        <v>172</v>
      </c>
      <c r="O194" s="125" t="s">
        <v>54</v>
      </c>
    </row>
    <row r="195" ht="15.75" customHeight="1">
      <c r="B195" s="125" t="s">
        <v>3249</v>
      </c>
      <c r="C195" s="125" t="s">
        <v>3250</v>
      </c>
      <c r="D195" s="125" t="s">
        <v>562</v>
      </c>
      <c r="F195" s="152">
        <v>1.2</v>
      </c>
      <c r="H195" s="125" t="s">
        <v>25</v>
      </c>
      <c r="K195" s="125" t="s">
        <v>155</v>
      </c>
      <c r="O195" s="125" t="s">
        <v>54</v>
      </c>
    </row>
    <row r="196" ht="15.75" customHeight="1">
      <c r="B196" s="125" t="s">
        <v>1449</v>
      </c>
      <c r="C196" s="125" t="s">
        <v>142</v>
      </c>
      <c r="D196" s="125" t="s">
        <v>287</v>
      </c>
      <c r="F196" s="152">
        <v>1.3</v>
      </c>
      <c r="H196" s="125" t="s">
        <v>25</v>
      </c>
      <c r="K196" s="125" t="s">
        <v>53</v>
      </c>
      <c r="O196" s="125" t="s">
        <v>54</v>
      </c>
    </row>
    <row r="197" ht="15.75" customHeight="1">
      <c r="B197" s="125" t="s">
        <v>1217</v>
      </c>
      <c r="C197" s="125" t="s">
        <v>445</v>
      </c>
      <c r="D197" s="125" t="s">
        <v>81</v>
      </c>
      <c r="F197" s="152">
        <v>1.0</v>
      </c>
      <c r="H197" s="125" t="s">
        <v>25</v>
      </c>
      <c r="K197" s="125" t="s">
        <v>155</v>
      </c>
      <c r="O197" s="125" t="s">
        <v>54</v>
      </c>
    </row>
    <row r="198" ht="15.75" customHeight="1">
      <c r="B198" s="125" t="s">
        <v>2693</v>
      </c>
      <c r="C198" s="125" t="s">
        <v>3251</v>
      </c>
      <c r="D198" s="125" t="s">
        <v>293</v>
      </c>
      <c r="F198" s="152">
        <v>1.0</v>
      </c>
      <c r="H198" s="125" t="s">
        <v>25</v>
      </c>
      <c r="K198" s="125" t="s">
        <v>172</v>
      </c>
      <c r="O198" s="125" t="s">
        <v>54</v>
      </c>
    </row>
    <row r="199" ht="15.75" customHeight="1">
      <c r="B199" s="125" t="s">
        <v>1865</v>
      </c>
      <c r="C199" s="125" t="s">
        <v>1693</v>
      </c>
      <c r="D199" s="125" t="s">
        <v>293</v>
      </c>
      <c r="F199" s="152">
        <v>1.0</v>
      </c>
      <c r="H199" s="125" t="s">
        <v>25</v>
      </c>
      <c r="K199" s="125" t="s">
        <v>155</v>
      </c>
      <c r="O199" s="125" t="s">
        <v>54</v>
      </c>
    </row>
    <row r="200" ht="15.75" customHeight="1">
      <c r="B200" s="125" t="s">
        <v>2319</v>
      </c>
      <c r="C200" s="125" t="s">
        <v>1416</v>
      </c>
      <c r="D200" s="125" t="s">
        <v>293</v>
      </c>
      <c r="F200" s="152">
        <v>1.0</v>
      </c>
      <c r="H200" s="125" t="s">
        <v>25</v>
      </c>
      <c r="K200" s="125" t="s">
        <v>53</v>
      </c>
      <c r="O200" s="125" t="s">
        <v>54</v>
      </c>
    </row>
    <row r="201" ht="15.75" customHeight="1">
      <c r="B201" s="125" t="s">
        <v>3252</v>
      </c>
      <c r="C201" s="125" t="s">
        <v>2842</v>
      </c>
      <c r="D201" s="125" t="s">
        <v>3253</v>
      </c>
      <c r="F201" s="152">
        <v>0.9</v>
      </c>
      <c r="H201" s="125" t="s">
        <v>25</v>
      </c>
      <c r="K201" s="125" t="s">
        <v>155</v>
      </c>
      <c r="O201" s="125" t="s">
        <v>54</v>
      </c>
    </row>
    <row r="202" ht="15.75" customHeight="1">
      <c r="B202" s="125" t="s">
        <v>1291</v>
      </c>
      <c r="C202" s="125" t="s">
        <v>303</v>
      </c>
      <c r="D202" s="125" t="s">
        <v>665</v>
      </c>
      <c r="F202" s="152">
        <v>1.0</v>
      </c>
      <c r="H202" s="125" t="s">
        <v>25</v>
      </c>
      <c r="K202" s="125" t="s">
        <v>155</v>
      </c>
      <c r="O202" s="125" t="s">
        <v>54</v>
      </c>
    </row>
    <row r="203" ht="15.75" customHeight="1">
      <c r="B203" s="125" t="s">
        <v>184</v>
      </c>
      <c r="C203" s="125" t="s">
        <v>1297</v>
      </c>
      <c r="D203" s="125" t="s">
        <v>142</v>
      </c>
      <c r="F203" s="152">
        <v>1.0</v>
      </c>
      <c r="H203" s="125" t="s">
        <v>25</v>
      </c>
      <c r="K203" s="125" t="s">
        <v>172</v>
      </c>
      <c r="O203" s="125" t="s">
        <v>54</v>
      </c>
    </row>
    <row r="204" ht="15.75" customHeight="1">
      <c r="B204" s="125" t="s">
        <v>3254</v>
      </c>
      <c r="C204" s="125" t="s">
        <v>624</v>
      </c>
      <c r="D204" s="125" t="s">
        <v>625</v>
      </c>
      <c r="F204" s="152">
        <v>1.0</v>
      </c>
      <c r="H204" s="125" t="s">
        <v>25</v>
      </c>
      <c r="K204" s="125" t="s">
        <v>155</v>
      </c>
      <c r="O204" s="125" t="s">
        <v>54</v>
      </c>
    </row>
    <row r="205" ht="15.75" customHeight="1">
      <c r="B205" s="125" t="s">
        <v>3255</v>
      </c>
      <c r="C205" s="125" t="s">
        <v>3256</v>
      </c>
      <c r="D205" s="125" t="s">
        <v>3257</v>
      </c>
      <c r="F205" s="152">
        <v>1.0</v>
      </c>
      <c r="H205" s="125" t="s">
        <v>25</v>
      </c>
      <c r="K205" s="125" t="s">
        <v>155</v>
      </c>
      <c r="O205" s="125" t="s">
        <v>54</v>
      </c>
    </row>
    <row r="206" ht="15.75" customHeight="1">
      <c r="B206" s="125" t="s">
        <v>2751</v>
      </c>
      <c r="C206" s="125" t="s">
        <v>3258</v>
      </c>
      <c r="D206" s="125" t="s">
        <v>1148</v>
      </c>
      <c r="F206" s="152">
        <v>1.7</v>
      </c>
      <c r="H206" s="125" t="s">
        <v>25</v>
      </c>
      <c r="M206" s="125" t="s">
        <v>129</v>
      </c>
      <c r="O206" s="125" t="s">
        <v>54</v>
      </c>
    </row>
    <row r="207" ht="15.75" customHeight="1">
      <c r="B207" s="125" t="s">
        <v>225</v>
      </c>
      <c r="C207" s="125" t="s">
        <v>2830</v>
      </c>
      <c r="D207" s="125" t="s">
        <v>3259</v>
      </c>
      <c r="F207" s="152">
        <v>0.6</v>
      </c>
      <c r="H207" s="125" t="s">
        <v>25</v>
      </c>
      <c r="K207" s="125" t="s">
        <v>155</v>
      </c>
      <c r="O207" s="125" t="s">
        <v>54</v>
      </c>
    </row>
    <row r="208" ht="15.75" customHeight="1">
      <c r="B208" s="125" t="s">
        <v>1457</v>
      </c>
      <c r="C208" s="125" t="s">
        <v>3260</v>
      </c>
      <c r="D208" s="125" t="s">
        <v>3261</v>
      </c>
      <c r="F208" s="152">
        <v>1.0</v>
      </c>
      <c r="H208" s="125" t="s">
        <v>25</v>
      </c>
      <c r="K208" s="125" t="s">
        <v>155</v>
      </c>
      <c r="O208" s="125" t="s">
        <v>54</v>
      </c>
    </row>
    <row r="209" ht="15.75" customHeight="1">
      <c r="B209" s="125" t="s">
        <v>672</v>
      </c>
      <c r="C209" s="125" t="s">
        <v>665</v>
      </c>
      <c r="D209" s="125" t="s">
        <v>3262</v>
      </c>
      <c r="F209" s="152">
        <v>1.0</v>
      </c>
      <c r="H209" s="125" t="s">
        <v>25</v>
      </c>
      <c r="K209" s="125" t="s">
        <v>53</v>
      </c>
      <c r="O209" s="125" t="s">
        <v>54</v>
      </c>
    </row>
    <row r="210" ht="15.75" customHeight="1">
      <c r="B210" s="125" t="s">
        <v>3263</v>
      </c>
      <c r="C210" s="125" t="s">
        <v>3264</v>
      </c>
      <c r="D210" s="125" t="s">
        <v>1799</v>
      </c>
      <c r="F210" s="152">
        <v>1.0</v>
      </c>
      <c r="H210" s="125" t="s">
        <v>25</v>
      </c>
      <c r="K210" s="125" t="s">
        <v>155</v>
      </c>
      <c r="O210" s="125" t="s">
        <v>54</v>
      </c>
    </row>
    <row r="211" ht="15.75" customHeight="1">
      <c r="B211" s="125" t="s">
        <v>1702</v>
      </c>
      <c r="C211" s="125" t="s">
        <v>3265</v>
      </c>
      <c r="D211" s="125" t="s">
        <v>734</v>
      </c>
      <c r="F211" s="152">
        <v>0.84</v>
      </c>
      <c r="H211" s="125" t="s">
        <v>25</v>
      </c>
      <c r="K211" s="125" t="s">
        <v>155</v>
      </c>
      <c r="O211" s="125" t="s">
        <v>54</v>
      </c>
    </row>
    <row r="212" ht="15.75" customHeight="1">
      <c r="B212" s="125" t="s">
        <v>696</v>
      </c>
      <c r="C212" s="125" t="s">
        <v>2001</v>
      </c>
      <c r="D212" s="125" t="s">
        <v>3244</v>
      </c>
      <c r="F212" s="152">
        <v>0.9</v>
      </c>
      <c r="H212" s="125" t="s">
        <v>25</v>
      </c>
      <c r="K212" s="125" t="s">
        <v>155</v>
      </c>
      <c r="O212" s="125" t="s">
        <v>54</v>
      </c>
    </row>
    <row r="213" ht="15.75" customHeight="1">
      <c r="B213" s="125" t="s">
        <v>420</v>
      </c>
      <c r="C213" s="125" t="s">
        <v>2001</v>
      </c>
      <c r="D213" s="125" t="s">
        <v>2830</v>
      </c>
      <c r="F213" s="152">
        <v>0.6</v>
      </c>
      <c r="H213" s="125" t="s">
        <v>25</v>
      </c>
      <c r="K213" s="125" t="s">
        <v>155</v>
      </c>
      <c r="O213" s="125" t="s">
        <v>54</v>
      </c>
    </row>
    <row r="214" ht="15.75" customHeight="1">
      <c r="B214" s="125" t="s">
        <v>936</v>
      </c>
      <c r="C214" s="125" t="s">
        <v>350</v>
      </c>
      <c r="D214" s="125" t="s">
        <v>523</v>
      </c>
      <c r="F214" s="152">
        <v>1.0</v>
      </c>
      <c r="H214" s="125" t="s">
        <v>25</v>
      </c>
      <c r="K214" s="125" t="s">
        <v>172</v>
      </c>
      <c r="O214" s="125" t="s">
        <v>54</v>
      </c>
    </row>
    <row r="215" ht="15.75" customHeight="1">
      <c r="B215" s="125" t="s">
        <v>3266</v>
      </c>
      <c r="C215" s="125" t="s">
        <v>3267</v>
      </c>
      <c r="D215" s="125" t="s">
        <v>3268</v>
      </c>
      <c r="E215" s="125" t="s">
        <v>86</v>
      </c>
      <c r="F215" s="152">
        <v>1.0</v>
      </c>
      <c r="H215" s="125" t="s">
        <v>25</v>
      </c>
      <c r="K215" s="125" t="s">
        <v>155</v>
      </c>
      <c r="O215" s="125" t="s">
        <v>54</v>
      </c>
    </row>
    <row r="216" ht="15.75" customHeight="1">
      <c r="B216" s="125" t="s">
        <v>3269</v>
      </c>
      <c r="C216" s="125" t="s">
        <v>3270</v>
      </c>
      <c r="D216" s="125" t="s">
        <v>1398</v>
      </c>
      <c r="F216" s="152">
        <v>1.0</v>
      </c>
      <c r="H216" s="125" t="s">
        <v>25</v>
      </c>
      <c r="K216" s="125" t="s">
        <v>155</v>
      </c>
      <c r="O216" s="125" t="s">
        <v>54</v>
      </c>
    </row>
    <row r="217" ht="15.75" customHeight="1">
      <c r="B217" s="125" t="s">
        <v>3271</v>
      </c>
      <c r="C217" s="125" t="s">
        <v>2838</v>
      </c>
      <c r="D217" s="125" t="s">
        <v>624</v>
      </c>
      <c r="F217" s="152">
        <v>1.0</v>
      </c>
      <c r="H217" s="125" t="s">
        <v>25</v>
      </c>
      <c r="K217" s="125" t="s">
        <v>53</v>
      </c>
      <c r="O217" s="125" t="s">
        <v>54</v>
      </c>
    </row>
    <row r="218" ht="15.75" customHeight="1">
      <c r="B218" s="125" t="s">
        <v>1213</v>
      </c>
      <c r="D218" s="125" t="s">
        <v>624</v>
      </c>
      <c r="F218" s="152">
        <v>1.7</v>
      </c>
      <c r="H218" s="125" t="s">
        <v>25</v>
      </c>
      <c r="K218" s="125" t="s">
        <v>155</v>
      </c>
      <c r="O218" s="125" t="s">
        <v>54</v>
      </c>
    </row>
    <row r="219" ht="15.75" customHeight="1">
      <c r="B219" s="125" t="s">
        <v>378</v>
      </c>
      <c r="C219" s="125" t="s">
        <v>3272</v>
      </c>
      <c r="D219" s="125" t="s">
        <v>3273</v>
      </c>
      <c r="F219" s="152">
        <v>1.0</v>
      </c>
      <c r="H219" s="125" t="s">
        <v>25</v>
      </c>
      <c r="K219" s="125" t="s">
        <v>155</v>
      </c>
      <c r="O219" s="125" t="s">
        <v>54</v>
      </c>
    </row>
    <row r="220" ht="15.75" customHeight="1">
      <c r="B220" s="125" t="s">
        <v>3274</v>
      </c>
      <c r="C220" s="125" t="s">
        <v>2876</v>
      </c>
      <c r="D220" s="125" t="s">
        <v>285</v>
      </c>
      <c r="F220" s="152">
        <v>0.59</v>
      </c>
      <c r="H220" s="125" t="s">
        <v>25</v>
      </c>
      <c r="M220" s="125" t="s">
        <v>304</v>
      </c>
      <c r="O220" s="125" t="s">
        <v>54</v>
      </c>
    </row>
    <row r="221" ht="15.75" customHeight="1">
      <c r="B221" s="125" t="s">
        <v>2714</v>
      </c>
      <c r="C221" s="125" t="s">
        <v>2465</v>
      </c>
      <c r="D221" s="125" t="s">
        <v>644</v>
      </c>
      <c r="F221" s="152">
        <v>1.8</v>
      </c>
      <c r="H221" s="125" t="s">
        <v>25</v>
      </c>
      <c r="K221" s="125" t="s">
        <v>155</v>
      </c>
      <c r="O221" s="125" t="s">
        <v>54</v>
      </c>
    </row>
    <row r="222" ht="15.75" customHeight="1">
      <c r="B222" s="125" t="s">
        <v>291</v>
      </c>
      <c r="C222" s="125" t="s">
        <v>2019</v>
      </c>
      <c r="D222" s="125" t="s">
        <v>644</v>
      </c>
      <c r="F222" s="152">
        <v>1.25</v>
      </c>
      <c r="H222" s="125" t="s">
        <v>25</v>
      </c>
      <c r="K222" s="125" t="s">
        <v>155</v>
      </c>
      <c r="O222" s="125" t="s">
        <v>54</v>
      </c>
    </row>
    <row r="223" ht="15.75" customHeight="1">
      <c r="B223" s="125" t="s">
        <v>3275</v>
      </c>
      <c r="C223" s="125" t="s">
        <v>3276</v>
      </c>
      <c r="D223" s="125" t="s">
        <v>1302</v>
      </c>
      <c r="F223" s="152">
        <v>1.8</v>
      </c>
      <c r="H223" s="125" t="s">
        <v>25</v>
      </c>
      <c r="K223" s="125" t="s">
        <v>155</v>
      </c>
      <c r="O223" s="125" t="s">
        <v>54</v>
      </c>
    </row>
    <row r="224" ht="15.75" customHeight="1">
      <c r="B224" s="125" t="s">
        <v>1404</v>
      </c>
      <c r="C224" s="125" t="s">
        <v>1405</v>
      </c>
      <c r="D224" s="125" t="s">
        <v>1406</v>
      </c>
      <c r="F224" s="152">
        <v>1.0</v>
      </c>
      <c r="H224" s="125" t="s">
        <v>25</v>
      </c>
      <c r="K224" s="125" t="s">
        <v>172</v>
      </c>
      <c r="O224" s="125" t="s">
        <v>54</v>
      </c>
    </row>
    <row r="225" ht="15.75" customHeight="1">
      <c r="B225" s="125" t="s">
        <v>1051</v>
      </c>
      <c r="C225" s="125" t="s">
        <v>3277</v>
      </c>
      <c r="D225" s="125" t="s">
        <v>3278</v>
      </c>
      <c r="F225" s="152">
        <v>1.8</v>
      </c>
      <c r="H225" s="125" t="s">
        <v>25</v>
      </c>
      <c r="K225" s="125" t="s">
        <v>155</v>
      </c>
      <c r="O225" s="125" t="s">
        <v>54</v>
      </c>
    </row>
    <row r="226" ht="15.75" customHeight="1">
      <c r="B226" s="125" t="s">
        <v>657</v>
      </c>
      <c r="C226" s="125" t="s">
        <v>303</v>
      </c>
      <c r="D226" s="125" t="s">
        <v>3279</v>
      </c>
      <c r="E226" s="125" t="s">
        <v>86</v>
      </c>
      <c r="F226" s="152">
        <v>1.0</v>
      </c>
      <c r="H226" s="125" t="s">
        <v>25</v>
      </c>
      <c r="K226" s="125" t="s">
        <v>172</v>
      </c>
      <c r="O226" s="125" t="s">
        <v>54</v>
      </c>
    </row>
    <row r="227" ht="15.75" customHeight="1">
      <c r="B227" s="125" t="s">
        <v>3280</v>
      </c>
      <c r="C227" s="125" t="s">
        <v>3281</v>
      </c>
      <c r="D227" s="125" t="s">
        <v>312</v>
      </c>
      <c r="F227" s="152">
        <v>1.0</v>
      </c>
      <c r="H227" s="125" t="s">
        <v>25</v>
      </c>
      <c r="K227" s="125" t="s">
        <v>155</v>
      </c>
      <c r="O227" s="125" t="s">
        <v>54</v>
      </c>
    </row>
    <row r="228" ht="15.75" customHeight="1">
      <c r="B228" s="125" t="s">
        <v>1407</v>
      </c>
      <c r="C228" s="125" t="s">
        <v>1408</v>
      </c>
      <c r="D228" s="125" t="s">
        <v>312</v>
      </c>
      <c r="F228" s="152">
        <v>1.0</v>
      </c>
      <c r="H228" s="125" t="s">
        <v>25</v>
      </c>
      <c r="K228" s="125" t="s">
        <v>155</v>
      </c>
      <c r="O228" s="125" t="s">
        <v>54</v>
      </c>
    </row>
    <row r="229" ht="15.75" customHeight="1">
      <c r="B229" s="125" t="s">
        <v>3282</v>
      </c>
      <c r="C229" s="125" t="s">
        <v>3281</v>
      </c>
      <c r="D229" s="125" t="s">
        <v>312</v>
      </c>
      <c r="F229" s="152">
        <v>1.0</v>
      </c>
      <c r="H229" s="125" t="s">
        <v>25</v>
      </c>
      <c r="K229" s="125" t="s">
        <v>155</v>
      </c>
      <c r="O229" s="125" t="s">
        <v>54</v>
      </c>
    </row>
    <row r="230" ht="15.75" customHeight="1">
      <c r="B230" s="125" t="s">
        <v>3280</v>
      </c>
      <c r="C230" s="125" t="s">
        <v>3281</v>
      </c>
      <c r="D230" s="125" t="s">
        <v>312</v>
      </c>
      <c r="F230" s="152">
        <v>1.0</v>
      </c>
      <c r="H230" s="125" t="s">
        <v>25</v>
      </c>
      <c r="M230" s="125" t="s">
        <v>740</v>
      </c>
      <c r="O230" s="125" t="s">
        <v>54</v>
      </c>
    </row>
    <row r="231" ht="15.75" customHeight="1">
      <c r="B231" s="125" t="s">
        <v>3283</v>
      </c>
      <c r="C231" s="125" t="s">
        <v>3284</v>
      </c>
      <c r="D231" s="125" t="s">
        <v>312</v>
      </c>
      <c r="F231" s="152">
        <v>1.0</v>
      </c>
      <c r="H231" s="125" t="s">
        <v>25</v>
      </c>
      <c r="K231" s="125" t="s">
        <v>155</v>
      </c>
      <c r="O231" s="125" t="s">
        <v>54</v>
      </c>
    </row>
    <row r="232" ht="15.75" customHeight="1">
      <c r="B232" s="125" t="s">
        <v>3285</v>
      </c>
      <c r="C232" s="125" t="s">
        <v>3286</v>
      </c>
      <c r="D232" s="125" t="s">
        <v>3287</v>
      </c>
      <c r="F232" s="152">
        <v>1.0</v>
      </c>
      <c r="H232" s="125" t="s">
        <v>25</v>
      </c>
      <c r="K232" s="125" t="s">
        <v>155</v>
      </c>
      <c r="O232" s="125" t="s">
        <v>54</v>
      </c>
    </row>
    <row r="233" ht="15.75" customHeight="1">
      <c r="B233" s="125" t="s">
        <v>2865</v>
      </c>
      <c r="C233" s="125" t="s">
        <v>2866</v>
      </c>
      <c r="D233" s="125" t="s">
        <v>2867</v>
      </c>
      <c r="F233" s="152">
        <v>1.0</v>
      </c>
      <c r="H233" s="125" t="s">
        <v>25</v>
      </c>
      <c r="M233" s="125" t="s">
        <v>509</v>
      </c>
      <c r="O233" s="125" t="s">
        <v>54</v>
      </c>
    </row>
    <row r="234" ht="15.75" customHeight="1">
      <c r="B234" s="125" t="s">
        <v>2774</v>
      </c>
      <c r="C234" s="125" t="s">
        <v>2891</v>
      </c>
      <c r="D234" s="125" t="s">
        <v>2892</v>
      </c>
      <c r="F234" s="152">
        <v>1.0</v>
      </c>
      <c r="H234" s="125" t="s">
        <v>25</v>
      </c>
      <c r="K234" s="125" t="s">
        <v>155</v>
      </c>
      <c r="O234" s="125" t="s">
        <v>54</v>
      </c>
    </row>
    <row r="235" ht="15.75" customHeight="1">
      <c r="B235" s="125" t="s">
        <v>1904</v>
      </c>
      <c r="C235" s="125" t="s">
        <v>3288</v>
      </c>
      <c r="D235" s="125" t="s">
        <v>459</v>
      </c>
      <c r="F235" s="152">
        <v>1.0</v>
      </c>
      <c r="H235" s="125" t="s">
        <v>25</v>
      </c>
      <c r="K235" s="125" t="s">
        <v>172</v>
      </c>
      <c r="O235" s="125" t="s">
        <v>54</v>
      </c>
    </row>
    <row r="236" ht="15.75" customHeight="1">
      <c r="B236" s="125" t="s">
        <v>791</v>
      </c>
      <c r="C236" s="125" t="s">
        <v>418</v>
      </c>
      <c r="D236" s="125" t="s">
        <v>459</v>
      </c>
      <c r="F236" s="152">
        <v>1.0</v>
      </c>
      <c r="H236" s="125" t="s">
        <v>25</v>
      </c>
      <c r="K236" s="125" t="s">
        <v>155</v>
      </c>
      <c r="O236" s="125" t="s">
        <v>54</v>
      </c>
    </row>
    <row r="237" ht="15.75" customHeight="1">
      <c r="B237" s="125" t="s">
        <v>3289</v>
      </c>
      <c r="C237" s="125" t="s">
        <v>461</v>
      </c>
      <c r="D237" s="125" t="s">
        <v>462</v>
      </c>
      <c r="F237" s="152">
        <v>1.0</v>
      </c>
      <c r="H237" s="125" t="s">
        <v>25</v>
      </c>
      <c r="K237" s="125" t="s">
        <v>155</v>
      </c>
      <c r="O237" s="125" t="s">
        <v>54</v>
      </c>
    </row>
    <row r="238" ht="15.75" customHeight="1">
      <c r="B238" s="125" t="s">
        <v>1268</v>
      </c>
      <c r="C238" s="125" t="s">
        <v>320</v>
      </c>
      <c r="D238" s="125" t="s">
        <v>321</v>
      </c>
      <c r="F238" s="152">
        <v>1.0</v>
      </c>
      <c r="H238" s="125" t="s">
        <v>25</v>
      </c>
      <c r="K238" s="125" t="s">
        <v>155</v>
      </c>
      <c r="O238" s="125" t="s">
        <v>54</v>
      </c>
    </row>
    <row r="239" ht="15.75" customHeight="1">
      <c r="B239" s="125" t="s">
        <v>3290</v>
      </c>
      <c r="C239" s="125" t="s">
        <v>320</v>
      </c>
      <c r="D239" s="125" t="s">
        <v>321</v>
      </c>
      <c r="F239" s="152">
        <v>1.7</v>
      </c>
      <c r="H239" s="125" t="s">
        <v>25</v>
      </c>
      <c r="K239" s="125" t="s">
        <v>155</v>
      </c>
      <c r="O239" s="125" t="s">
        <v>54</v>
      </c>
    </row>
    <row r="240" ht="15.75" customHeight="1">
      <c r="B240" s="125" t="s">
        <v>1481</v>
      </c>
      <c r="C240" s="125" t="s">
        <v>2029</v>
      </c>
      <c r="D240" s="125" t="s">
        <v>321</v>
      </c>
      <c r="F240" s="152">
        <v>1.8</v>
      </c>
      <c r="H240" s="125" t="s">
        <v>25</v>
      </c>
      <c r="K240" s="125" t="s">
        <v>155</v>
      </c>
      <c r="O240" s="125" t="s">
        <v>54</v>
      </c>
    </row>
    <row r="241" ht="15.75" customHeight="1">
      <c r="B241" s="125" t="s">
        <v>3291</v>
      </c>
      <c r="C241" s="125" t="s">
        <v>3292</v>
      </c>
      <c r="D241" s="125" t="s">
        <v>2896</v>
      </c>
      <c r="F241" s="152">
        <v>0.8</v>
      </c>
      <c r="H241" s="125" t="s">
        <v>25</v>
      </c>
      <c r="K241" s="125" t="s">
        <v>682</v>
      </c>
      <c r="O241" s="125" t="s">
        <v>74</v>
      </c>
    </row>
    <row r="242" ht="15.75" customHeight="1">
      <c r="B242" s="125" t="s">
        <v>3293</v>
      </c>
      <c r="C242" s="125" t="s">
        <v>293</v>
      </c>
      <c r="D242" s="125" t="s">
        <v>3294</v>
      </c>
      <c r="F242" s="152">
        <v>1.0</v>
      </c>
      <c r="H242" s="125" t="s">
        <v>25</v>
      </c>
      <c r="K242" s="125" t="s">
        <v>155</v>
      </c>
      <c r="O242" s="125" t="s">
        <v>54</v>
      </c>
    </row>
    <row r="243" ht="15.75" customHeight="1">
      <c r="B243" s="125" t="s">
        <v>308</v>
      </c>
      <c r="C243" s="125" t="s">
        <v>2923</v>
      </c>
      <c r="D243" s="125" t="s">
        <v>117</v>
      </c>
      <c r="F243" s="152">
        <v>0.4</v>
      </c>
      <c r="H243" s="125" t="s">
        <v>25</v>
      </c>
      <c r="M243" s="125" t="s">
        <v>371</v>
      </c>
      <c r="O243" s="125" t="s">
        <v>54</v>
      </c>
    </row>
    <row r="244" ht="15.75" customHeight="1">
      <c r="B244" s="125" t="s">
        <v>1429</v>
      </c>
      <c r="C244" s="125" t="s">
        <v>1430</v>
      </c>
      <c r="D244" s="125" t="s">
        <v>1431</v>
      </c>
      <c r="F244" s="152">
        <v>1.0</v>
      </c>
      <c r="H244" s="125" t="s">
        <v>27</v>
      </c>
      <c r="I244" s="125" t="s">
        <v>179</v>
      </c>
      <c r="O244" s="125" t="s">
        <v>54</v>
      </c>
    </row>
    <row r="245" ht="15.75" customHeight="1">
      <c r="B245" s="125" t="s">
        <v>1744</v>
      </c>
      <c r="C245" s="125" t="s">
        <v>785</v>
      </c>
      <c r="D245" s="125" t="s">
        <v>774</v>
      </c>
      <c r="F245" s="152">
        <v>1.0</v>
      </c>
      <c r="H245" s="125" t="s">
        <v>27</v>
      </c>
      <c r="I245" s="125" t="s">
        <v>179</v>
      </c>
      <c r="O245" s="125" t="s">
        <v>54</v>
      </c>
    </row>
    <row r="246" ht="15.75" customHeight="1">
      <c r="B246" s="125" t="s">
        <v>510</v>
      </c>
      <c r="C246" s="125" t="s">
        <v>3295</v>
      </c>
      <c r="D246" s="125" t="s">
        <v>3296</v>
      </c>
      <c r="F246" s="152">
        <v>1.0</v>
      </c>
      <c r="H246" s="125" t="s">
        <v>27</v>
      </c>
      <c r="I246" s="125" t="s">
        <v>179</v>
      </c>
      <c r="O246" s="125" t="s">
        <v>54</v>
      </c>
    </row>
    <row r="247" ht="15.75" customHeight="1">
      <c r="B247" s="125" t="s">
        <v>695</v>
      </c>
      <c r="C247" s="125" t="s">
        <v>3297</v>
      </c>
      <c r="D247" s="125" t="s">
        <v>398</v>
      </c>
      <c r="F247" s="152">
        <v>1.0</v>
      </c>
      <c r="H247" s="125" t="s">
        <v>27</v>
      </c>
      <c r="I247" s="125" t="s">
        <v>179</v>
      </c>
      <c r="O247" s="125" t="s">
        <v>54</v>
      </c>
    </row>
    <row r="248" ht="15.75" customHeight="1">
      <c r="B248" s="125" t="s">
        <v>390</v>
      </c>
      <c r="C248" s="125" t="s">
        <v>3298</v>
      </c>
      <c r="D248" s="125" t="s">
        <v>3299</v>
      </c>
      <c r="F248" s="152">
        <v>1.0</v>
      </c>
      <c r="H248" s="125" t="s">
        <v>27</v>
      </c>
      <c r="I248" s="125" t="s">
        <v>179</v>
      </c>
      <c r="O248" s="125" t="s">
        <v>54</v>
      </c>
    </row>
    <row r="249" ht="15.75" customHeight="1">
      <c r="B249" s="125" t="s">
        <v>896</v>
      </c>
      <c r="C249" s="125" t="s">
        <v>3300</v>
      </c>
      <c r="D249" s="125" t="s">
        <v>785</v>
      </c>
      <c r="F249" s="152">
        <v>2.0</v>
      </c>
      <c r="H249" s="125" t="s">
        <v>27</v>
      </c>
      <c r="K249" s="125" t="s">
        <v>155</v>
      </c>
      <c r="O249" s="125" t="s">
        <v>54</v>
      </c>
    </row>
    <row r="250" ht="15.75" customHeight="1">
      <c r="B250" s="125" t="s">
        <v>3301</v>
      </c>
      <c r="C250" s="125" t="s">
        <v>3302</v>
      </c>
      <c r="D250" s="125" t="s">
        <v>693</v>
      </c>
      <c r="F250" s="152">
        <v>2.0</v>
      </c>
      <c r="H250" s="125" t="s">
        <v>27</v>
      </c>
      <c r="K250" s="125" t="s">
        <v>155</v>
      </c>
      <c r="O250" s="125" t="s">
        <v>54</v>
      </c>
    </row>
    <row r="251" ht="15.75" customHeight="1">
      <c r="B251" s="125" t="s">
        <v>3303</v>
      </c>
      <c r="C251" s="125" t="s">
        <v>3304</v>
      </c>
      <c r="D251" s="125" t="s">
        <v>3305</v>
      </c>
      <c r="F251" s="152">
        <v>1.0</v>
      </c>
      <c r="H251" s="125" t="s">
        <v>27</v>
      </c>
      <c r="I251" s="125" t="s">
        <v>179</v>
      </c>
      <c r="O251" s="125" t="s">
        <v>54</v>
      </c>
    </row>
    <row r="252" ht="15.75" customHeight="1">
      <c r="B252" s="125" t="s">
        <v>109</v>
      </c>
      <c r="C252" s="125" t="s">
        <v>3306</v>
      </c>
      <c r="D252" s="125" t="s">
        <v>793</v>
      </c>
      <c r="F252" s="152">
        <v>2.0</v>
      </c>
      <c r="H252" s="125" t="s">
        <v>27</v>
      </c>
      <c r="K252" s="125" t="s">
        <v>155</v>
      </c>
      <c r="O252" s="125" t="s">
        <v>54</v>
      </c>
    </row>
    <row r="253" ht="15.75" customHeight="1">
      <c r="B253" s="125" t="s">
        <v>3165</v>
      </c>
      <c r="C253" s="125" t="s">
        <v>792</v>
      </c>
      <c r="D253" s="125" t="s">
        <v>793</v>
      </c>
      <c r="F253" s="152">
        <v>1.0</v>
      </c>
      <c r="H253" s="125" t="s">
        <v>27</v>
      </c>
      <c r="I253" s="125" t="s">
        <v>179</v>
      </c>
      <c r="O253" s="125" t="s">
        <v>54</v>
      </c>
    </row>
    <row r="254" ht="15.75" customHeight="1">
      <c r="B254" s="125" t="s">
        <v>109</v>
      </c>
      <c r="C254" s="125" t="s">
        <v>3306</v>
      </c>
      <c r="D254" s="125" t="s">
        <v>793</v>
      </c>
      <c r="F254" s="152">
        <v>2.0</v>
      </c>
      <c r="H254" s="125" t="s">
        <v>27</v>
      </c>
      <c r="I254" s="125" t="s">
        <v>179</v>
      </c>
      <c r="O254" s="125" t="s">
        <v>54</v>
      </c>
    </row>
    <row r="255" ht="15.75" customHeight="1">
      <c r="B255" s="125" t="s">
        <v>3307</v>
      </c>
      <c r="C255" s="125" t="s">
        <v>3308</v>
      </c>
      <c r="D255" s="125" t="s">
        <v>3309</v>
      </c>
      <c r="F255" s="152">
        <v>1.0</v>
      </c>
      <c r="H255" s="125" t="s">
        <v>27</v>
      </c>
      <c r="I255" s="125" t="s">
        <v>179</v>
      </c>
      <c r="O255" s="125" t="s">
        <v>54</v>
      </c>
    </row>
    <row r="256" ht="15.75" customHeight="1">
      <c r="B256" s="125" t="s">
        <v>420</v>
      </c>
      <c r="C256" s="125" t="s">
        <v>1714</v>
      </c>
      <c r="D256" s="125" t="s">
        <v>796</v>
      </c>
      <c r="F256" s="152">
        <v>1.0</v>
      </c>
      <c r="H256" s="125" t="s">
        <v>27</v>
      </c>
      <c r="I256" s="125" t="s">
        <v>179</v>
      </c>
      <c r="O256" s="125" t="s">
        <v>54</v>
      </c>
    </row>
    <row r="257" ht="15.75" customHeight="1">
      <c r="B257" s="125" t="s">
        <v>1357</v>
      </c>
      <c r="C257" s="125" t="s">
        <v>3310</v>
      </c>
      <c r="D257" s="125" t="s">
        <v>796</v>
      </c>
      <c r="F257" s="152">
        <v>1.0</v>
      </c>
      <c r="H257" s="125" t="s">
        <v>27</v>
      </c>
      <c r="I257" s="125" t="s">
        <v>179</v>
      </c>
      <c r="O257" s="125" t="s">
        <v>54</v>
      </c>
    </row>
    <row r="258" ht="15.75" customHeight="1">
      <c r="B258" s="125" t="s">
        <v>797</v>
      </c>
      <c r="C258" s="125" t="s">
        <v>795</v>
      </c>
      <c r="D258" s="125" t="s">
        <v>796</v>
      </c>
      <c r="F258" s="152">
        <v>1.25</v>
      </c>
      <c r="H258" s="125" t="s">
        <v>27</v>
      </c>
      <c r="I258" s="125" t="s">
        <v>179</v>
      </c>
      <c r="O258" s="125" t="s">
        <v>54</v>
      </c>
    </row>
    <row r="259" ht="15.75" customHeight="1">
      <c r="B259" s="125" t="s">
        <v>71</v>
      </c>
      <c r="C259" s="125" t="s">
        <v>3311</v>
      </c>
      <c r="D259" s="125" t="s">
        <v>3312</v>
      </c>
      <c r="F259" s="152">
        <v>3.0</v>
      </c>
      <c r="H259" s="125" t="s">
        <v>27</v>
      </c>
      <c r="K259" s="125" t="s">
        <v>155</v>
      </c>
      <c r="O259" s="125" t="s">
        <v>54</v>
      </c>
    </row>
    <row r="260" ht="15.75" customHeight="1">
      <c r="B260" s="125" t="s">
        <v>2279</v>
      </c>
      <c r="C260" s="125" t="s">
        <v>3313</v>
      </c>
      <c r="D260" s="125" t="s">
        <v>293</v>
      </c>
      <c r="F260" s="152">
        <v>1.0</v>
      </c>
      <c r="H260" s="125" t="s">
        <v>27</v>
      </c>
      <c r="I260" s="125" t="s">
        <v>179</v>
      </c>
      <c r="O260" s="125" t="s">
        <v>54</v>
      </c>
    </row>
    <row r="261" ht="15.75" customHeight="1">
      <c r="B261" s="125" t="s">
        <v>1404</v>
      </c>
      <c r="C261" s="125" t="s">
        <v>597</v>
      </c>
      <c r="D261" s="125" t="s">
        <v>736</v>
      </c>
      <c r="F261" s="152">
        <v>1.0</v>
      </c>
      <c r="H261" s="125" t="s">
        <v>27</v>
      </c>
      <c r="I261" s="125" t="s">
        <v>179</v>
      </c>
      <c r="O261" s="125" t="s">
        <v>54</v>
      </c>
    </row>
    <row r="262" ht="15.75" customHeight="1">
      <c r="B262" s="125" t="s">
        <v>776</v>
      </c>
      <c r="C262" s="125" t="s">
        <v>800</v>
      </c>
      <c r="D262" s="125" t="s">
        <v>801</v>
      </c>
      <c r="F262" s="152">
        <v>4.0</v>
      </c>
      <c r="H262" s="125" t="s">
        <v>27</v>
      </c>
      <c r="I262" s="125" t="s">
        <v>179</v>
      </c>
      <c r="O262" s="125" t="s">
        <v>54</v>
      </c>
    </row>
    <row r="263" ht="15.75" customHeight="1">
      <c r="B263" s="125" t="s">
        <v>3314</v>
      </c>
      <c r="C263" s="125" t="s">
        <v>1132</v>
      </c>
      <c r="D263" s="125" t="s">
        <v>3315</v>
      </c>
      <c r="F263" s="152">
        <v>1.0</v>
      </c>
      <c r="H263" s="125" t="s">
        <v>27</v>
      </c>
      <c r="I263" s="125" t="s">
        <v>179</v>
      </c>
      <c r="O263" s="125" t="s">
        <v>54</v>
      </c>
    </row>
    <row r="264" ht="15.75" customHeight="1">
      <c r="B264" s="125" t="s">
        <v>3316</v>
      </c>
      <c r="C264" s="125" t="s">
        <v>3312</v>
      </c>
      <c r="D264" s="125" t="s">
        <v>808</v>
      </c>
      <c r="F264" s="152">
        <v>1.0</v>
      </c>
      <c r="H264" s="125" t="s">
        <v>27</v>
      </c>
      <c r="I264" s="125" t="s">
        <v>179</v>
      </c>
      <c r="O264" s="125" t="s">
        <v>54</v>
      </c>
    </row>
    <row r="265" ht="15.75" customHeight="1">
      <c r="B265" s="125" t="s">
        <v>1390</v>
      </c>
      <c r="C265" s="125" t="s">
        <v>1722</v>
      </c>
      <c r="D265" s="125" t="s">
        <v>777</v>
      </c>
      <c r="F265" s="152">
        <v>1.0</v>
      </c>
      <c r="H265" s="125" t="s">
        <v>27</v>
      </c>
      <c r="I265" s="125" t="s">
        <v>179</v>
      </c>
      <c r="O265" s="125" t="s">
        <v>54</v>
      </c>
    </row>
    <row r="266" ht="15.75" customHeight="1">
      <c r="B266" s="125" t="s">
        <v>3317</v>
      </c>
      <c r="C266" s="125" t="s">
        <v>117</v>
      </c>
      <c r="D266" s="125" t="s">
        <v>3318</v>
      </c>
      <c r="F266" s="152">
        <v>2.75</v>
      </c>
      <c r="H266" s="125" t="s">
        <v>27</v>
      </c>
      <c r="K266" s="125" t="s">
        <v>53</v>
      </c>
      <c r="O266" s="125" t="s">
        <v>54</v>
      </c>
    </row>
    <row r="267" ht="15.75" customHeight="1">
      <c r="B267" s="125" t="s">
        <v>1723</v>
      </c>
      <c r="C267" s="125" t="s">
        <v>3319</v>
      </c>
      <c r="D267" s="125" t="s">
        <v>679</v>
      </c>
      <c r="E267" s="125" t="s">
        <v>86</v>
      </c>
      <c r="F267" s="152">
        <v>1.0</v>
      </c>
      <c r="H267" s="125" t="s">
        <v>27</v>
      </c>
      <c r="I267" s="125" t="s">
        <v>179</v>
      </c>
      <c r="O267" s="125" t="s">
        <v>54</v>
      </c>
    </row>
    <row r="268" ht="15.75" customHeight="1">
      <c r="B268" s="125" t="s">
        <v>677</v>
      </c>
      <c r="C268" s="125" t="s">
        <v>3319</v>
      </c>
      <c r="D268" s="125" t="s">
        <v>679</v>
      </c>
      <c r="F268" s="152">
        <v>3.0</v>
      </c>
      <c r="H268" s="125" t="s">
        <v>27</v>
      </c>
      <c r="K268" s="125" t="s">
        <v>53</v>
      </c>
      <c r="O268" s="125" t="s">
        <v>54</v>
      </c>
    </row>
    <row r="269" ht="15.75" customHeight="1">
      <c r="B269" s="125" t="s">
        <v>3320</v>
      </c>
      <c r="C269" s="125" t="s">
        <v>1183</v>
      </c>
      <c r="D269" s="125" t="s">
        <v>2747</v>
      </c>
      <c r="F269" s="152">
        <v>1.75</v>
      </c>
      <c r="H269" s="125" t="s">
        <v>27</v>
      </c>
      <c r="I269" s="125" t="s">
        <v>179</v>
      </c>
      <c r="O269" s="125" t="s">
        <v>54</v>
      </c>
    </row>
    <row r="270" ht="15.75" customHeight="1">
      <c r="B270" s="125" t="s">
        <v>3320</v>
      </c>
      <c r="C270" s="125" t="s">
        <v>1183</v>
      </c>
      <c r="D270" s="125" t="s">
        <v>2747</v>
      </c>
      <c r="F270" s="152">
        <v>1.75</v>
      </c>
      <c r="H270" s="125" t="s">
        <v>27</v>
      </c>
      <c r="I270" s="125" t="s">
        <v>179</v>
      </c>
      <c r="O270" s="125" t="s">
        <v>54</v>
      </c>
    </row>
    <row r="271" ht="15.75" customHeight="1">
      <c r="B271" s="125" t="s">
        <v>1692</v>
      </c>
      <c r="C271" s="125" t="s">
        <v>690</v>
      </c>
      <c r="D271" s="125" t="s">
        <v>2527</v>
      </c>
      <c r="F271" s="152">
        <v>1.5</v>
      </c>
      <c r="H271" s="125" t="s">
        <v>27</v>
      </c>
      <c r="I271" s="125" t="s">
        <v>179</v>
      </c>
      <c r="O271" s="125" t="s">
        <v>54</v>
      </c>
    </row>
    <row r="272" ht="15.75" customHeight="1">
      <c r="B272" s="125" t="s">
        <v>2683</v>
      </c>
      <c r="C272" s="125" t="s">
        <v>774</v>
      </c>
      <c r="D272" s="125" t="s">
        <v>2424</v>
      </c>
      <c r="F272" s="152">
        <v>1.0</v>
      </c>
      <c r="H272" s="125" t="s">
        <v>27</v>
      </c>
      <c r="I272" s="125" t="s">
        <v>179</v>
      </c>
      <c r="O272" s="125" t="s">
        <v>54</v>
      </c>
    </row>
    <row r="273" ht="15.75" customHeight="1">
      <c r="B273" s="125" t="s">
        <v>3321</v>
      </c>
      <c r="C273" s="125" t="s">
        <v>657</v>
      </c>
      <c r="D273" s="125" t="s">
        <v>820</v>
      </c>
      <c r="E273" s="125" t="s">
        <v>137</v>
      </c>
      <c r="F273" s="152">
        <v>1.0</v>
      </c>
      <c r="H273" s="125" t="s">
        <v>27</v>
      </c>
      <c r="I273" s="125" t="s">
        <v>179</v>
      </c>
      <c r="O273" s="125" t="s">
        <v>54</v>
      </c>
    </row>
    <row r="274" ht="15.75" customHeight="1">
      <c r="B274" s="125" t="s">
        <v>896</v>
      </c>
      <c r="C274" s="125" t="s">
        <v>3322</v>
      </c>
      <c r="D274" s="125" t="s">
        <v>3323</v>
      </c>
      <c r="F274" s="152">
        <v>1.0</v>
      </c>
      <c r="H274" s="125" t="s">
        <v>27</v>
      </c>
      <c r="I274" s="125" t="s">
        <v>179</v>
      </c>
      <c r="O274" s="125" t="s">
        <v>54</v>
      </c>
    </row>
    <row r="275" ht="15.75" customHeight="1">
      <c r="B275" s="125" t="s">
        <v>2918</v>
      </c>
      <c r="C275" s="125" t="s">
        <v>3324</v>
      </c>
      <c r="D275" s="125" t="s">
        <v>3325</v>
      </c>
      <c r="F275" s="152">
        <v>1.0</v>
      </c>
      <c r="H275" s="125" t="s">
        <v>27</v>
      </c>
      <c r="I275" s="125" t="s">
        <v>179</v>
      </c>
      <c r="O275" s="125" t="s">
        <v>54</v>
      </c>
    </row>
    <row r="276" ht="15.75" customHeight="1">
      <c r="B276" s="125" t="s">
        <v>823</v>
      </c>
      <c r="C276" s="125" t="s">
        <v>827</v>
      </c>
      <c r="D276" s="125" t="s">
        <v>687</v>
      </c>
      <c r="F276" s="152">
        <v>1.0</v>
      </c>
      <c r="H276" s="125" t="s">
        <v>27</v>
      </c>
      <c r="I276" s="125" t="s">
        <v>179</v>
      </c>
      <c r="O276" s="125" t="s">
        <v>54</v>
      </c>
    </row>
    <row r="277" ht="15.75" customHeight="1">
      <c r="B277" s="125" t="s">
        <v>688</v>
      </c>
      <c r="C277" s="125" t="s">
        <v>689</v>
      </c>
      <c r="D277" s="125" t="s">
        <v>687</v>
      </c>
      <c r="F277" s="152">
        <v>1.0</v>
      </c>
      <c r="H277" s="125" t="s">
        <v>27</v>
      </c>
      <c r="I277" s="125" t="s">
        <v>179</v>
      </c>
      <c r="O277" s="125" t="s">
        <v>54</v>
      </c>
    </row>
    <row r="278" ht="15.75" customHeight="1">
      <c r="B278" s="125" t="s">
        <v>3326</v>
      </c>
      <c r="C278" s="125" t="s">
        <v>779</v>
      </c>
      <c r="D278" s="125" t="s">
        <v>3327</v>
      </c>
      <c r="F278" s="152">
        <v>1.0</v>
      </c>
      <c r="H278" s="125" t="s">
        <v>27</v>
      </c>
      <c r="I278" s="125" t="s">
        <v>179</v>
      </c>
      <c r="O278" s="125" t="s">
        <v>54</v>
      </c>
    </row>
    <row r="279" ht="15.75" customHeight="1">
      <c r="B279" s="125" t="s">
        <v>3328</v>
      </c>
      <c r="C279" s="125" t="s">
        <v>3329</v>
      </c>
      <c r="D279" s="125" t="s">
        <v>836</v>
      </c>
      <c r="F279" s="152">
        <v>3.0</v>
      </c>
      <c r="H279" s="125" t="s">
        <v>27</v>
      </c>
      <c r="K279" s="125" t="s">
        <v>172</v>
      </c>
      <c r="O279" s="125" t="s">
        <v>54</v>
      </c>
    </row>
    <row r="280" ht="15.75" customHeight="1">
      <c r="B280" s="125" t="s">
        <v>165</v>
      </c>
      <c r="C280" s="125" t="s">
        <v>588</v>
      </c>
      <c r="D280" s="125" t="s">
        <v>1297</v>
      </c>
      <c r="F280" s="152">
        <v>1.0</v>
      </c>
      <c r="H280" s="125" t="s">
        <v>27</v>
      </c>
      <c r="I280" s="125" t="s">
        <v>179</v>
      </c>
      <c r="O280" s="125" t="s">
        <v>54</v>
      </c>
    </row>
    <row r="281" ht="15.75" customHeight="1">
      <c r="B281" s="125" t="s">
        <v>2918</v>
      </c>
      <c r="C281" s="125" t="s">
        <v>3330</v>
      </c>
      <c r="D281" s="125" t="s">
        <v>781</v>
      </c>
      <c r="F281" s="152">
        <v>0.66</v>
      </c>
      <c r="H281" s="125" t="s">
        <v>27</v>
      </c>
      <c r="I281" s="125" t="s">
        <v>179</v>
      </c>
      <c r="O281" s="125" t="s">
        <v>54</v>
      </c>
    </row>
    <row r="282" ht="15.75" customHeight="1">
      <c r="B282" s="125" t="s">
        <v>1404</v>
      </c>
      <c r="C282" s="125" t="s">
        <v>3331</v>
      </c>
      <c r="D282" s="125" t="s">
        <v>3332</v>
      </c>
      <c r="F282" s="152">
        <v>3.0</v>
      </c>
      <c r="H282" s="125" t="s">
        <v>27</v>
      </c>
      <c r="K282" s="125" t="s">
        <v>53</v>
      </c>
      <c r="O282" s="125" t="s">
        <v>54</v>
      </c>
    </row>
    <row r="283" ht="15.75" customHeight="1">
      <c r="B283" s="125" t="s">
        <v>3333</v>
      </c>
      <c r="C283" s="125" t="s">
        <v>785</v>
      </c>
      <c r="D283" s="125" t="s">
        <v>1740</v>
      </c>
      <c r="F283" s="152">
        <v>1.0</v>
      </c>
      <c r="H283" s="125" t="s">
        <v>27</v>
      </c>
      <c r="I283" s="125" t="s">
        <v>179</v>
      </c>
      <c r="O283" s="125" t="s">
        <v>54</v>
      </c>
    </row>
    <row r="284" ht="15.75" customHeight="1">
      <c r="B284" s="125" t="s">
        <v>3334</v>
      </c>
      <c r="C284" s="125" t="s">
        <v>777</v>
      </c>
      <c r="D284" s="125" t="s">
        <v>864</v>
      </c>
      <c r="F284" s="152">
        <v>4.0</v>
      </c>
      <c r="H284" s="125" t="s">
        <v>27</v>
      </c>
      <c r="K284" s="125" t="s">
        <v>155</v>
      </c>
      <c r="O284" s="125" t="s">
        <v>54</v>
      </c>
    </row>
    <row r="285" ht="15.75" customHeight="1">
      <c r="B285" s="125" t="s">
        <v>1390</v>
      </c>
      <c r="C285" s="125" t="s">
        <v>779</v>
      </c>
      <c r="D285" s="125" t="s">
        <v>3335</v>
      </c>
      <c r="F285" s="152">
        <v>1.0</v>
      </c>
      <c r="H285" s="125" t="s">
        <v>27</v>
      </c>
      <c r="I285" s="125" t="s">
        <v>179</v>
      </c>
      <c r="O285" s="125" t="s">
        <v>54</v>
      </c>
    </row>
    <row r="286" ht="15.75" customHeight="1">
      <c r="B286" s="125" t="s">
        <v>3336</v>
      </c>
      <c r="C286" s="125" t="s">
        <v>1437</v>
      </c>
      <c r="D286" s="125" t="s">
        <v>1438</v>
      </c>
      <c r="F286" s="152">
        <v>1.0</v>
      </c>
      <c r="H286" s="125" t="s">
        <v>27</v>
      </c>
      <c r="I286" s="125" t="s">
        <v>179</v>
      </c>
      <c r="O286" s="125" t="s">
        <v>54</v>
      </c>
    </row>
    <row r="287" ht="15.75" customHeight="1">
      <c r="B287" s="125" t="s">
        <v>319</v>
      </c>
      <c r="C287" s="125" t="s">
        <v>88</v>
      </c>
      <c r="D287" s="125" t="s">
        <v>795</v>
      </c>
      <c r="F287" s="152">
        <v>3.0</v>
      </c>
      <c r="H287" s="125" t="s">
        <v>27</v>
      </c>
      <c r="I287" s="125" t="s">
        <v>179</v>
      </c>
      <c r="O287" s="125" t="s">
        <v>54</v>
      </c>
    </row>
    <row r="288" ht="15.75" customHeight="1">
      <c r="B288" s="125" t="s">
        <v>1013</v>
      </c>
      <c r="C288" s="125" t="s">
        <v>2443</v>
      </c>
      <c r="D288" s="125" t="s">
        <v>76</v>
      </c>
      <c r="F288" s="152">
        <v>1.0</v>
      </c>
      <c r="H288" s="125" t="s">
        <v>27</v>
      </c>
      <c r="I288" s="125" t="s">
        <v>179</v>
      </c>
      <c r="O288" s="125" t="s">
        <v>3337</v>
      </c>
    </row>
    <row r="289" ht="15.75" customHeight="1">
      <c r="B289" s="125" t="s">
        <v>3338</v>
      </c>
      <c r="C289" s="125" t="s">
        <v>1004</v>
      </c>
      <c r="D289" s="125" t="s">
        <v>1347</v>
      </c>
      <c r="F289" s="152">
        <v>2.0</v>
      </c>
      <c r="H289" s="125" t="s">
        <v>27</v>
      </c>
      <c r="I289" s="125" t="s">
        <v>179</v>
      </c>
      <c r="O289" s="125" t="s">
        <v>54</v>
      </c>
    </row>
    <row r="290" ht="15.75" customHeight="1">
      <c r="B290" s="125" t="s">
        <v>2444</v>
      </c>
      <c r="C290" s="125" t="s">
        <v>357</v>
      </c>
      <c r="D290" s="125" t="s">
        <v>889</v>
      </c>
      <c r="F290" s="152">
        <v>5.0</v>
      </c>
      <c r="H290" s="125" t="s">
        <v>27</v>
      </c>
      <c r="I290" s="125" t="s">
        <v>179</v>
      </c>
      <c r="O290" s="125" t="s">
        <v>54</v>
      </c>
    </row>
    <row r="291" ht="15.75" customHeight="1">
      <c r="B291" s="125" t="s">
        <v>888</v>
      </c>
      <c r="C291" s="125" t="s">
        <v>779</v>
      </c>
      <c r="D291" s="125" t="s">
        <v>889</v>
      </c>
      <c r="F291" s="152">
        <v>3.0</v>
      </c>
      <c r="H291" s="125" t="s">
        <v>27</v>
      </c>
      <c r="I291" s="125" t="s">
        <v>179</v>
      </c>
      <c r="O291" s="125" t="s">
        <v>54</v>
      </c>
    </row>
    <row r="292" ht="15.75" customHeight="1">
      <c r="B292" s="125" t="s">
        <v>3339</v>
      </c>
      <c r="C292" s="125" t="s">
        <v>836</v>
      </c>
      <c r="D292" s="125" t="s">
        <v>891</v>
      </c>
      <c r="F292" s="152">
        <v>1.0</v>
      </c>
      <c r="H292" s="125" t="s">
        <v>27</v>
      </c>
      <c r="I292" s="125" t="s">
        <v>179</v>
      </c>
      <c r="O292" s="125" t="s">
        <v>54</v>
      </c>
    </row>
    <row r="293" ht="15.75" customHeight="1">
      <c r="B293" s="125" t="s">
        <v>3340</v>
      </c>
      <c r="C293" s="125" t="s">
        <v>3341</v>
      </c>
      <c r="D293" s="125" t="s">
        <v>3342</v>
      </c>
      <c r="F293" s="152">
        <v>2.0</v>
      </c>
      <c r="H293" s="125" t="s">
        <v>27</v>
      </c>
      <c r="I293" s="125" t="s">
        <v>179</v>
      </c>
      <c r="O293" s="125" t="s">
        <v>54</v>
      </c>
    </row>
    <row r="294" ht="15.75" customHeight="1">
      <c r="B294" s="125" t="s">
        <v>3343</v>
      </c>
      <c r="C294" s="125" t="s">
        <v>3344</v>
      </c>
      <c r="D294" s="125" t="s">
        <v>3345</v>
      </c>
      <c r="F294" s="152">
        <v>2.0</v>
      </c>
      <c r="H294" s="125" t="s">
        <v>27</v>
      </c>
      <c r="M294" s="125" t="s">
        <v>3346</v>
      </c>
      <c r="O294" s="125" t="s">
        <v>54</v>
      </c>
    </row>
    <row r="295" ht="15.75" customHeight="1">
      <c r="B295" s="125" t="s">
        <v>2779</v>
      </c>
      <c r="C295" s="125" t="s">
        <v>3347</v>
      </c>
      <c r="D295" s="125" t="s">
        <v>3348</v>
      </c>
      <c r="F295" s="152">
        <v>1.0</v>
      </c>
      <c r="H295" s="125" t="s">
        <v>27</v>
      </c>
      <c r="I295" s="125" t="s">
        <v>179</v>
      </c>
      <c r="O295" s="125" t="s">
        <v>54</v>
      </c>
    </row>
    <row r="296" ht="15.75" customHeight="1">
      <c r="B296" s="125" t="s">
        <v>211</v>
      </c>
      <c r="C296" s="125" t="s">
        <v>2747</v>
      </c>
      <c r="D296" s="125" t="s">
        <v>1843</v>
      </c>
      <c r="F296" s="152">
        <v>1.0</v>
      </c>
      <c r="H296" s="125" t="s">
        <v>27</v>
      </c>
      <c r="I296" s="125" t="s">
        <v>179</v>
      </c>
      <c r="O296" s="125" t="s">
        <v>54</v>
      </c>
    </row>
    <row r="297" ht="15.75" customHeight="1">
      <c r="B297" s="125" t="s">
        <v>3349</v>
      </c>
      <c r="C297" s="125" t="s">
        <v>107</v>
      </c>
      <c r="D297" s="125" t="s">
        <v>963</v>
      </c>
      <c r="F297" s="152">
        <v>1.0</v>
      </c>
      <c r="H297" s="125" t="s">
        <v>27</v>
      </c>
      <c r="I297" s="125" t="s">
        <v>179</v>
      </c>
      <c r="O297" s="125" t="s">
        <v>54</v>
      </c>
    </row>
    <row r="298" ht="15.75" customHeight="1">
      <c r="B298" s="125" t="s">
        <v>3349</v>
      </c>
      <c r="C298" s="125" t="s">
        <v>3350</v>
      </c>
      <c r="D298" s="125" t="s">
        <v>963</v>
      </c>
      <c r="E298" s="125" t="s">
        <v>137</v>
      </c>
      <c r="F298" s="152">
        <v>1.0</v>
      </c>
      <c r="H298" s="125" t="s">
        <v>27</v>
      </c>
      <c r="I298" s="125" t="s">
        <v>179</v>
      </c>
      <c r="O298" s="125" t="s">
        <v>54</v>
      </c>
    </row>
    <row r="299" ht="15.75" customHeight="1">
      <c r="B299" s="125" t="s">
        <v>3351</v>
      </c>
      <c r="C299" s="125" t="s">
        <v>3352</v>
      </c>
      <c r="D299" s="125" t="s">
        <v>868</v>
      </c>
      <c r="F299" s="152">
        <v>1.0</v>
      </c>
      <c r="H299" s="125" t="s">
        <v>27</v>
      </c>
      <c r="I299" s="125" t="s">
        <v>179</v>
      </c>
      <c r="O299" s="125" t="s">
        <v>54</v>
      </c>
    </row>
    <row r="300" ht="15.75" customHeight="1">
      <c r="B300" s="125" t="s">
        <v>1576</v>
      </c>
      <c r="C300" s="125" t="s">
        <v>3353</v>
      </c>
      <c r="D300" s="125" t="s">
        <v>3354</v>
      </c>
      <c r="F300" s="152">
        <v>1.0</v>
      </c>
      <c r="H300" s="125" t="s">
        <v>27</v>
      </c>
      <c r="I300" s="125" t="s">
        <v>179</v>
      </c>
      <c r="O300" s="125" t="s">
        <v>54</v>
      </c>
    </row>
    <row r="301" ht="15.75" customHeight="1">
      <c r="B301" s="125" t="s">
        <v>444</v>
      </c>
      <c r="C301" s="125" t="s">
        <v>3355</v>
      </c>
      <c r="D301" s="125" t="s">
        <v>3356</v>
      </c>
      <c r="F301" s="152">
        <v>1.0</v>
      </c>
      <c r="H301" s="125" t="s">
        <v>27</v>
      </c>
      <c r="I301" s="125" t="s">
        <v>179</v>
      </c>
      <c r="O301" s="125" t="s">
        <v>54</v>
      </c>
    </row>
    <row r="302" ht="15.75" customHeight="1">
      <c r="B302" s="125" t="s">
        <v>368</v>
      </c>
      <c r="C302" s="125" t="s">
        <v>781</v>
      </c>
      <c r="D302" s="125" t="s">
        <v>3357</v>
      </c>
      <c r="F302" s="152">
        <v>1.0</v>
      </c>
      <c r="H302" s="125" t="s">
        <v>27</v>
      </c>
      <c r="I302" s="125" t="s">
        <v>179</v>
      </c>
      <c r="O302" s="125" t="s">
        <v>54</v>
      </c>
    </row>
    <row r="303" ht="15.75" customHeight="1">
      <c r="B303" s="125" t="s">
        <v>3358</v>
      </c>
      <c r="C303" s="125" t="s">
        <v>781</v>
      </c>
      <c r="D303" s="125" t="s">
        <v>3359</v>
      </c>
      <c r="F303" s="152">
        <v>1.0</v>
      </c>
      <c r="H303" s="125" t="s">
        <v>27</v>
      </c>
      <c r="M303" s="125" t="s">
        <v>432</v>
      </c>
      <c r="O303" s="125" t="s">
        <v>54</v>
      </c>
    </row>
    <row r="304" ht="15.75" customHeight="1">
      <c r="B304" s="125" t="s">
        <v>3084</v>
      </c>
      <c r="C304" s="125" t="s">
        <v>1960</v>
      </c>
      <c r="D304" s="125" t="s">
        <v>1737</v>
      </c>
      <c r="F304" s="152">
        <v>1.0</v>
      </c>
      <c r="H304" s="125" t="s">
        <v>27</v>
      </c>
      <c r="I304" s="125" t="s">
        <v>179</v>
      </c>
      <c r="O304" s="125" t="s">
        <v>54</v>
      </c>
    </row>
    <row r="305" ht="15.75" customHeight="1">
      <c r="B305" s="125" t="s">
        <v>2779</v>
      </c>
      <c r="C305" s="125" t="s">
        <v>3360</v>
      </c>
      <c r="D305" s="125" t="s">
        <v>3361</v>
      </c>
      <c r="F305" s="152">
        <v>1.0</v>
      </c>
      <c r="H305" s="125" t="s">
        <v>27</v>
      </c>
      <c r="I305" s="125" t="s">
        <v>179</v>
      </c>
      <c r="O305" s="125" t="s">
        <v>54</v>
      </c>
    </row>
    <row r="306" ht="15.75" customHeight="1">
      <c r="B306" s="125" t="s">
        <v>1702</v>
      </c>
      <c r="C306" s="125" t="s">
        <v>3360</v>
      </c>
      <c r="D306" s="125" t="s">
        <v>3361</v>
      </c>
      <c r="F306" s="152">
        <v>0.75</v>
      </c>
      <c r="H306" s="125" t="s">
        <v>27</v>
      </c>
      <c r="M306" s="125" t="s">
        <v>3346</v>
      </c>
      <c r="O306" s="125" t="s">
        <v>54</v>
      </c>
    </row>
    <row r="307" ht="15.75" customHeight="1">
      <c r="B307" s="125" t="s">
        <v>3362</v>
      </c>
      <c r="C307" s="125" t="s">
        <v>2452</v>
      </c>
      <c r="D307" s="125" t="s">
        <v>917</v>
      </c>
      <c r="F307" s="152">
        <v>1.0</v>
      </c>
      <c r="H307" s="125" t="s">
        <v>27</v>
      </c>
      <c r="I307" s="125" t="s">
        <v>179</v>
      </c>
      <c r="O307" s="125" t="s">
        <v>54</v>
      </c>
    </row>
    <row r="308" ht="15.75" customHeight="1">
      <c r="B308" s="125" t="s">
        <v>3083</v>
      </c>
      <c r="C308" s="125" t="s">
        <v>963</v>
      </c>
      <c r="D308" s="125" t="s">
        <v>3363</v>
      </c>
      <c r="F308" s="152">
        <v>1.0</v>
      </c>
      <c r="H308" s="125" t="s">
        <v>27</v>
      </c>
      <c r="I308" s="125" t="s">
        <v>179</v>
      </c>
      <c r="O308" s="125" t="s">
        <v>54</v>
      </c>
    </row>
    <row r="309" ht="15.75" customHeight="1">
      <c r="B309" s="125" t="s">
        <v>699</v>
      </c>
      <c r="C309" s="125" t="s">
        <v>703</v>
      </c>
      <c r="D309" s="125" t="s">
        <v>3364</v>
      </c>
      <c r="E309" s="125" t="s">
        <v>86</v>
      </c>
      <c r="F309" s="152">
        <v>1.0</v>
      </c>
      <c r="H309" s="125" t="s">
        <v>27</v>
      </c>
      <c r="I309" s="125" t="s">
        <v>179</v>
      </c>
      <c r="O309" s="125" t="s">
        <v>54</v>
      </c>
    </row>
    <row r="310" ht="15.75" customHeight="1">
      <c r="B310" s="125" t="s">
        <v>582</v>
      </c>
      <c r="C310" s="125" t="s">
        <v>3365</v>
      </c>
      <c r="D310" s="125" t="s">
        <v>921</v>
      </c>
      <c r="F310" s="152">
        <v>1.0</v>
      </c>
      <c r="H310" s="125" t="s">
        <v>27</v>
      </c>
      <c r="I310" s="125" t="s">
        <v>179</v>
      </c>
      <c r="O310" s="125" t="s">
        <v>54</v>
      </c>
    </row>
    <row r="311" ht="15.75" customHeight="1">
      <c r="B311" s="125" t="s">
        <v>1015</v>
      </c>
      <c r="C311" s="125" t="s">
        <v>2457</v>
      </c>
      <c r="D311" s="125" t="s">
        <v>921</v>
      </c>
      <c r="F311" s="152">
        <v>1.0</v>
      </c>
      <c r="H311" s="125" t="s">
        <v>27</v>
      </c>
      <c r="I311" s="125" t="s">
        <v>179</v>
      </c>
      <c r="O311" s="125" t="s">
        <v>54</v>
      </c>
    </row>
    <row r="312" ht="15.75" customHeight="1">
      <c r="B312" s="125" t="s">
        <v>1622</v>
      </c>
      <c r="C312" s="125" t="s">
        <v>956</v>
      </c>
      <c r="D312" s="125" t="s">
        <v>2111</v>
      </c>
      <c r="F312" s="152">
        <v>1.0</v>
      </c>
      <c r="H312" s="125" t="s">
        <v>28</v>
      </c>
      <c r="K312" s="125" t="s">
        <v>155</v>
      </c>
      <c r="O312" s="125" t="s">
        <v>54</v>
      </c>
    </row>
    <row r="313" ht="15.75" customHeight="1">
      <c r="B313" s="125" t="s">
        <v>3349</v>
      </c>
      <c r="C313" s="125" t="s">
        <v>2956</v>
      </c>
      <c r="D313" s="125" t="s">
        <v>2475</v>
      </c>
      <c r="F313" s="152">
        <v>1.0</v>
      </c>
      <c r="H313" s="125" t="s">
        <v>28</v>
      </c>
      <c r="I313" s="125" t="s">
        <v>179</v>
      </c>
      <c r="O313" s="125" t="s">
        <v>54</v>
      </c>
    </row>
    <row r="314" ht="15.75" customHeight="1">
      <c r="B314" s="125" t="s">
        <v>3366</v>
      </c>
      <c r="C314" s="125" t="s">
        <v>219</v>
      </c>
      <c r="D314" s="125" t="s">
        <v>3367</v>
      </c>
      <c r="F314" s="152">
        <v>1.0</v>
      </c>
      <c r="H314" s="125" t="s">
        <v>28</v>
      </c>
      <c r="M314" s="125" t="s">
        <v>526</v>
      </c>
      <c r="O314" s="125" t="s">
        <v>54</v>
      </c>
    </row>
    <row r="315" ht="15.75" customHeight="1">
      <c r="B315" s="125" t="s">
        <v>2779</v>
      </c>
      <c r="C315" s="125" t="s">
        <v>3368</v>
      </c>
      <c r="D315" s="125" t="s">
        <v>3369</v>
      </c>
      <c r="F315" s="152">
        <v>1.0</v>
      </c>
      <c r="H315" s="125" t="s">
        <v>28</v>
      </c>
      <c r="I315" s="125" t="s">
        <v>179</v>
      </c>
      <c r="O315" s="125" t="s">
        <v>54</v>
      </c>
    </row>
    <row r="316" ht="15.75" customHeight="1">
      <c r="B316" s="125" t="s">
        <v>3370</v>
      </c>
      <c r="C316" s="125" t="s">
        <v>81</v>
      </c>
      <c r="D316" s="125" t="s">
        <v>1090</v>
      </c>
      <c r="F316" s="152">
        <v>1.0</v>
      </c>
      <c r="H316" s="125" t="s">
        <v>28</v>
      </c>
      <c r="K316" s="125" t="s">
        <v>53</v>
      </c>
      <c r="O316" s="125" t="s">
        <v>54</v>
      </c>
    </row>
    <row r="317" ht="15.75" customHeight="1">
      <c r="B317" s="125" t="s">
        <v>2170</v>
      </c>
      <c r="C317" s="125" t="s">
        <v>1250</v>
      </c>
      <c r="D317" s="125" t="s">
        <v>3371</v>
      </c>
      <c r="F317" s="152">
        <v>1.0</v>
      </c>
      <c r="H317" s="125" t="s">
        <v>28</v>
      </c>
      <c r="I317" s="125" t="s">
        <v>179</v>
      </c>
      <c r="O317" s="125" t="s">
        <v>54</v>
      </c>
    </row>
    <row r="318" ht="15.75" customHeight="1">
      <c r="B318" s="125" t="s">
        <v>3372</v>
      </c>
      <c r="C318" s="125" t="s">
        <v>3373</v>
      </c>
      <c r="D318" s="125" t="s">
        <v>2464</v>
      </c>
      <c r="F318" s="152">
        <v>1.0</v>
      </c>
      <c r="H318" s="125" t="s">
        <v>28</v>
      </c>
      <c r="K318" s="125" t="s">
        <v>53</v>
      </c>
      <c r="O318" s="125" t="s">
        <v>54</v>
      </c>
    </row>
    <row r="319" ht="15.75" customHeight="1">
      <c r="B319" s="125" t="s">
        <v>3374</v>
      </c>
      <c r="C319" s="125" t="s">
        <v>3375</v>
      </c>
      <c r="D319" s="125" t="s">
        <v>3376</v>
      </c>
      <c r="F319" s="152">
        <v>1.0</v>
      </c>
      <c r="H319" s="125" t="s">
        <v>28</v>
      </c>
      <c r="K319" s="125" t="s">
        <v>53</v>
      </c>
      <c r="O319" s="125" t="s">
        <v>54</v>
      </c>
    </row>
    <row r="320" ht="15.75" customHeight="1">
      <c r="B320" s="125" t="s">
        <v>1483</v>
      </c>
      <c r="C320" s="125" t="s">
        <v>840</v>
      </c>
      <c r="D320" s="125" t="s">
        <v>3377</v>
      </c>
      <c r="F320" s="152">
        <v>1.0</v>
      </c>
      <c r="H320" s="125" t="s">
        <v>28</v>
      </c>
      <c r="K320" s="125" t="s">
        <v>172</v>
      </c>
      <c r="O320" s="125" t="s">
        <v>54</v>
      </c>
    </row>
    <row r="321" ht="15.75" customHeight="1">
      <c r="B321" s="125" t="s">
        <v>748</v>
      </c>
      <c r="C321" s="125" t="s">
        <v>840</v>
      </c>
      <c r="D321" s="125" t="s">
        <v>3377</v>
      </c>
      <c r="F321" s="152">
        <v>1.0</v>
      </c>
      <c r="H321" s="125" t="s">
        <v>28</v>
      </c>
      <c r="K321" s="125" t="s">
        <v>172</v>
      </c>
      <c r="O321" s="125" t="s">
        <v>54</v>
      </c>
    </row>
    <row r="322" ht="15.75" customHeight="1">
      <c r="B322" s="125" t="s">
        <v>301</v>
      </c>
      <c r="C322" s="125" t="s">
        <v>3378</v>
      </c>
      <c r="D322" s="125" t="s">
        <v>3377</v>
      </c>
      <c r="F322" s="152">
        <v>1.0</v>
      </c>
      <c r="H322" s="125" t="s">
        <v>28</v>
      </c>
      <c r="K322" s="125" t="s">
        <v>172</v>
      </c>
      <c r="O322" s="125" t="s">
        <v>54</v>
      </c>
    </row>
    <row r="323" ht="15.75" customHeight="1">
      <c r="B323" s="125" t="s">
        <v>3379</v>
      </c>
      <c r="C323" s="125" t="s">
        <v>3380</v>
      </c>
      <c r="D323" s="125" t="s">
        <v>3377</v>
      </c>
      <c r="F323" s="152">
        <v>1.0</v>
      </c>
      <c r="H323" s="125" t="s">
        <v>28</v>
      </c>
      <c r="K323" s="125" t="s">
        <v>172</v>
      </c>
      <c r="O323" s="125" t="s">
        <v>54</v>
      </c>
    </row>
    <row r="324" ht="15.75" customHeight="1">
      <c r="B324" s="125" t="s">
        <v>141</v>
      </c>
      <c r="C324" s="125" t="s">
        <v>523</v>
      </c>
      <c r="D324" s="125" t="s">
        <v>161</v>
      </c>
      <c r="F324" s="152">
        <v>1.0</v>
      </c>
      <c r="H324" s="125" t="s">
        <v>28</v>
      </c>
      <c r="K324" s="125" t="s">
        <v>53</v>
      </c>
      <c r="O324" s="125" t="s">
        <v>54</v>
      </c>
    </row>
    <row r="325" ht="15.75" customHeight="1">
      <c r="B325" s="125" t="s">
        <v>3381</v>
      </c>
      <c r="C325" s="125" t="s">
        <v>3382</v>
      </c>
      <c r="D325" s="125" t="s">
        <v>3383</v>
      </c>
      <c r="F325" s="152">
        <v>1.0</v>
      </c>
      <c r="H325" s="125" t="s">
        <v>28</v>
      </c>
      <c r="K325" s="125" t="s">
        <v>155</v>
      </c>
      <c r="O325" s="125" t="s">
        <v>54</v>
      </c>
    </row>
    <row r="326" ht="15.75" customHeight="1">
      <c r="B326" s="125" t="s">
        <v>826</v>
      </c>
      <c r="C326" s="125" t="s">
        <v>3384</v>
      </c>
      <c r="D326" s="125" t="s">
        <v>1799</v>
      </c>
      <c r="F326" s="152">
        <v>1.0</v>
      </c>
      <c r="H326" s="125" t="s">
        <v>28</v>
      </c>
      <c r="K326" s="125" t="s">
        <v>155</v>
      </c>
      <c r="O326" s="125" t="s">
        <v>54</v>
      </c>
    </row>
    <row r="327" ht="15.75" customHeight="1">
      <c r="B327" s="125" t="s">
        <v>3385</v>
      </c>
      <c r="C327" s="125" t="s">
        <v>3386</v>
      </c>
      <c r="D327" s="125" t="s">
        <v>3387</v>
      </c>
      <c r="F327" s="152">
        <v>1.0</v>
      </c>
      <c r="H327" s="125" t="s">
        <v>28</v>
      </c>
      <c r="K327" s="125" t="s">
        <v>155</v>
      </c>
      <c r="O327" s="125" t="s">
        <v>54</v>
      </c>
    </row>
    <row r="328" ht="15.75" customHeight="1">
      <c r="B328" s="125" t="s">
        <v>3388</v>
      </c>
      <c r="C328" s="125" t="s">
        <v>3389</v>
      </c>
      <c r="D328" s="125" t="s">
        <v>2042</v>
      </c>
      <c r="F328" s="152">
        <v>1.0</v>
      </c>
      <c r="H328" s="125" t="s">
        <v>28</v>
      </c>
      <c r="K328" s="125" t="s">
        <v>155</v>
      </c>
      <c r="O328" s="125" t="s">
        <v>54</v>
      </c>
    </row>
    <row r="329" ht="15.75" customHeight="1">
      <c r="B329" s="125" t="s">
        <v>3390</v>
      </c>
      <c r="C329" s="125" t="s">
        <v>3391</v>
      </c>
      <c r="D329" s="125" t="s">
        <v>3392</v>
      </c>
      <c r="F329" s="152">
        <v>1.0</v>
      </c>
      <c r="H329" s="125" t="s">
        <v>28</v>
      </c>
      <c r="I329" s="125" t="s">
        <v>992</v>
      </c>
      <c r="O329" s="125" t="s">
        <v>54</v>
      </c>
    </row>
    <row r="330" ht="15.75" customHeight="1">
      <c r="B330" s="125" t="s">
        <v>2507</v>
      </c>
      <c r="C330" s="125" t="s">
        <v>2149</v>
      </c>
      <c r="D330" s="125" t="s">
        <v>820</v>
      </c>
      <c r="F330" s="152">
        <v>1.0</v>
      </c>
      <c r="H330" s="125" t="s">
        <v>28</v>
      </c>
      <c r="I330" s="125" t="s">
        <v>992</v>
      </c>
      <c r="O330" s="125" t="s">
        <v>54</v>
      </c>
    </row>
    <row r="331" ht="15.75" customHeight="1">
      <c r="B331" s="125" t="s">
        <v>3393</v>
      </c>
      <c r="C331" s="125" t="s">
        <v>3394</v>
      </c>
      <c r="D331" s="125" t="s">
        <v>820</v>
      </c>
      <c r="F331" s="152">
        <v>1.0</v>
      </c>
      <c r="H331" s="125" t="s">
        <v>28</v>
      </c>
      <c r="I331" s="125" t="s">
        <v>992</v>
      </c>
      <c r="O331" s="125" t="s">
        <v>54</v>
      </c>
    </row>
    <row r="332" ht="15.75" customHeight="1">
      <c r="B332" s="125" t="s">
        <v>420</v>
      </c>
      <c r="C332" s="125" t="s">
        <v>3394</v>
      </c>
      <c r="D332" s="125" t="s">
        <v>820</v>
      </c>
      <c r="F332" s="152">
        <v>1.3</v>
      </c>
      <c r="H332" s="125" t="s">
        <v>28</v>
      </c>
      <c r="I332" s="125" t="s">
        <v>992</v>
      </c>
      <c r="O332" s="125" t="s">
        <v>54</v>
      </c>
    </row>
    <row r="333" ht="15.75" customHeight="1">
      <c r="B333" s="125" t="s">
        <v>1434</v>
      </c>
      <c r="C333" s="125" t="s">
        <v>2532</v>
      </c>
      <c r="D333" s="125" t="s">
        <v>956</v>
      </c>
      <c r="F333" s="152">
        <v>1.0</v>
      </c>
      <c r="H333" s="125" t="s">
        <v>28</v>
      </c>
      <c r="I333" s="125" t="s">
        <v>992</v>
      </c>
      <c r="O333" s="125" t="s">
        <v>54</v>
      </c>
    </row>
    <row r="334" ht="15.75" customHeight="1">
      <c r="B334" s="125" t="s">
        <v>778</v>
      </c>
      <c r="C334" s="125" t="s">
        <v>3395</v>
      </c>
      <c r="D334" s="125" t="s">
        <v>956</v>
      </c>
      <c r="F334" s="152">
        <v>1.0</v>
      </c>
      <c r="H334" s="125" t="s">
        <v>28</v>
      </c>
      <c r="K334" s="125" t="s">
        <v>155</v>
      </c>
      <c r="O334" s="125" t="s">
        <v>54</v>
      </c>
    </row>
    <row r="335" ht="15.75" customHeight="1">
      <c r="B335" s="125" t="s">
        <v>3396</v>
      </c>
      <c r="C335" s="125" t="s">
        <v>820</v>
      </c>
      <c r="D335" s="125" t="s">
        <v>956</v>
      </c>
      <c r="F335" s="152">
        <v>1.0</v>
      </c>
      <c r="H335" s="125" t="s">
        <v>28</v>
      </c>
      <c r="I335" s="125" t="s">
        <v>992</v>
      </c>
      <c r="O335" s="125" t="s">
        <v>54</v>
      </c>
    </row>
    <row r="336" ht="15.75" customHeight="1">
      <c r="B336" s="125" t="s">
        <v>3397</v>
      </c>
      <c r="C336" s="125" t="s">
        <v>419</v>
      </c>
      <c r="D336" s="125" t="s">
        <v>357</v>
      </c>
      <c r="F336" s="152">
        <v>1.0</v>
      </c>
      <c r="H336" s="125" t="s">
        <v>28</v>
      </c>
      <c r="K336" s="125" t="s">
        <v>155</v>
      </c>
      <c r="O336" s="125" t="s">
        <v>54</v>
      </c>
    </row>
    <row r="337" ht="15.75" customHeight="1">
      <c r="B337" s="125" t="s">
        <v>3398</v>
      </c>
      <c r="C337" s="125" t="s">
        <v>3399</v>
      </c>
      <c r="D337" s="125" t="s">
        <v>734</v>
      </c>
      <c r="F337" s="152">
        <v>1.0</v>
      </c>
      <c r="H337" s="125" t="s">
        <v>28</v>
      </c>
      <c r="K337" s="125" t="s">
        <v>155</v>
      </c>
      <c r="O337" s="125" t="s">
        <v>54</v>
      </c>
    </row>
    <row r="338" ht="15.75" customHeight="1">
      <c r="B338" s="125" t="s">
        <v>1209</v>
      </c>
      <c r="C338" s="125" t="s">
        <v>3400</v>
      </c>
      <c r="D338" s="125" t="s">
        <v>734</v>
      </c>
      <c r="F338" s="152">
        <v>1.6</v>
      </c>
      <c r="H338" s="125" t="s">
        <v>28</v>
      </c>
      <c r="I338" s="125" t="s">
        <v>992</v>
      </c>
      <c r="O338" s="125" t="s">
        <v>54</v>
      </c>
    </row>
    <row r="339" ht="15.75" customHeight="1">
      <c r="B339" s="125" t="s">
        <v>3401</v>
      </c>
      <c r="C339" s="125" t="s">
        <v>3402</v>
      </c>
      <c r="D339" s="125" t="s">
        <v>3403</v>
      </c>
      <c r="F339" s="152">
        <v>1.0</v>
      </c>
      <c r="H339" s="125" t="s">
        <v>28</v>
      </c>
      <c r="K339" s="125" t="s">
        <v>155</v>
      </c>
      <c r="O339" s="125" t="s">
        <v>54</v>
      </c>
    </row>
    <row r="340" ht="15.75" customHeight="1">
      <c r="B340" s="125" t="s">
        <v>3404</v>
      </c>
      <c r="C340" s="125" t="s">
        <v>1755</v>
      </c>
      <c r="D340" s="125" t="s">
        <v>3403</v>
      </c>
      <c r="E340" s="125" t="s">
        <v>1850</v>
      </c>
      <c r="F340" s="152">
        <v>1.0</v>
      </c>
      <c r="H340" s="125" t="s">
        <v>28</v>
      </c>
      <c r="K340" s="125" t="s">
        <v>155</v>
      </c>
      <c r="O340" s="125" t="s">
        <v>54</v>
      </c>
    </row>
    <row r="341" ht="15.75" customHeight="1">
      <c r="B341" s="125" t="s">
        <v>3405</v>
      </c>
      <c r="C341" s="125" t="s">
        <v>749</v>
      </c>
      <c r="D341" s="125" t="s">
        <v>1556</v>
      </c>
      <c r="F341" s="152">
        <v>1.0</v>
      </c>
      <c r="H341" s="125" t="s">
        <v>28</v>
      </c>
      <c r="K341" s="125" t="s">
        <v>155</v>
      </c>
      <c r="O341" s="125" t="s">
        <v>54</v>
      </c>
    </row>
    <row r="342" ht="15.75" customHeight="1">
      <c r="B342" s="125" t="s">
        <v>2714</v>
      </c>
      <c r="C342" s="125" t="s">
        <v>2537</v>
      </c>
      <c r="D342" s="125" t="s">
        <v>3406</v>
      </c>
      <c r="F342" s="152">
        <v>1.0</v>
      </c>
      <c r="H342" s="125" t="s">
        <v>28</v>
      </c>
      <c r="K342" s="125" t="s">
        <v>155</v>
      </c>
      <c r="O342" s="125" t="s">
        <v>54</v>
      </c>
    </row>
    <row r="343" ht="15.75" customHeight="1">
      <c r="B343" s="125" t="s">
        <v>3407</v>
      </c>
      <c r="C343" s="125" t="s">
        <v>2152</v>
      </c>
      <c r="D343" s="125" t="s">
        <v>523</v>
      </c>
      <c r="F343" s="152">
        <v>1.0</v>
      </c>
      <c r="H343" s="125" t="s">
        <v>28</v>
      </c>
      <c r="K343" s="125" t="s">
        <v>53</v>
      </c>
      <c r="O343" s="125" t="s">
        <v>54</v>
      </c>
    </row>
    <row r="344" ht="15.75" customHeight="1">
      <c r="B344" s="125" t="s">
        <v>3408</v>
      </c>
      <c r="C344" s="125" t="s">
        <v>3409</v>
      </c>
      <c r="D344" s="125" t="s">
        <v>3410</v>
      </c>
      <c r="E344" s="125" t="s">
        <v>86</v>
      </c>
      <c r="F344" s="152">
        <v>1.0</v>
      </c>
      <c r="H344" s="125" t="s">
        <v>28</v>
      </c>
      <c r="K344" s="125" t="s">
        <v>155</v>
      </c>
      <c r="O344" s="125" t="s">
        <v>54</v>
      </c>
    </row>
    <row r="345" ht="15.75" customHeight="1">
      <c r="B345" s="125" t="s">
        <v>2279</v>
      </c>
      <c r="C345" s="125" t="s">
        <v>1493</v>
      </c>
      <c r="D345" s="125" t="s">
        <v>3410</v>
      </c>
      <c r="F345" s="152">
        <v>1.0</v>
      </c>
      <c r="H345" s="125" t="s">
        <v>28</v>
      </c>
      <c r="K345" s="125" t="s">
        <v>155</v>
      </c>
      <c r="O345" s="125" t="s">
        <v>54</v>
      </c>
    </row>
    <row r="346" ht="15.75" customHeight="1">
      <c r="B346" s="125" t="s">
        <v>103</v>
      </c>
      <c r="C346" s="125" t="s">
        <v>1493</v>
      </c>
      <c r="D346" s="125" t="s">
        <v>3410</v>
      </c>
      <c r="E346" s="125" t="s">
        <v>137</v>
      </c>
      <c r="F346" s="152">
        <v>1.0</v>
      </c>
      <c r="H346" s="125" t="s">
        <v>28</v>
      </c>
      <c r="K346" s="125" t="s">
        <v>53</v>
      </c>
      <c r="O346" s="125" t="s">
        <v>54</v>
      </c>
    </row>
    <row r="347" ht="15.75" customHeight="1">
      <c r="B347" s="125" t="s">
        <v>925</v>
      </c>
      <c r="C347" s="125" t="s">
        <v>1936</v>
      </c>
      <c r="D347" s="125" t="s">
        <v>2155</v>
      </c>
      <c r="F347" s="152">
        <v>1.0</v>
      </c>
      <c r="H347" s="125" t="s">
        <v>28</v>
      </c>
      <c r="K347" s="125" t="s">
        <v>53</v>
      </c>
      <c r="O347" s="125" t="s">
        <v>54</v>
      </c>
    </row>
    <row r="348" ht="15.75" customHeight="1">
      <c r="B348" s="125" t="s">
        <v>3411</v>
      </c>
      <c r="C348" s="125" t="s">
        <v>3412</v>
      </c>
      <c r="D348" s="125" t="s">
        <v>2155</v>
      </c>
      <c r="F348" s="152">
        <v>1.0</v>
      </c>
      <c r="H348" s="125" t="s">
        <v>28</v>
      </c>
      <c r="K348" s="125" t="s">
        <v>53</v>
      </c>
      <c r="O348" s="125" t="s">
        <v>54</v>
      </c>
    </row>
    <row r="349" ht="15.75" customHeight="1">
      <c r="B349" s="125" t="s">
        <v>501</v>
      </c>
      <c r="C349" s="125" t="s">
        <v>3413</v>
      </c>
      <c r="D349" s="125" t="s">
        <v>349</v>
      </c>
      <c r="F349" s="152">
        <v>1.3</v>
      </c>
      <c r="H349" s="125" t="s">
        <v>28</v>
      </c>
      <c r="I349" s="125" t="s">
        <v>992</v>
      </c>
      <c r="O349" s="125" t="s">
        <v>54</v>
      </c>
    </row>
    <row r="350" ht="15.75" customHeight="1">
      <c r="B350" s="125" t="s">
        <v>1486</v>
      </c>
      <c r="C350" s="125" t="s">
        <v>352</v>
      </c>
      <c r="D350" s="125" t="s">
        <v>866</v>
      </c>
      <c r="F350" s="152">
        <v>1.0</v>
      </c>
      <c r="H350" s="125" t="s">
        <v>28</v>
      </c>
      <c r="K350" s="125" t="s">
        <v>53</v>
      </c>
      <c r="O350" s="125" t="s">
        <v>54</v>
      </c>
    </row>
    <row r="351" ht="15.75" customHeight="1">
      <c r="B351" s="125" t="s">
        <v>2453</v>
      </c>
      <c r="C351" s="125" t="s">
        <v>588</v>
      </c>
      <c r="D351" s="125" t="s">
        <v>866</v>
      </c>
      <c r="F351" s="152">
        <v>1.3</v>
      </c>
      <c r="H351" s="125" t="s">
        <v>28</v>
      </c>
      <c r="I351" s="125" t="s">
        <v>992</v>
      </c>
      <c r="O351" s="125" t="s">
        <v>54</v>
      </c>
    </row>
    <row r="352" ht="15.75" customHeight="1">
      <c r="B352" s="125" t="s">
        <v>3414</v>
      </c>
      <c r="C352" s="125" t="s">
        <v>352</v>
      </c>
      <c r="D352" s="125" t="s">
        <v>866</v>
      </c>
      <c r="F352" s="152">
        <v>1.0</v>
      </c>
      <c r="H352" s="125" t="s">
        <v>28</v>
      </c>
      <c r="K352" s="125" t="s">
        <v>155</v>
      </c>
      <c r="O352" s="125" t="s">
        <v>54</v>
      </c>
    </row>
    <row r="353" ht="15.75" customHeight="1">
      <c r="B353" s="125" t="s">
        <v>1409</v>
      </c>
      <c r="C353" s="125" t="s">
        <v>2804</v>
      </c>
      <c r="D353" s="125" t="s">
        <v>1035</v>
      </c>
      <c r="F353" s="152">
        <v>1.0</v>
      </c>
      <c r="H353" s="125" t="s">
        <v>28</v>
      </c>
      <c r="K353" s="125" t="s">
        <v>155</v>
      </c>
      <c r="O353" s="125" t="s">
        <v>54</v>
      </c>
    </row>
    <row r="354" ht="15.75" customHeight="1">
      <c r="B354" s="125" t="s">
        <v>3415</v>
      </c>
      <c r="C354" s="125" t="s">
        <v>3416</v>
      </c>
      <c r="D354" s="125" t="s">
        <v>3417</v>
      </c>
      <c r="F354" s="152">
        <v>1.6</v>
      </c>
      <c r="H354" s="125" t="s">
        <v>28</v>
      </c>
      <c r="I354" s="125" t="s">
        <v>992</v>
      </c>
      <c r="O354" s="125" t="s">
        <v>54</v>
      </c>
    </row>
    <row r="355" ht="15.75" customHeight="1">
      <c r="B355" s="125" t="s">
        <v>2714</v>
      </c>
      <c r="C355" s="125" t="s">
        <v>3377</v>
      </c>
      <c r="D355" s="125" t="s">
        <v>3418</v>
      </c>
      <c r="F355" s="152">
        <v>1.0</v>
      </c>
      <c r="H355" s="125" t="s">
        <v>28</v>
      </c>
      <c r="I355" s="125" t="s">
        <v>992</v>
      </c>
      <c r="O355" s="125" t="s">
        <v>54</v>
      </c>
    </row>
    <row r="356" ht="15.75" customHeight="1">
      <c r="B356" s="125" t="s">
        <v>3419</v>
      </c>
      <c r="C356" s="125" t="s">
        <v>3420</v>
      </c>
      <c r="D356" s="125" t="s">
        <v>3421</v>
      </c>
      <c r="F356" s="152">
        <v>1.0</v>
      </c>
      <c r="H356" s="125" t="s">
        <v>28</v>
      </c>
      <c r="I356" s="125" t="s">
        <v>992</v>
      </c>
      <c r="O356" s="125" t="s">
        <v>54</v>
      </c>
    </row>
    <row r="357" ht="15.75" customHeight="1">
      <c r="B357" s="125" t="s">
        <v>3422</v>
      </c>
      <c r="C357" s="125" t="s">
        <v>800</v>
      </c>
      <c r="D357" s="125" t="s">
        <v>2976</v>
      </c>
      <c r="F357" s="152">
        <v>1.0</v>
      </c>
      <c r="H357" s="125" t="s">
        <v>28</v>
      </c>
      <c r="I357" s="125" t="s">
        <v>992</v>
      </c>
      <c r="O357" s="125" t="s">
        <v>54</v>
      </c>
    </row>
    <row r="358" ht="15.75" customHeight="1">
      <c r="B358" s="125" t="s">
        <v>3423</v>
      </c>
      <c r="C358" s="125" t="s">
        <v>1952</v>
      </c>
      <c r="D358" s="125" t="s">
        <v>3424</v>
      </c>
      <c r="F358" s="152">
        <v>1.0</v>
      </c>
      <c r="H358" s="125" t="s">
        <v>28</v>
      </c>
      <c r="K358" s="125" t="s">
        <v>155</v>
      </c>
      <c r="O358" s="125" t="s">
        <v>54</v>
      </c>
    </row>
    <row r="359" ht="15.75" customHeight="1">
      <c r="B359" s="125" t="s">
        <v>1065</v>
      </c>
      <c r="C359" s="125" t="s">
        <v>2962</v>
      </c>
      <c r="D359" s="125" t="s">
        <v>3425</v>
      </c>
      <c r="F359" s="152">
        <v>1.0</v>
      </c>
      <c r="H359" s="125" t="s">
        <v>28</v>
      </c>
      <c r="K359" s="125" t="s">
        <v>155</v>
      </c>
      <c r="O359" s="125" t="s">
        <v>54</v>
      </c>
    </row>
    <row r="360" ht="15.75" customHeight="1">
      <c r="B360" s="125" t="s">
        <v>2319</v>
      </c>
      <c r="C360" s="125" t="s">
        <v>2663</v>
      </c>
      <c r="D360" s="125" t="s">
        <v>3426</v>
      </c>
      <c r="F360" s="152">
        <v>1.0</v>
      </c>
      <c r="H360" s="125" t="s">
        <v>28</v>
      </c>
      <c r="K360" s="125" t="s">
        <v>155</v>
      </c>
      <c r="O360" s="125" t="s">
        <v>54</v>
      </c>
    </row>
    <row r="361" ht="15.75" customHeight="1">
      <c r="B361" s="125" t="s">
        <v>3427</v>
      </c>
      <c r="C361" s="125" t="s">
        <v>171</v>
      </c>
      <c r="D361" s="125" t="s">
        <v>948</v>
      </c>
      <c r="F361" s="152">
        <v>1.2</v>
      </c>
      <c r="H361" s="125" t="s">
        <v>28</v>
      </c>
      <c r="K361" s="125" t="s">
        <v>155</v>
      </c>
      <c r="O361" s="125" t="s">
        <v>54</v>
      </c>
    </row>
    <row r="362" ht="15.75" customHeight="1">
      <c r="B362" s="125" t="s">
        <v>3428</v>
      </c>
      <c r="C362" s="125" t="s">
        <v>2160</v>
      </c>
      <c r="D362" s="125" t="s">
        <v>2557</v>
      </c>
      <c r="F362" s="152">
        <v>1.0</v>
      </c>
      <c r="H362" s="125" t="s">
        <v>28</v>
      </c>
      <c r="K362" s="125" t="s">
        <v>53</v>
      </c>
      <c r="O362" s="125" t="s">
        <v>54</v>
      </c>
    </row>
    <row r="363" ht="15.75" customHeight="1">
      <c r="B363" s="125" t="s">
        <v>3429</v>
      </c>
      <c r="C363" s="125" t="s">
        <v>3430</v>
      </c>
      <c r="D363" s="125" t="s">
        <v>3431</v>
      </c>
      <c r="F363" s="152">
        <v>1.0</v>
      </c>
      <c r="H363" s="125" t="s">
        <v>28</v>
      </c>
      <c r="K363" s="125" t="s">
        <v>53</v>
      </c>
      <c r="O363" s="125" t="s">
        <v>54</v>
      </c>
    </row>
    <row r="364" ht="15.75" customHeight="1">
      <c r="B364" s="125" t="s">
        <v>3194</v>
      </c>
      <c r="C364" s="125" t="s">
        <v>2168</v>
      </c>
      <c r="D364" s="125" t="s">
        <v>2169</v>
      </c>
      <c r="F364" s="152">
        <v>1.0</v>
      </c>
      <c r="H364" s="125" t="s">
        <v>28</v>
      </c>
      <c r="K364" s="125" t="s">
        <v>155</v>
      </c>
      <c r="O364" s="125" t="s">
        <v>54</v>
      </c>
    </row>
    <row r="365" ht="15.75" customHeight="1">
      <c r="B365" s="125" t="s">
        <v>3432</v>
      </c>
      <c r="C365" s="125" t="s">
        <v>171</v>
      </c>
      <c r="D365" s="125" t="s">
        <v>950</v>
      </c>
      <c r="F365" s="152">
        <v>1.0</v>
      </c>
      <c r="H365" s="125" t="s">
        <v>28</v>
      </c>
      <c r="K365" s="125" t="s">
        <v>155</v>
      </c>
      <c r="O365" s="125" t="s">
        <v>54</v>
      </c>
    </row>
    <row r="366" ht="15.75" customHeight="1">
      <c r="B366" s="125" t="s">
        <v>2774</v>
      </c>
      <c r="C366" s="125" t="s">
        <v>1728</v>
      </c>
      <c r="D366" s="125" t="s">
        <v>3433</v>
      </c>
      <c r="F366" s="152">
        <v>1.0</v>
      </c>
      <c r="H366" s="125" t="s">
        <v>28</v>
      </c>
      <c r="K366" s="125" t="s">
        <v>53</v>
      </c>
      <c r="O366" s="125" t="s">
        <v>54</v>
      </c>
    </row>
    <row r="367" ht="15.75" customHeight="1">
      <c r="B367" s="125" t="s">
        <v>989</v>
      </c>
      <c r="C367" s="125" t="s">
        <v>3434</v>
      </c>
      <c r="D367" s="125" t="s">
        <v>3435</v>
      </c>
      <c r="F367" s="152">
        <v>1.0</v>
      </c>
      <c r="H367" s="125" t="s">
        <v>28</v>
      </c>
      <c r="K367" s="125" t="s">
        <v>53</v>
      </c>
      <c r="O367" s="125" t="s">
        <v>54</v>
      </c>
    </row>
    <row r="368" ht="15.75" customHeight="1">
      <c r="B368" s="125" t="s">
        <v>3436</v>
      </c>
      <c r="C368" s="125" t="s">
        <v>3437</v>
      </c>
      <c r="D368" s="125" t="s">
        <v>2022</v>
      </c>
      <c r="F368" s="152">
        <v>1.0</v>
      </c>
      <c r="H368" s="125" t="s">
        <v>28</v>
      </c>
      <c r="K368" s="125" t="s">
        <v>53</v>
      </c>
      <c r="O368" s="125" t="s">
        <v>54</v>
      </c>
    </row>
    <row r="369" ht="15.75" customHeight="1">
      <c r="B369" s="125" t="s">
        <v>3438</v>
      </c>
      <c r="C369" s="125" t="s">
        <v>3439</v>
      </c>
      <c r="D369" s="125" t="s">
        <v>63</v>
      </c>
      <c r="F369" s="152">
        <v>1.0</v>
      </c>
      <c r="H369" s="125" t="s">
        <v>28</v>
      </c>
      <c r="K369" s="125" t="s">
        <v>53</v>
      </c>
      <c r="O369" s="125" t="s">
        <v>54</v>
      </c>
    </row>
    <row r="370" ht="15.75" customHeight="1">
      <c r="B370" s="125" t="s">
        <v>3440</v>
      </c>
      <c r="C370" s="125" t="s">
        <v>713</v>
      </c>
      <c r="D370" s="125" t="s">
        <v>3441</v>
      </c>
      <c r="F370" s="152">
        <v>1.0</v>
      </c>
      <c r="H370" s="125" t="s">
        <v>28</v>
      </c>
      <c r="I370" s="125" t="s">
        <v>992</v>
      </c>
      <c r="O370" s="125" t="s">
        <v>54</v>
      </c>
    </row>
    <row r="371" ht="15.75" customHeight="1">
      <c r="B371" s="125" t="s">
        <v>3442</v>
      </c>
      <c r="C371" s="125" t="s">
        <v>3443</v>
      </c>
      <c r="D371" s="125" t="s">
        <v>3441</v>
      </c>
      <c r="F371" s="152">
        <v>1.0</v>
      </c>
      <c r="H371" s="125" t="s">
        <v>28</v>
      </c>
      <c r="I371" s="125" t="s">
        <v>992</v>
      </c>
      <c r="O371" s="125" t="s">
        <v>54</v>
      </c>
    </row>
    <row r="372" ht="15.75" customHeight="1">
      <c r="B372" s="125" t="s">
        <v>1213</v>
      </c>
      <c r="C372" s="125" t="s">
        <v>2042</v>
      </c>
      <c r="D372" s="125" t="s">
        <v>3444</v>
      </c>
      <c r="F372" s="152">
        <v>1.0</v>
      </c>
      <c r="H372" s="125" t="s">
        <v>28</v>
      </c>
      <c r="K372" s="125" t="s">
        <v>155</v>
      </c>
      <c r="O372" s="125" t="s">
        <v>54</v>
      </c>
    </row>
    <row r="373" ht="15.75" customHeight="1">
      <c r="B373" s="125" t="s">
        <v>865</v>
      </c>
      <c r="C373" s="125" t="s">
        <v>3445</v>
      </c>
      <c r="D373" s="125" t="s">
        <v>3446</v>
      </c>
      <c r="F373" s="152">
        <v>1.0</v>
      </c>
      <c r="H373" s="125" t="s">
        <v>28</v>
      </c>
      <c r="K373" s="125" t="s">
        <v>155</v>
      </c>
      <c r="O373" s="125" t="s">
        <v>54</v>
      </c>
    </row>
    <row r="374" ht="15.75" customHeight="1">
      <c r="B374" s="125" t="s">
        <v>711</v>
      </c>
      <c r="C374" s="125" t="s">
        <v>960</v>
      </c>
      <c r="D374" s="125" t="s">
        <v>959</v>
      </c>
      <c r="F374" s="152">
        <v>1.0</v>
      </c>
      <c r="H374" s="125" t="s">
        <v>28</v>
      </c>
      <c r="K374" s="125" t="s">
        <v>53</v>
      </c>
      <c r="O374" s="125" t="s">
        <v>54</v>
      </c>
    </row>
    <row r="375" ht="15.75" customHeight="1">
      <c r="B375" s="125" t="s">
        <v>165</v>
      </c>
      <c r="C375" s="125" t="s">
        <v>1088</v>
      </c>
      <c r="D375" s="125" t="s">
        <v>886</v>
      </c>
      <c r="E375" s="125" t="s">
        <v>86</v>
      </c>
      <c r="F375" s="152">
        <v>1.0</v>
      </c>
      <c r="H375" s="125" t="s">
        <v>28</v>
      </c>
      <c r="K375" s="125" t="s">
        <v>53</v>
      </c>
      <c r="O375" s="125" t="s">
        <v>54</v>
      </c>
    </row>
    <row r="376" ht="15.75" customHeight="1">
      <c r="B376" s="125" t="s">
        <v>776</v>
      </c>
      <c r="C376" s="125" t="s">
        <v>3447</v>
      </c>
      <c r="D376" s="125" t="s">
        <v>1751</v>
      </c>
      <c r="F376" s="152">
        <v>1.0</v>
      </c>
      <c r="H376" s="125" t="s">
        <v>28</v>
      </c>
      <c r="K376" s="125" t="s">
        <v>53</v>
      </c>
      <c r="O376" s="125" t="s">
        <v>54</v>
      </c>
    </row>
    <row r="377" ht="15.75" customHeight="1">
      <c r="B377" s="125" t="s">
        <v>3448</v>
      </c>
      <c r="C377" s="125" t="s">
        <v>3449</v>
      </c>
      <c r="D377" s="125" t="s">
        <v>3450</v>
      </c>
      <c r="E377" s="125" t="s">
        <v>86</v>
      </c>
      <c r="F377" s="152">
        <v>1.0</v>
      </c>
      <c r="H377" s="125" t="s">
        <v>28</v>
      </c>
      <c r="K377" s="125" t="s">
        <v>53</v>
      </c>
      <c r="O377" s="125" t="s">
        <v>54</v>
      </c>
    </row>
    <row r="378" ht="15.75" customHeight="1">
      <c r="B378" s="125" t="s">
        <v>3451</v>
      </c>
      <c r="C378" s="125" t="s">
        <v>360</v>
      </c>
      <c r="D378" s="125" t="s">
        <v>3452</v>
      </c>
      <c r="F378" s="152">
        <v>1.0</v>
      </c>
      <c r="H378" s="125" t="s">
        <v>28</v>
      </c>
      <c r="K378" s="125" t="s">
        <v>53</v>
      </c>
      <c r="O378" s="125" t="s">
        <v>54</v>
      </c>
    </row>
    <row r="379" ht="15.75" customHeight="1">
      <c r="B379" s="125" t="s">
        <v>3453</v>
      </c>
      <c r="C379" s="125" t="s">
        <v>3454</v>
      </c>
      <c r="D379" s="125" t="s">
        <v>3455</v>
      </c>
      <c r="F379" s="152">
        <v>1.0</v>
      </c>
      <c r="H379" s="125" t="s">
        <v>28</v>
      </c>
      <c r="K379" s="125" t="s">
        <v>53</v>
      </c>
      <c r="O379" s="125" t="s">
        <v>54</v>
      </c>
    </row>
    <row r="380" ht="15.75" customHeight="1">
      <c r="B380" s="125" t="s">
        <v>3456</v>
      </c>
      <c r="C380" s="125" t="s">
        <v>3457</v>
      </c>
      <c r="D380" s="125" t="s">
        <v>3458</v>
      </c>
      <c r="F380" s="152">
        <v>1.0</v>
      </c>
      <c r="H380" s="125" t="s">
        <v>28</v>
      </c>
      <c r="K380" s="125" t="s">
        <v>53</v>
      </c>
      <c r="O380" s="125" t="s">
        <v>54</v>
      </c>
    </row>
    <row r="381" ht="15.75" customHeight="1">
      <c r="B381" s="125" t="s">
        <v>3459</v>
      </c>
      <c r="C381" s="125" t="s">
        <v>3460</v>
      </c>
      <c r="D381" s="125" t="s">
        <v>3461</v>
      </c>
      <c r="F381" s="152">
        <v>1.0</v>
      </c>
      <c r="H381" s="125" t="s">
        <v>28</v>
      </c>
      <c r="K381" s="125" t="s">
        <v>53</v>
      </c>
      <c r="O381" s="125" t="s">
        <v>54</v>
      </c>
    </row>
    <row r="382" ht="15.75" customHeight="1">
      <c r="B382" s="125" t="s">
        <v>3462</v>
      </c>
      <c r="C382" s="125" t="s">
        <v>418</v>
      </c>
      <c r="D382" s="125" t="s">
        <v>1668</v>
      </c>
      <c r="F382" s="152">
        <v>1.0</v>
      </c>
      <c r="H382" s="125" t="s">
        <v>28</v>
      </c>
      <c r="K382" s="125" t="s">
        <v>53</v>
      </c>
      <c r="O382" s="125" t="s">
        <v>54</v>
      </c>
    </row>
    <row r="383" ht="15.75" customHeight="1">
      <c r="B383" s="125" t="s">
        <v>2717</v>
      </c>
      <c r="C383" s="125" t="s">
        <v>3463</v>
      </c>
      <c r="D383" s="125" t="s">
        <v>3464</v>
      </c>
      <c r="F383" s="152">
        <v>1.0</v>
      </c>
      <c r="H383" s="125" t="s">
        <v>28</v>
      </c>
      <c r="I383" s="125" t="s">
        <v>992</v>
      </c>
      <c r="O383" s="125" t="s">
        <v>54</v>
      </c>
    </row>
    <row r="384" ht="15.75" customHeight="1">
      <c r="B384" s="125" t="s">
        <v>2132</v>
      </c>
      <c r="C384" s="125" t="s">
        <v>3465</v>
      </c>
      <c r="D384" s="125" t="s">
        <v>1800</v>
      </c>
      <c r="F384" s="152">
        <v>1.0</v>
      </c>
      <c r="H384" s="125" t="s">
        <v>28</v>
      </c>
      <c r="I384" s="125" t="s">
        <v>992</v>
      </c>
      <c r="O384" s="125" t="s">
        <v>54</v>
      </c>
    </row>
    <row r="385" ht="15.75" customHeight="1">
      <c r="B385" s="125" t="s">
        <v>3466</v>
      </c>
      <c r="C385" s="125" t="s">
        <v>3467</v>
      </c>
      <c r="D385" s="125" t="s">
        <v>3468</v>
      </c>
      <c r="F385" s="152">
        <v>1.0</v>
      </c>
      <c r="H385" s="125" t="s">
        <v>28</v>
      </c>
      <c r="I385" s="125" t="s">
        <v>179</v>
      </c>
      <c r="O385" s="125" t="s">
        <v>54</v>
      </c>
    </row>
    <row r="386" ht="15.75" customHeight="1">
      <c r="B386" s="125" t="s">
        <v>1138</v>
      </c>
      <c r="C386" s="125" t="s">
        <v>3469</v>
      </c>
      <c r="D386" s="125" t="s">
        <v>3470</v>
      </c>
      <c r="F386" s="152">
        <v>1.0</v>
      </c>
      <c r="H386" s="125" t="s">
        <v>28</v>
      </c>
      <c r="I386" s="125" t="s">
        <v>992</v>
      </c>
      <c r="O386" s="125" t="s">
        <v>54</v>
      </c>
    </row>
    <row r="387" ht="15.75" customHeight="1">
      <c r="B387" s="125" t="s">
        <v>3471</v>
      </c>
      <c r="C387" s="125" t="s">
        <v>2115</v>
      </c>
      <c r="D387" s="125" t="s">
        <v>3472</v>
      </c>
      <c r="F387" s="152">
        <v>1.0</v>
      </c>
      <c r="H387" s="125" t="s">
        <v>28</v>
      </c>
      <c r="I387" s="125" t="s">
        <v>992</v>
      </c>
      <c r="O387" s="125" t="s">
        <v>54</v>
      </c>
    </row>
    <row r="388" ht="15.75" customHeight="1">
      <c r="B388" s="125" t="s">
        <v>3473</v>
      </c>
      <c r="D388" s="125" t="s">
        <v>3474</v>
      </c>
      <c r="F388" s="152">
        <v>1.0</v>
      </c>
      <c r="H388" s="125" t="s">
        <v>28</v>
      </c>
      <c r="I388" s="125" t="s">
        <v>992</v>
      </c>
      <c r="O388" s="125" t="s">
        <v>54</v>
      </c>
    </row>
    <row r="389" ht="15.75" customHeight="1">
      <c r="B389" s="125" t="s">
        <v>3475</v>
      </c>
      <c r="C389" s="125" t="s">
        <v>2555</v>
      </c>
      <c r="D389" s="125" t="s">
        <v>1423</v>
      </c>
      <c r="F389" s="152">
        <v>1.0</v>
      </c>
      <c r="H389" s="125" t="s">
        <v>28</v>
      </c>
      <c r="I389" s="125" t="s">
        <v>179</v>
      </c>
      <c r="O389" s="125" t="s">
        <v>54</v>
      </c>
    </row>
    <row r="390" ht="15.75" customHeight="1">
      <c r="B390" s="125" t="s">
        <v>919</v>
      </c>
      <c r="C390" s="125" t="s">
        <v>3476</v>
      </c>
      <c r="D390" s="125" t="s">
        <v>3477</v>
      </c>
      <c r="F390" s="152">
        <v>1.0</v>
      </c>
      <c r="H390" s="125" t="s">
        <v>28</v>
      </c>
      <c r="I390" s="125" t="s">
        <v>992</v>
      </c>
      <c r="O390" s="125" t="s">
        <v>54</v>
      </c>
    </row>
    <row r="391" ht="15.75" customHeight="1">
      <c r="B391" s="125" t="s">
        <v>641</v>
      </c>
      <c r="C391" s="125" t="s">
        <v>3371</v>
      </c>
      <c r="D391" s="125" t="s">
        <v>3454</v>
      </c>
      <c r="F391" s="152">
        <v>1.0</v>
      </c>
      <c r="H391" s="125" t="s">
        <v>28</v>
      </c>
      <c r="I391" s="125" t="s">
        <v>992</v>
      </c>
      <c r="O391" s="125" t="s">
        <v>54</v>
      </c>
    </row>
    <row r="392" ht="15.75" customHeight="1">
      <c r="B392" s="125" t="s">
        <v>1390</v>
      </c>
      <c r="C392" s="125" t="s">
        <v>3478</v>
      </c>
      <c r="D392" s="125" t="s">
        <v>3479</v>
      </c>
      <c r="F392" s="152">
        <v>1.0</v>
      </c>
      <c r="H392" s="125" t="s">
        <v>28</v>
      </c>
      <c r="I392" s="125" t="s">
        <v>992</v>
      </c>
      <c r="O392" s="125" t="s">
        <v>54</v>
      </c>
    </row>
    <row r="393" ht="15.75" customHeight="1">
      <c r="B393" s="125" t="s">
        <v>3480</v>
      </c>
      <c r="C393" s="125" t="s">
        <v>386</v>
      </c>
      <c r="D393" s="125" t="s">
        <v>3481</v>
      </c>
      <c r="F393" s="152">
        <v>1.4</v>
      </c>
      <c r="H393" s="125" t="s">
        <v>28</v>
      </c>
      <c r="I393" s="125" t="s">
        <v>992</v>
      </c>
      <c r="O393" s="125" t="s">
        <v>54</v>
      </c>
    </row>
    <row r="394" ht="15.75" customHeight="1">
      <c r="B394" s="125" t="s">
        <v>1996</v>
      </c>
      <c r="C394" s="125" t="s">
        <v>3482</v>
      </c>
      <c r="D394" s="125" t="s">
        <v>3483</v>
      </c>
      <c r="F394" s="152">
        <v>1.0</v>
      </c>
      <c r="H394" s="125" t="s">
        <v>28</v>
      </c>
      <c r="I394" s="125" t="s">
        <v>179</v>
      </c>
      <c r="O394" s="125" t="s">
        <v>54</v>
      </c>
    </row>
    <row r="395" ht="15.75" customHeight="1">
      <c r="B395" s="125" t="s">
        <v>3484</v>
      </c>
      <c r="C395" s="125" t="s">
        <v>1406</v>
      </c>
      <c r="D395" s="125" t="s">
        <v>3485</v>
      </c>
      <c r="F395" s="152">
        <v>1.0</v>
      </c>
      <c r="H395" s="125" t="s">
        <v>28</v>
      </c>
      <c r="I395" s="125" t="s">
        <v>179</v>
      </c>
      <c r="O395" s="125" t="s">
        <v>54</v>
      </c>
    </row>
    <row r="396" ht="15.75" customHeight="1">
      <c r="B396" s="125" t="s">
        <v>3486</v>
      </c>
      <c r="C396" s="125" t="s">
        <v>3487</v>
      </c>
      <c r="D396" s="125" t="s">
        <v>3488</v>
      </c>
      <c r="F396" s="152">
        <v>1.0</v>
      </c>
      <c r="H396" s="125" t="s">
        <v>28</v>
      </c>
      <c r="I396" s="125" t="s">
        <v>179</v>
      </c>
      <c r="O396" s="125" t="s">
        <v>54</v>
      </c>
    </row>
    <row r="397" ht="15.75" customHeight="1">
      <c r="B397" s="125" t="s">
        <v>64</v>
      </c>
      <c r="C397" s="125" t="s">
        <v>576</v>
      </c>
      <c r="D397" s="125" t="s">
        <v>3489</v>
      </c>
      <c r="F397" s="152">
        <v>1.6</v>
      </c>
      <c r="H397" s="125" t="s">
        <v>28</v>
      </c>
      <c r="I397" s="125" t="s">
        <v>179</v>
      </c>
      <c r="O397" s="125" t="s">
        <v>54</v>
      </c>
    </row>
    <row r="398" ht="15.75" customHeight="1">
      <c r="B398" s="125" t="s">
        <v>3490</v>
      </c>
      <c r="C398" s="125" t="s">
        <v>734</v>
      </c>
      <c r="D398" s="125" t="s">
        <v>3491</v>
      </c>
      <c r="F398" s="152">
        <v>1.0</v>
      </c>
      <c r="H398" s="125" t="s">
        <v>28</v>
      </c>
      <c r="I398" s="125" t="s">
        <v>179</v>
      </c>
      <c r="O398" s="125" t="s">
        <v>54</v>
      </c>
    </row>
    <row r="399" ht="15.75" customHeight="1">
      <c r="B399" s="125" t="s">
        <v>3436</v>
      </c>
      <c r="C399" s="125" t="s">
        <v>800</v>
      </c>
      <c r="D399" s="125" t="s">
        <v>3492</v>
      </c>
      <c r="F399" s="152">
        <v>1.0</v>
      </c>
      <c r="H399" s="125" t="s">
        <v>28</v>
      </c>
      <c r="I399" s="125" t="s">
        <v>179</v>
      </c>
      <c r="O399" s="125" t="s">
        <v>54</v>
      </c>
    </row>
    <row r="400" ht="15.75" customHeight="1">
      <c r="B400" s="125" t="s">
        <v>2666</v>
      </c>
      <c r="C400" s="125" t="s">
        <v>3493</v>
      </c>
      <c r="D400" s="125" t="s">
        <v>3494</v>
      </c>
      <c r="F400" s="152">
        <v>1.0</v>
      </c>
      <c r="H400" s="125" t="s">
        <v>28</v>
      </c>
      <c r="I400" s="125" t="s">
        <v>179</v>
      </c>
      <c r="O400" s="125" t="s">
        <v>54</v>
      </c>
    </row>
    <row r="401" ht="15.75" customHeight="1">
      <c r="B401" s="125" t="s">
        <v>774</v>
      </c>
      <c r="C401" s="125" t="s">
        <v>3495</v>
      </c>
      <c r="D401" s="125" t="s">
        <v>392</v>
      </c>
      <c r="F401" s="152">
        <v>1.0</v>
      </c>
      <c r="H401" s="125" t="s">
        <v>28</v>
      </c>
      <c r="I401" s="125" t="s">
        <v>992</v>
      </c>
      <c r="O401" s="125" t="s">
        <v>54</v>
      </c>
    </row>
    <row r="402" ht="15.75" customHeight="1">
      <c r="B402" s="125" t="s">
        <v>3496</v>
      </c>
      <c r="C402" s="125" t="s">
        <v>2705</v>
      </c>
      <c r="D402" s="125" t="s">
        <v>392</v>
      </c>
      <c r="F402" s="152">
        <v>1.0</v>
      </c>
      <c r="H402" s="125" t="s">
        <v>28</v>
      </c>
      <c r="I402" s="125" t="s">
        <v>179</v>
      </c>
      <c r="O402" s="125" t="s">
        <v>54</v>
      </c>
    </row>
    <row r="403" ht="15.75" customHeight="1">
      <c r="B403" s="125" t="s">
        <v>455</v>
      </c>
      <c r="C403" s="125" t="s">
        <v>2705</v>
      </c>
      <c r="D403" s="125" t="s">
        <v>392</v>
      </c>
      <c r="F403" s="152">
        <v>1.0</v>
      </c>
      <c r="H403" s="125" t="s">
        <v>28</v>
      </c>
      <c r="K403" s="125" t="s">
        <v>155</v>
      </c>
      <c r="O403" s="125" t="s">
        <v>54</v>
      </c>
    </row>
    <row r="404" ht="15.75" customHeight="1">
      <c r="B404" s="125" t="s">
        <v>2635</v>
      </c>
      <c r="C404" s="125" t="s">
        <v>1840</v>
      </c>
      <c r="D404" s="125" t="s">
        <v>3497</v>
      </c>
      <c r="F404" s="152">
        <v>2.5</v>
      </c>
      <c r="H404" s="125" t="s">
        <v>29</v>
      </c>
      <c r="I404" s="125" t="s">
        <v>3498</v>
      </c>
      <c r="O404" s="125" t="s">
        <v>54</v>
      </c>
    </row>
    <row r="405" ht="15.75" customHeight="1">
      <c r="B405" s="125" t="s">
        <v>3499</v>
      </c>
      <c r="C405" s="125" t="s">
        <v>3500</v>
      </c>
      <c r="D405" s="125" t="s">
        <v>806</v>
      </c>
      <c r="F405" s="152">
        <v>4.0</v>
      </c>
      <c r="H405" s="125" t="s">
        <v>29</v>
      </c>
      <c r="I405" s="125" t="s">
        <v>3501</v>
      </c>
      <c r="O405" s="125" t="s">
        <v>54</v>
      </c>
    </row>
    <row r="406" ht="15.75" customHeight="1">
      <c r="B406" s="125" t="s">
        <v>3502</v>
      </c>
      <c r="C406" s="125" t="s">
        <v>3503</v>
      </c>
      <c r="D406" s="125" t="s">
        <v>3504</v>
      </c>
      <c r="F406" s="152">
        <v>1.5</v>
      </c>
      <c r="H406" s="125" t="s">
        <v>29</v>
      </c>
      <c r="I406" s="125" t="s">
        <v>3498</v>
      </c>
      <c r="O406" s="125" t="s">
        <v>54</v>
      </c>
    </row>
    <row r="407" ht="15.75" customHeight="1">
      <c r="B407" s="125" t="s">
        <v>778</v>
      </c>
      <c r="C407" s="125" t="s">
        <v>3505</v>
      </c>
      <c r="D407" s="125" t="s">
        <v>3506</v>
      </c>
      <c r="F407" s="152">
        <v>2.0</v>
      </c>
      <c r="H407" s="125" t="s">
        <v>29</v>
      </c>
      <c r="I407" s="125" t="s">
        <v>3498</v>
      </c>
      <c r="O407" s="125" t="s">
        <v>54</v>
      </c>
    </row>
    <row r="408" ht="15.75" customHeight="1">
      <c r="B408" s="125" t="s">
        <v>585</v>
      </c>
      <c r="C408" s="125" t="s">
        <v>3507</v>
      </c>
      <c r="D408" s="125" t="s">
        <v>2544</v>
      </c>
      <c r="F408" s="152">
        <v>1.0</v>
      </c>
      <c r="H408" s="125" t="s">
        <v>29</v>
      </c>
      <c r="I408" s="125" t="s">
        <v>3498</v>
      </c>
      <c r="O408" s="125" t="s">
        <v>54</v>
      </c>
    </row>
    <row r="409" ht="15.75" customHeight="1">
      <c r="B409" s="125" t="s">
        <v>2260</v>
      </c>
      <c r="C409" s="125" t="s">
        <v>3508</v>
      </c>
      <c r="D409" s="125" t="s">
        <v>3509</v>
      </c>
      <c r="F409" s="152">
        <v>3.0</v>
      </c>
      <c r="H409" s="125" t="s">
        <v>29</v>
      </c>
      <c r="I409" s="125" t="s">
        <v>3498</v>
      </c>
      <c r="O409" s="125" t="s">
        <v>54</v>
      </c>
    </row>
    <row r="410" ht="15.75" customHeight="1">
      <c r="B410" s="125" t="s">
        <v>378</v>
      </c>
      <c r="C410" s="125" t="s">
        <v>379</v>
      </c>
      <c r="D410" s="125" t="s">
        <v>380</v>
      </c>
      <c r="F410" s="152">
        <v>1.2</v>
      </c>
      <c r="H410" s="125" t="s">
        <v>29</v>
      </c>
      <c r="I410" s="125" t="s">
        <v>3498</v>
      </c>
      <c r="O410" s="125" t="s">
        <v>54</v>
      </c>
    </row>
    <row r="411" ht="15.75" customHeight="1">
      <c r="B411" s="125" t="s">
        <v>3510</v>
      </c>
      <c r="C411" s="125" t="s">
        <v>3511</v>
      </c>
      <c r="D411" s="125" t="s">
        <v>3512</v>
      </c>
      <c r="F411" s="152">
        <v>1.0</v>
      </c>
      <c r="H411" s="125" t="s">
        <v>29</v>
      </c>
      <c r="I411" s="125" t="s">
        <v>3498</v>
      </c>
      <c r="O411" s="125" t="s">
        <v>54</v>
      </c>
    </row>
    <row r="412" ht="15.75" customHeight="1">
      <c r="B412" s="125" t="s">
        <v>1111</v>
      </c>
      <c r="C412" s="125" t="s">
        <v>1454</v>
      </c>
      <c r="D412" s="125" t="s">
        <v>3513</v>
      </c>
      <c r="F412" s="152">
        <v>3.9</v>
      </c>
      <c r="H412" s="125" t="s">
        <v>29</v>
      </c>
      <c r="I412" s="125" t="s">
        <v>3501</v>
      </c>
      <c r="O412" s="125" t="s">
        <v>54</v>
      </c>
    </row>
    <row r="413" ht="15.75" customHeight="1">
      <c r="B413" s="125" t="s">
        <v>516</v>
      </c>
      <c r="C413" s="125" t="s">
        <v>3514</v>
      </c>
      <c r="D413" s="125" t="s">
        <v>3515</v>
      </c>
      <c r="F413" s="152">
        <v>1.7</v>
      </c>
      <c r="H413" s="125" t="s">
        <v>29</v>
      </c>
      <c r="I413" s="125" t="s">
        <v>3501</v>
      </c>
      <c r="O413" s="125" t="s">
        <v>54</v>
      </c>
    </row>
    <row r="414" ht="15.75" customHeight="1">
      <c r="B414" s="125" t="s">
        <v>3516</v>
      </c>
      <c r="C414" s="125" t="s">
        <v>3517</v>
      </c>
      <c r="D414" s="125" t="s">
        <v>3518</v>
      </c>
      <c r="F414" s="152">
        <v>1.5</v>
      </c>
      <c r="H414" s="125" t="s">
        <v>29</v>
      </c>
      <c r="I414" s="125" t="s">
        <v>3501</v>
      </c>
      <c r="O414" s="125" t="s">
        <v>54</v>
      </c>
    </row>
    <row r="415" ht="15.75" customHeight="1">
      <c r="B415" s="125" t="s">
        <v>420</v>
      </c>
      <c r="C415" s="125" t="s">
        <v>1045</v>
      </c>
      <c r="D415" s="125" t="s">
        <v>3519</v>
      </c>
      <c r="F415" s="152">
        <v>2.3</v>
      </c>
      <c r="H415" s="125" t="s">
        <v>29</v>
      </c>
      <c r="I415" s="125" t="s">
        <v>3498</v>
      </c>
      <c r="O415" s="125" t="s">
        <v>54</v>
      </c>
    </row>
    <row r="416" ht="15.75" customHeight="1">
      <c r="B416" s="125" t="s">
        <v>1186</v>
      </c>
      <c r="C416" s="125" t="s">
        <v>1062</v>
      </c>
      <c r="D416" s="125" t="s">
        <v>386</v>
      </c>
      <c r="F416" s="152">
        <v>1.0</v>
      </c>
      <c r="H416" s="125" t="s">
        <v>29</v>
      </c>
      <c r="I416" s="125" t="s">
        <v>3498</v>
      </c>
      <c r="O416" s="125" t="s">
        <v>54</v>
      </c>
    </row>
    <row r="417" ht="15.75" customHeight="1">
      <c r="B417" s="125" t="s">
        <v>3520</v>
      </c>
      <c r="C417" s="125" t="s">
        <v>3521</v>
      </c>
      <c r="D417" s="125" t="s">
        <v>3522</v>
      </c>
      <c r="F417" s="152">
        <v>1.0</v>
      </c>
      <c r="H417" s="125" t="s">
        <v>29</v>
      </c>
      <c r="I417" s="125" t="s">
        <v>3501</v>
      </c>
      <c r="O417" s="125" t="s">
        <v>54</v>
      </c>
    </row>
    <row r="418" ht="15.75" customHeight="1">
      <c r="B418" s="125" t="s">
        <v>3520</v>
      </c>
      <c r="C418" s="125" t="s">
        <v>3521</v>
      </c>
      <c r="D418" s="125" t="s">
        <v>3522</v>
      </c>
      <c r="F418" s="152">
        <v>1.0</v>
      </c>
      <c r="H418" s="125" t="s">
        <v>29</v>
      </c>
      <c r="I418" s="125" t="s">
        <v>3501</v>
      </c>
      <c r="O418" s="125" t="s">
        <v>54</v>
      </c>
    </row>
    <row r="419" ht="15.75" customHeight="1">
      <c r="B419" s="125" t="s">
        <v>471</v>
      </c>
      <c r="C419" s="125" t="s">
        <v>472</v>
      </c>
      <c r="D419" s="125" t="s">
        <v>473</v>
      </c>
      <c r="F419" s="152">
        <v>1.0</v>
      </c>
      <c r="H419" s="125" t="s">
        <v>29</v>
      </c>
      <c r="I419" s="125" t="s">
        <v>3501</v>
      </c>
      <c r="O419" s="125" t="s">
        <v>54</v>
      </c>
    </row>
    <row r="420" ht="15.75" customHeight="1">
      <c r="B420" s="125" t="s">
        <v>3523</v>
      </c>
      <c r="C420" s="125" t="s">
        <v>3524</v>
      </c>
      <c r="D420" s="125" t="s">
        <v>473</v>
      </c>
      <c r="F420" s="152">
        <v>1.0</v>
      </c>
      <c r="H420" s="125" t="s">
        <v>29</v>
      </c>
      <c r="I420" s="125" t="s">
        <v>3501</v>
      </c>
      <c r="O420" s="125" t="s">
        <v>54</v>
      </c>
    </row>
    <row r="421" ht="15.75" customHeight="1">
      <c r="B421" s="125" t="s">
        <v>3525</v>
      </c>
      <c r="C421" s="125" t="s">
        <v>3526</v>
      </c>
      <c r="D421" s="125" t="s">
        <v>1833</v>
      </c>
      <c r="F421" s="152">
        <v>3.0</v>
      </c>
      <c r="H421" s="125" t="s">
        <v>29</v>
      </c>
      <c r="I421" s="125" t="s">
        <v>3501</v>
      </c>
      <c r="O421" s="125" t="s">
        <v>54</v>
      </c>
    </row>
    <row r="422" ht="15.75" customHeight="1">
      <c r="B422" s="125" t="s">
        <v>1161</v>
      </c>
      <c r="C422" s="125" t="s">
        <v>2335</v>
      </c>
      <c r="D422" s="125" t="s">
        <v>3527</v>
      </c>
      <c r="F422" s="152">
        <v>1.75</v>
      </c>
      <c r="H422" s="125" t="s">
        <v>29</v>
      </c>
      <c r="I422" s="125" t="s">
        <v>3498</v>
      </c>
      <c r="O422" s="125" t="s">
        <v>54</v>
      </c>
    </row>
    <row r="423" ht="15.75" customHeight="1">
      <c r="B423" s="125" t="s">
        <v>1605</v>
      </c>
      <c r="C423" s="125" t="s">
        <v>3528</v>
      </c>
      <c r="D423" s="125" t="s">
        <v>3529</v>
      </c>
      <c r="F423" s="152">
        <v>2.25</v>
      </c>
      <c r="H423" s="125" t="s">
        <v>29</v>
      </c>
      <c r="I423" s="125" t="s">
        <v>3498</v>
      </c>
      <c r="O423" s="125" t="s">
        <v>54</v>
      </c>
    </row>
    <row r="424" ht="15.75" customHeight="1">
      <c r="B424" s="125" t="s">
        <v>2605</v>
      </c>
      <c r="C424" s="125" t="s">
        <v>212</v>
      </c>
      <c r="D424" s="125" t="s">
        <v>2426</v>
      </c>
      <c r="F424" s="152">
        <v>1.5</v>
      </c>
      <c r="H424" s="125" t="s">
        <v>29</v>
      </c>
      <c r="I424" s="125" t="s">
        <v>3498</v>
      </c>
      <c r="O424" s="125" t="s">
        <v>54</v>
      </c>
    </row>
    <row r="425" ht="15.75" customHeight="1">
      <c r="B425" s="125" t="s">
        <v>3530</v>
      </c>
      <c r="C425" s="125" t="s">
        <v>3531</v>
      </c>
      <c r="D425" s="125" t="s">
        <v>3532</v>
      </c>
      <c r="F425" s="152">
        <v>1.0</v>
      </c>
      <c r="H425" s="125" t="s">
        <v>29</v>
      </c>
      <c r="I425" s="125" t="s">
        <v>3501</v>
      </c>
      <c r="O425" s="125" t="s">
        <v>54</v>
      </c>
    </row>
    <row r="426" ht="15.75" customHeight="1">
      <c r="B426" s="125" t="s">
        <v>3533</v>
      </c>
      <c r="C426" s="125" t="s">
        <v>3215</v>
      </c>
      <c r="D426" s="125" t="s">
        <v>3534</v>
      </c>
      <c r="F426" s="152">
        <v>2.0183</v>
      </c>
      <c r="H426" s="125" t="s">
        <v>29</v>
      </c>
      <c r="I426" s="125" t="s">
        <v>3501</v>
      </c>
      <c r="O426" s="125" t="s">
        <v>54</v>
      </c>
    </row>
    <row r="427" ht="15.75" customHeight="1">
      <c r="B427" s="125" t="s">
        <v>3535</v>
      </c>
      <c r="C427" s="125" t="s">
        <v>69</v>
      </c>
      <c r="D427" s="125" t="s">
        <v>1840</v>
      </c>
      <c r="F427" s="152">
        <v>1.0</v>
      </c>
      <c r="H427" s="125" t="s">
        <v>29</v>
      </c>
      <c r="I427" s="125" t="s">
        <v>3501</v>
      </c>
      <c r="O427" s="125" t="s">
        <v>54</v>
      </c>
    </row>
    <row r="428" ht="15.75" customHeight="1">
      <c r="B428" s="125" t="s">
        <v>3536</v>
      </c>
      <c r="C428" s="125" t="s">
        <v>772</v>
      </c>
      <c r="D428" s="125" t="s">
        <v>1316</v>
      </c>
      <c r="F428" s="152">
        <v>3.0</v>
      </c>
      <c r="H428" s="125" t="s">
        <v>29</v>
      </c>
      <c r="I428" s="125" t="s">
        <v>3498</v>
      </c>
      <c r="O428" s="125" t="s">
        <v>54</v>
      </c>
    </row>
    <row r="429" ht="15.75" customHeight="1">
      <c r="B429" s="125" t="s">
        <v>888</v>
      </c>
      <c r="C429" s="125" t="s">
        <v>177</v>
      </c>
      <c r="D429" s="125" t="s">
        <v>178</v>
      </c>
      <c r="F429" s="152">
        <v>2.5</v>
      </c>
      <c r="H429" s="125" t="s">
        <v>29</v>
      </c>
      <c r="I429" s="125" t="s">
        <v>3498</v>
      </c>
      <c r="O429" s="125" t="s">
        <v>54</v>
      </c>
    </row>
    <row r="430" ht="15.75" customHeight="1">
      <c r="B430" s="125" t="s">
        <v>3537</v>
      </c>
      <c r="C430" s="125" t="s">
        <v>177</v>
      </c>
      <c r="D430" s="125" t="s">
        <v>178</v>
      </c>
      <c r="F430" s="152">
        <v>3.0</v>
      </c>
      <c r="H430" s="125" t="s">
        <v>29</v>
      </c>
      <c r="I430" s="125" t="s">
        <v>3498</v>
      </c>
      <c r="O430" s="125" t="s">
        <v>54</v>
      </c>
    </row>
    <row r="431" ht="15.75" customHeight="1">
      <c r="B431" s="125" t="s">
        <v>1817</v>
      </c>
      <c r="C431" s="125" t="s">
        <v>1362</v>
      </c>
      <c r="D431" s="125" t="s">
        <v>1045</v>
      </c>
      <c r="F431" s="152">
        <v>1.0</v>
      </c>
      <c r="H431" s="125" t="s">
        <v>29</v>
      </c>
      <c r="I431" s="125" t="s">
        <v>3498</v>
      </c>
      <c r="O431" s="125" t="s">
        <v>54</v>
      </c>
    </row>
    <row r="432" ht="15.75" customHeight="1">
      <c r="B432" s="125" t="s">
        <v>378</v>
      </c>
      <c r="C432" s="125" t="s">
        <v>3538</v>
      </c>
      <c r="D432" s="125" t="s">
        <v>1045</v>
      </c>
      <c r="F432" s="152">
        <v>1.125</v>
      </c>
      <c r="H432" s="125" t="s">
        <v>29</v>
      </c>
      <c r="I432" s="125" t="s">
        <v>3498</v>
      </c>
      <c r="O432" s="125" t="s">
        <v>54</v>
      </c>
    </row>
    <row r="433" ht="15.75" customHeight="1">
      <c r="B433" s="125" t="s">
        <v>594</v>
      </c>
      <c r="C433" s="125" t="s">
        <v>3539</v>
      </c>
      <c r="D433" s="125" t="s">
        <v>467</v>
      </c>
      <c r="F433" s="152">
        <v>2.5</v>
      </c>
      <c r="H433" s="125" t="s">
        <v>29</v>
      </c>
      <c r="I433" s="125" t="s">
        <v>3501</v>
      </c>
      <c r="O433" s="125" t="s">
        <v>54</v>
      </c>
    </row>
    <row r="434" ht="15.75" customHeight="1">
      <c r="B434" s="125" t="s">
        <v>3540</v>
      </c>
      <c r="C434" s="125" t="s">
        <v>3541</v>
      </c>
      <c r="D434" s="125" t="s">
        <v>3542</v>
      </c>
      <c r="F434" s="152">
        <v>3.0</v>
      </c>
      <c r="H434" s="125" t="s">
        <v>29</v>
      </c>
      <c r="I434" s="125" t="s">
        <v>3501</v>
      </c>
      <c r="O434" s="125" t="s">
        <v>54</v>
      </c>
    </row>
    <row r="435" ht="15.75" customHeight="1">
      <c r="B435" s="125" t="s">
        <v>3543</v>
      </c>
      <c r="C435" s="125" t="s">
        <v>3541</v>
      </c>
      <c r="D435" s="125" t="s">
        <v>3542</v>
      </c>
      <c r="F435" s="152">
        <v>2.5</v>
      </c>
      <c r="H435" s="125" t="s">
        <v>29</v>
      </c>
      <c r="I435" s="125" t="s">
        <v>3498</v>
      </c>
      <c r="O435" s="125" t="s">
        <v>54</v>
      </c>
    </row>
    <row r="436" ht="15.75" customHeight="1">
      <c r="B436" s="125" t="s">
        <v>1897</v>
      </c>
      <c r="C436" s="125" t="s">
        <v>3544</v>
      </c>
      <c r="D436" s="125" t="s">
        <v>3545</v>
      </c>
      <c r="E436" s="125" t="s">
        <v>137</v>
      </c>
      <c r="F436" s="152">
        <v>1.0</v>
      </c>
      <c r="H436" s="125" t="s">
        <v>30</v>
      </c>
      <c r="K436" s="125" t="s">
        <v>155</v>
      </c>
      <c r="O436" s="125" t="s">
        <v>54</v>
      </c>
    </row>
    <row r="437" ht="15.75" customHeight="1">
      <c r="B437" s="125" t="s">
        <v>2297</v>
      </c>
      <c r="C437" s="125" t="s">
        <v>2298</v>
      </c>
      <c r="D437" s="125" t="s">
        <v>2299</v>
      </c>
      <c r="F437" s="152">
        <v>0.75</v>
      </c>
      <c r="H437" s="125" t="s">
        <v>30</v>
      </c>
      <c r="M437" s="125" t="s">
        <v>526</v>
      </c>
      <c r="O437" s="125" t="s">
        <v>54</v>
      </c>
    </row>
    <row r="438" ht="15.75" customHeight="1">
      <c r="B438" s="125" t="s">
        <v>3212</v>
      </c>
      <c r="C438" s="125" t="s">
        <v>418</v>
      </c>
      <c r="D438" s="125" t="s">
        <v>2835</v>
      </c>
      <c r="E438" s="125" t="s">
        <v>86</v>
      </c>
      <c r="F438" s="152">
        <v>1.0</v>
      </c>
      <c r="H438" s="125" t="s">
        <v>30</v>
      </c>
      <c r="K438" s="125" t="s">
        <v>155</v>
      </c>
      <c r="O438" s="125" t="s">
        <v>54</v>
      </c>
    </row>
    <row r="439" ht="15.75" customHeight="1">
      <c r="B439" s="125" t="s">
        <v>2301</v>
      </c>
      <c r="C439" s="125" t="s">
        <v>1870</v>
      </c>
      <c r="D439" s="125" t="s">
        <v>2302</v>
      </c>
      <c r="F439" s="152">
        <v>1.0</v>
      </c>
      <c r="H439" s="125" t="s">
        <v>30</v>
      </c>
      <c r="K439" s="125" t="s">
        <v>155</v>
      </c>
      <c r="O439" s="125" t="s">
        <v>54</v>
      </c>
    </row>
    <row r="440" ht="15.75" customHeight="1">
      <c r="B440" s="125" t="s">
        <v>2303</v>
      </c>
      <c r="C440" s="125" t="s">
        <v>1870</v>
      </c>
      <c r="D440" s="125" t="s">
        <v>2302</v>
      </c>
      <c r="F440" s="152">
        <v>1.0</v>
      </c>
      <c r="H440" s="125" t="s">
        <v>30</v>
      </c>
      <c r="K440" s="125" t="s">
        <v>53</v>
      </c>
      <c r="O440" s="125" t="s">
        <v>54</v>
      </c>
    </row>
    <row r="441" ht="15.75" customHeight="1">
      <c r="B441" s="125" t="s">
        <v>841</v>
      </c>
      <c r="C441" s="125" t="s">
        <v>1896</v>
      </c>
      <c r="D441" s="125" t="s">
        <v>729</v>
      </c>
      <c r="F441" s="152">
        <v>1.0</v>
      </c>
      <c r="H441" s="125" t="s">
        <v>30</v>
      </c>
      <c r="K441" s="125" t="s">
        <v>155</v>
      </c>
      <c r="O441" s="125" t="s">
        <v>54</v>
      </c>
    </row>
    <row r="442" ht="15.75" customHeight="1">
      <c r="B442" s="125" t="s">
        <v>748</v>
      </c>
      <c r="C442" s="125" t="s">
        <v>1362</v>
      </c>
      <c r="D442" s="125" t="s">
        <v>2195</v>
      </c>
      <c r="F442" s="152">
        <v>1.0</v>
      </c>
      <c r="H442" s="125" t="s">
        <v>30</v>
      </c>
      <c r="K442" s="125" t="s">
        <v>155</v>
      </c>
      <c r="O442" s="125" t="s">
        <v>54</v>
      </c>
    </row>
    <row r="443" ht="15.75" customHeight="1">
      <c r="B443" s="125" t="s">
        <v>1839</v>
      </c>
      <c r="C443" s="125" t="s">
        <v>3546</v>
      </c>
      <c r="D443" s="125" t="s">
        <v>3547</v>
      </c>
      <c r="F443" s="152">
        <v>1.0</v>
      </c>
      <c r="H443" s="125" t="s">
        <v>30</v>
      </c>
      <c r="M443" s="125" t="s">
        <v>526</v>
      </c>
      <c r="O443" s="125" t="s">
        <v>54</v>
      </c>
    </row>
    <row r="444" ht="15.75" customHeight="1">
      <c r="B444" s="125" t="s">
        <v>455</v>
      </c>
      <c r="C444" s="125" t="s">
        <v>475</v>
      </c>
      <c r="D444" s="125" t="s">
        <v>476</v>
      </c>
      <c r="F444" s="152">
        <v>1.0</v>
      </c>
      <c r="H444" s="125" t="s">
        <v>30</v>
      </c>
      <c r="K444" s="125" t="s">
        <v>155</v>
      </c>
      <c r="O444" s="125" t="s">
        <v>54</v>
      </c>
    </row>
    <row r="445" ht="15.75" customHeight="1">
      <c r="B445" s="125" t="s">
        <v>1417</v>
      </c>
      <c r="C445" s="125" t="s">
        <v>2304</v>
      </c>
      <c r="D445" s="125" t="s">
        <v>2305</v>
      </c>
      <c r="F445" s="152">
        <v>1.0</v>
      </c>
      <c r="H445" s="125" t="s">
        <v>30</v>
      </c>
      <c r="K445" s="125" t="s">
        <v>155</v>
      </c>
      <c r="O445" s="125" t="s">
        <v>54</v>
      </c>
    </row>
    <row r="446" ht="15.75" customHeight="1">
      <c r="B446" s="125" t="s">
        <v>506</v>
      </c>
      <c r="C446" s="125" t="s">
        <v>3548</v>
      </c>
      <c r="D446" s="125" t="s">
        <v>2996</v>
      </c>
      <c r="F446" s="152">
        <v>1.0</v>
      </c>
      <c r="H446" s="125" t="s">
        <v>30</v>
      </c>
      <c r="K446" s="125" t="s">
        <v>53</v>
      </c>
      <c r="O446" s="125" t="s">
        <v>54</v>
      </c>
    </row>
    <row r="447" ht="15.75" customHeight="1">
      <c r="B447" s="125" t="s">
        <v>2306</v>
      </c>
      <c r="C447" s="125" t="s">
        <v>2307</v>
      </c>
      <c r="D447" s="125" t="s">
        <v>2308</v>
      </c>
      <c r="F447" s="152">
        <v>1.0</v>
      </c>
      <c r="H447" s="125" t="s">
        <v>30</v>
      </c>
      <c r="K447" s="125" t="s">
        <v>53</v>
      </c>
      <c r="O447" s="125" t="s">
        <v>54</v>
      </c>
    </row>
    <row r="448" ht="15.75" customHeight="1">
      <c r="B448" s="125" t="s">
        <v>3080</v>
      </c>
      <c r="C448" s="125" t="s">
        <v>3549</v>
      </c>
      <c r="D448" s="125" t="s">
        <v>2317</v>
      </c>
      <c r="F448" s="152">
        <v>0.75</v>
      </c>
      <c r="H448" s="125" t="s">
        <v>30</v>
      </c>
      <c r="K448" s="125" t="s">
        <v>155</v>
      </c>
      <c r="O448" s="125" t="s">
        <v>54</v>
      </c>
    </row>
    <row r="449" ht="15.75" customHeight="1">
      <c r="B449" s="125" t="s">
        <v>2318</v>
      </c>
      <c r="C449" s="125" t="s">
        <v>585</v>
      </c>
      <c r="D449" s="125" t="s">
        <v>2317</v>
      </c>
      <c r="F449" s="152">
        <v>1.0</v>
      </c>
      <c r="H449" s="125" t="s">
        <v>30</v>
      </c>
      <c r="K449" s="125" t="s">
        <v>155</v>
      </c>
      <c r="O449" s="125" t="s">
        <v>54</v>
      </c>
    </row>
    <row r="450" ht="15.75" customHeight="1">
      <c r="B450" s="125" t="s">
        <v>455</v>
      </c>
      <c r="C450" s="125" t="s">
        <v>2426</v>
      </c>
      <c r="D450" s="125" t="s">
        <v>3550</v>
      </c>
      <c r="F450" s="152">
        <v>1.0</v>
      </c>
      <c r="H450" s="125" t="s">
        <v>30</v>
      </c>
      <c r="K450" s="125" t="s">
        <v>155</v>
      </c>
      <c r="O450" s="125" t="s">
        <v>54</v>
      </c>
    </row>
    <row r="451" ht="15.75" customHeight="1">
      <c r="B451" s="125" t="s">
        <v>2319</v>
      </c>
      <c r="C451" s="125" t="s">
        <v>2320</v>
      </c>
      <c r="D451" s="125" t="s">
        <v>2321</v>
      </c>
      <c r="F451" s="152">
        <v>1.0</v>
      </c>
      <c r="H451" s="125" t="s">
        <v>30</v>
      </c>
      <c r="K451" s="125" t="s">
        <v>53</v>
      </c>
      <c r="O451" s="125" t="s">
        <v>54</v>
      </c>
    </row>
    <row r="452" ht="15.75" customHeight="1">
      <c r="B452" s="125" t="s">
        <v>2322</v>
      </c>
      <c r="C452" s="125" t="s">
        <v>2323</v>
      </c>
      <c r="D452" s="125" t="s">
        <v>2324</v>
      </c>
      <c r="F452" s="152">
        <v>1.0</v>
      </c>
      <c r="H452" s="125" t="s">
        <v>30</v>
      </c>
      <c r="K452" s="125" t="s">
        <v>53</v>
      </c>
      <c r="O452" s="125" t="s">
        <v>54</v>
      </c>
    </row>
    <row r="453" ht="15.75" customHeight="1">
      <c r="B453" s="125" t="s">
        <v>748</v>
      </c>
      <c r="C453" s="125" t="s">
        <v>2581</v>
      </c>
      <c r="D453" s="125" t="s">
        <v>3133</v>
      </c>
      <c r="F453" s="152">
        <v>1.0</v>
      </c>
      <c r="H453" s="125" t="s">
        <v>30</v>
      </c>
      <c r="M453" s="125" t="s">
        <v>183</v>
      </c>
      <c r="O453" s="125" t="s">
        <v>54</v>
      </c>
    </row>
    <row r="454" ht="15.75" customHeight="1">
      <c r="B454" s="125" t="s">
        <v>3551</v>
      </c>
      <c r="C454" s="125" t="s">
        <v>1895</v>
      </c>
      <c r="D454" s="125" t="s">
        <v>409</v>
      </c>
      <c r="F454" s="152">
        <v>1.0</v>
      </c>
      <c r="H454" s="125" t="s">
        <v>30</v>
      </c>
      <c r="K454" s="125" t="s">
        <v>155</v>
      </c>
      <c r="O454" s="125" t="s">
        <v>54</v>
      </c>
    </row>
    <row r="455" ht="15.75" customHeight="1">
      <c r="B455" s="125" t="s">
        <v>2327</v>
      </c>
      <c r="C455" s="125" t="s">
        <v>1870</v>
      </c>
      <c r="D455" s="125" t="s">
        <v>350</v>
      </c>
      <c r="F455" s="152">
        <v>1.0</v>
      </c>
      <c r="H455" s="125" t="s">
        <v>30</v>
      </c>
      <c r="K455" s="125" t="s">
        <v>155</v>
      </c>
      <c r="O455" s="125" t="s">
        <v>54</v>
      </c>
    </row>
    <row r="456" ht="15.75" customHeight="1">
      <c r="B456" s="125" t="s">
        <v>3552</v>
      </c>
      <c r="C456" s="125" t="s">
        <v>1895</v>
      </c>
      <c r="D456" s="125" t="s">
        <v>3553</v>
      </c>
      <c r="F456" s="152">
        <v>1.0</v>
      </c>
      <c r="H456" s="125" t="s">
        <v>30</v>
      </c>
      <c r="K456" s="125" t="s">
        <v>155</v>
      </c>
      <c r="O456" s="125" t="s">
        <v>54</v>
      </c>
    </row>
    <row r="457" ht="15.75" customHeight="1">
      <c r="B457" s="125" t="s">
        <v>3554</v>
      </c>
      <c r="C457" s="125" t="s">
        <v>3539</v>
      </c>
      <c r="D457" s="125" t="s">
        <v>3555</v>
      </c>
      <c r="F457" s="152">
        <v>1.0</v>
      </c>
      <c r="H457" s="125" t="s">
        <v>30</v>
      </c>
      <c r="K457" s="125" t="s">
        <v>155</v>
      </c>
      <c r="O457" s="125" t="s">
        <v>54</v>
      </c>
    </row>
    <row r="458" ht="15.75" customHeight="1">
      <c r="B458" s="125" t="s">
        <v>3556</v>
      </c>
      <c r="C458" s="125" t="s">
        <v>2368</v>
      </c>
      <c r="D458" s="125" t="s">
        <v>3557</v>
      </c>
      <c r="F458" s="152">
        <v>1.0</v>
      </c>
      <c r="H458" s="125" t="s">
        <v>30</v>
      </c>
      <c r="K458" s="125" t="s">
        <v>155</v>
      </c>
      <c r="O458" s="125" t="s">
        <v>54</v>
      </c>
    </row>
    <row r="459" ht="15.75" customHeight="1">
      <c r="B459" s="125" t="s">
        <v>618</v>
      </c>
      <c r="C459" s="125" t="s">
        <v>1862</v>
      </c>
      <c r="D459" s="125" t="s">
        <v>1895</v>
      </c>
      <c r="E459" s="125" t="s">
        <v>137</v>
      </c>
      <c r="F459" s="152">
        <v>1.0</v>
      </c>
      <c r="H459" s="125" t="s">
        <v>30</v>
      </c>
      <c r="K459" s="125" t="s">
        <v>155</v>
      </c>
      <c r="O459" s="125" t="s">
        <v>54</v>
      </c>
    </row>
    <row r="460" ht="15.75" customHeight="1">
      <c r="B460" s="125" t="s">
        <v>1213</v>
      </c>
      <c r="C460" s="125" t="s">
        <v>2268</v>
      </c>
      <c r="D460" s="125" t="s">
        <v>3558</v>
      </c>
      <c r="F460" s="152">
        <v>1.0</v>
      </c>
      <c r="H460" s="125" t="s">
        <v>30</v>
      </c>
      <c r="K460" s="125" t="s">
        <v>155</v>
      </c>
      <c r="O460" s="125" t="s">
        <v>54</v>
      </c>
    </row>
    <row r="461" ht="15.75" customHeight="1">
      <c r="B461" s="125" t="s">
        <v>3559</v>
      </c>
      <c r="C461" s="125" t="s">
        <v>1909</v>
      </c>
      <c r="D461" s="125" t="s">
        <v>2271</v>
      </c>
      <c r="F461" s="152">
        <v>1.0</v>
      </c>
      <c r="H461" s="125" t="s">
        <v>30</v>
      </c>
      <c r="K461" s="125" t="s">
        <v>155</v>
      </c>
      <c r="O461" s="125" t="s">
        <v>54</v>
      </c>
    </row>
    <row r="462" ht="15.75" customHeight="1">
      <c r="B462" s="125" t="s">
        <v>748</v>
      </c>
      <c r="C462" s="125" t="s">
        <v>1367</v>
      </c>
      <c r="D462" s="125" t="s">
        <v>2340</v>
      </c>
      <c r="F462" s="152">
        <v>1.0</v>
      </c>
      <c r="H462" s="125" t="s">
        <v>30</v>
      </c>
      <c r="K462" s="125" t="s">
        <v>155</v>
      </c>
      <c r="O462" s="125" t="s">
        <v>54</v>
      </c>
    </row>
    <row r="463" ht="15.75" customHeight="1">
      <c r="B463" s="125" t="s">
        <v>3560</v>
      </c>
      <c r="C463" s="125" t="s">
        <v>1339</v>
      </c>
      <c r="D463" s="125" t="s">
        <v>3561</v>
      </c>
      <c r="F463" s="152">
        <v>1.0</v>
      </c>
      <c r="H463" s="125" t="s">
        <v>30</v>
      </c>
      <c r="M463" s="125" t="s">
        <v>183</v>
      </c>
      <c r="O463" s="125" t="s">
        <v>54</v>
      </c>
    </row>
    <row r="464" ht="15.75" customHeight="1">
      <c r="B464" s="125" t="s">
        <v>3562</v>
      </c>
      <c r="C464" s="125" t="s">
        <v>3563</v>
      </c>
      <c r="D464" s="125" t="s">
        <v>3564</v>
      </c>
      <c r="F464" s="152">
        <v>1.0</v>
      </c>
      <c r="H464" s="125" t="s">
        <v>30</v>
      </c>
      <c r="K464" s="125" t="s">
        <v>155</v>
      </c>
      <c r="O464" s="125" t="s">
        <v>54</v>
      </c>
    </row>
    <row r="465" ht="15.75" customHeight="1">
      <c r="B465" s="125" t="s">
        <v>2353</v>
      </c>
      <c r="C465" s="125" t="s">
        <v>2320</v>
      </c>
      <c r="D465" s="125" t="s">
        <v>2354</v>
      </c>
      <c r="F465" s="152">
        <v>1.0</v>
      </c>
      <c r="H465" s="125" t="s">
        <v>30</v>
      </c>
      <c r="K465" s="125" t="s">
        <v>155</v>
      </c>
      <c r="O465" s="125" t="s">
        <v>54</v>
      </c>
    </row>
    <row r="466" ht="15.75" customHeight="1">
      <c r="B466" s="125" t="s">
        <v>3565</v>
      </c>
      <c r="C466" s="125" t="s">
        <v>1896</v>
      </c>
      <c r="D466" s="125" t="s">
        <v>3566</v>
      </c>
      <c r="F466" s="152">
        <v>1.0</v>
      </c>
      <c r="H466" s="125" t="s">
        <v>30</v>
      </c>
      <c r="K466" s="125" t="s">
        <v>155</v>
      </c>
      <c r="O466" s="125" t="s">
        <v>54</v>
      </c>
    </row>
    <row r="467" ht="15.75" customHeight="1">
      <c r="B467" s="125" t="s">
        <v>3567</v>
      </c>
      <c r="C467" s="125" t="s">
        <v>1903</v>
      </c>
      <c r="D467" s="125" t="s">
        <v>1901</v>
      </c>
      <c r="F467" s="152">
        <v>1.0</v>
      </c>
      <c r="H467" s="125" t="s">
        <v>30</v>
      </c>
      <c r="K467" s="125" t="s">
        <v>53</v>
      </c>
      <c r="O467" s="125" t="s">
        <v>54</v>
      </c>
    </row>
    <row r="468" ht="15.75" customHeight="1">
      <c r="B468" s="125" t="s">
        <v>1155</v>
      </c>
      <c r="C468" s="125" t="s">
        <v>1870</v>
      </c>
      <c r="D468" s="125" t="s">
        <v>332</v>
      </c>
      <c r="F468" s="152">
        <v>1.0</v>
      </c>
      <c r="H468" s="125" t="s">
        <v>30</v>
      </c>
      <c r="K468" s="125" t="s">
        <v>155</v>
      </c>
      <c r="O468" s="125" t="s">
        <v>54</v>
      </c>
    </row>
    <row r="469" ht="15.75" customHeight="1">
      <c r="B469" s="125" t="s">
        <v>821</v>
      </c>
      <c r="C469" s="125" t="s">
        <v>3568</v>
      </c>
      <c r="D469" s="125" t="s">
        <v>3033</v>
      </c>
      <c r="F469" s="152">
        <v>1.0</v>
      </c>
      <c r="H469" s="125" t="s">
        <v>30</v>
      </c>
      <c r="K469" s="125" t="s">
        <v>155</v>
      </c>
      <c r="O469" s="125" t="s">
        <v>54</v>
      </c>
    </row>
    <row r="470" ht="15.75" customHeight="1">
      <c r="B470" s="125" t="s">
        <v>3569</v>
      </c>
      <c r="C470" s="125" t="s">
        <v>3570</v>
      </c>
      <c r="D470" s="125" t="s">
        <v>3571</v>
      </c>
      <c r="F470" s="152">
        <v>1.0</v>
      </c>
      <c r="H470" s="125" t="s">
        <v>30</v>
      </c>
      <c r="K470" s="125" t="s">
        <v>53</v>
      </c>
      <c r="O470" s="125" t="s">
        <v>54</v>
      </c>
    </row>
    <row r="471" ht="15.75" customHeight="1">
      <c r="B471" s="125" t="s">
        <v>103</v>
      </c>
      <c r="C471" s="125" t="s">
        <v>2352</v>
      </c>
      <c r="D471" s="125" t="s">
        <v>403</v>
      </c>
      <c r="F471" s="152">
        <v>1.0</v>
      </c>
      <c r="H471" s="125" t="s">
        <v>30</v>
      </c>
      <c r="K471" s="125" t="s">
        <v>155</v>
      </c>
      <c r="O471" s="125" t="s">
        <v>54</v>
      </c>
    </row>
    <row r="472" ht="15.75" customHeight="1">
      <c r="B472" s="125" t="s">
        <v>3572</v>
      </c>
      <c r="C472" s="125" t="s">
        <v>2217</v>
      </c>
      <c r="D472" s="125" t="s">
        <v>819</v>
      </c>
      <c r="F472" s="152">
        <v>1.0</v>
      </c>
      <c r="H472" s="125" t="s">
        <v>30</v>
      </c>
      <c r="K472" s="125" t="s">
        <v>155</v>
      </c>
      <c r="O472" s="125" t="s">
        <v>54</v>
      </c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C$472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2.63" defaultRowHeight="15.0"/>
  <cols>
    <col customWidth="1" min="1" max="1" width="19.13"/>
    <col customWidth="1" min="2" max="23" width="10.0"/>
    <col customWidth="1" min="24" max="24" width="13.25"/>
    <col customWidth="1" min="25" max="26" width="10.0"/>
  </cols>
  <sheetData>
    <row r="1" ht="14.25" customHeight="1">
      <c r="A1" s="1" t="s">
        <v>0</v>
      </c>
      <c r="B1" s="1"/>
    </row>
    <row r="2" ht="14.25" customHeight="1">
      <c r="A2" s="3" t="s">
        <v>1</v>
      </c>
      <c r="B2" s="3"/>
    </row>
    <row r="3" ht="14.25" customHeight="1">
      <c r="A3" s="4" t="s">
        <v>2</v>
      </c>
      <c r="B3" s="5"/>
    </row>
    <row r="4" ht="14.25" customHeight="1">
      <c r="A4" s="6"/>
      <c r="B4" s="6"/>
      <c r="D4" s="125" t="s">
        <v>3573</v>
      </c>
    </row>
    <row r="5" ht="14.25" customHeight="1">
      <c r="A5" s="3" t="s">
        <v>3</v>
      </c>
      <c r="B5" s="3"/>
    </row>
    <row r="6" ht="18.75" customHeight="1">
      <c r="A6" s="77" t="s">
        <v>3574</v>
      </c>
      <c r="B6" s="7"/>
      <c r="C6" s="8"/>
    </row>
    <row r="7" ht="18.0" customHeight="1">
      <c r="A7" s="9" t="s">
        <v>4</v>
      </c>
      <c r="B7" s="10" t="s">
        <v>5</v>
      </c>
      <c r="C7" s="11" t="s">
        <v>6</v>
      </c>
      <c r="D7" s="12"/>
      <c r="E7" s="12"/>
      <c r="F7" s="12"/>
      <c r="G7" s="12"/>
      <c r="H7" s="13"/>
      <c r="I7" s="14" t="s">
        <v>7</v>
      </c>
      <c r="J7" s="12"/>
      <c r="K7" s="12"/>
      <c r="L7" s="12"/>
      <c r="M7" s="12"/>
      <c r="N7" s="12"/>
      <c r="O7" s="12"/>
      <c r="P7" s="12"/>
      <c r="Q7" s="15"/>
      <c r="R7" s="16" t="str">
        <f>A5</f>
        <v>DRY SEASON 2026 Planting Report</v>
      </c>
      <c r="S7" s="12"/>
      <c r="T7" s="12"/>
      <c r="U7" s="12"/>
      <c r="V7" s="12"/>
      <c r="W7" s="13"/>
      <c r="X7" s="17" t="s">
        <v>8</v>
      </c>
    </row>
    <row r="8" ht="14.25" customHeight="1">
      <c r="A8" s="18"/>
      <c r="B8" s="19"/>
      <c r="C8" s="20"/>
      <c r="D8" s="21"/>
      <c r="E8" s="21"/>
      <c r="F8" s="21"/>
      <c r="G8" s="21"/>
      <c r="H8" s="22"/>
      <c r="I8" s="23"/>
      <c r="J8" s="21"/>
      <c r="K8" s="21"/>
      <c r="L8" s="21"/>
      <c r="M8" s="21"/>
      <c r="N8" s="21"/>
      <c r="O8" s="21"/>
      <c r="P8" s="21"/>
      <c r="Q8" s="24"/>
      <c r="R8" s="25"/>
      <c r="S8" s="26"/>
      <c r="T8" s="26"/>
      <c r="U8" s="26"/>
      <c r="V8" s="26"/>
      <c r="W8" s="27"/>
      <c r="X8" s="19"/>
    </row>
    <row r="9" ht="15.75" customHeight="1">
      <c r="A9" s="18"/>
      <c r="B9" s="19"/>
      <c r="C9" s="28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30" t="s">
        <v>14</v>
      </c>
      <c r="I9" s="31" t="s">
        <v>15</v>
      </c>
      <c r="J9" s="32"/>
      <c r="K9" s="32"/>
      <c r="L9" s="32"/>
      <c r="M9" s="33"/>
      <c r="N9" s="34" t="s">
        <v>16</v>
      </c>
      <c r="O9" s="32"/>
      <c r="P9" s="35"/>
      <c r="Q9" s="36" t="s">
        <v>14</v>
      </c>
      <c r="R9" s="28" t="s">
        <v>9</v>
      </c>
      <c r="S9" s="29" t="s">
        <v>10</v>
      </c>
      <c r="T9" s="29" t="s">
        <v>11</v>
      </c>
      <c r="U9" s="29" t="s">
        <v>12</v>
      </c>
      <c r="V9" s="29" t="s">
        <v>13</v>
      </c>
      <c r="W9" s="37" t="s">
        <v>14</v>
      </c>
      <c r="X9" s="19"/>
    </row>
    <row r="10" ht="45.0" customHeight="1">
      <c r="A10" s="38"/>
      <c r="B10" s="39"/>
      <c r="C10" s="40"/>
      <c r="D10" s="41"/>
      <c r="E10" s="41"/>
      <c r="F10" s="41"/>
      <c r="G10" s="41"/>
      <c r="H10" s="42"/>
      <c r="I10" s="43" t="s">
        <v>9</v>
      </c>
      <c r="J10" s="44" t="s">
        <v>10</v>
      </c>
      <c r="K10" s="44" t="s">
        <v>17</v>
      </c>
      <c r="L10" s="44" t="s">
        <v>12</v>
      </c>
      <c r="M10" s="45" t="s">
        <v>18</v>
      </c>
      <c r="N10" s="46" t="s">
        <v>17</v>
      </c>
      <c r="O10" s="44" t="s">
        <v>12</v>
      </c>
      <c r="P10" s="47" t="s">
        <v>13</v>
      </c>
      <c r="Q10" s="48"/>
      <c r="R10" s="40"/>
      <c r="S10" s="41"/>
      <c r="T10" s="41"/>
      <c r="U10" s="41"/>
      <c r="V10" s="41"/>
      <c r="W10" s="42"/>
      <c r="X10" s="39"/>
    </row>
    <row r="11" ht="14.25" customHeight="1">
      <c r="A11" s="49" t="s">
        <v>19</v>
      </c>
      <c r="B11" s="49">
        <f t="shared" ref="B11:W11" si="1">SUM(B12:B23)</f>
        <v>74</v>
      </c>
      <c r="C11" s="50">
        <f t="shared" si="1"/>
        <v>52.65</v>
      </c>
      <c r="D11" s="51">
        <f t="shared" si="1"/>
        <v>0</v>
      </c>
      <c r="E11" s="51">
        <f t="shared" si="1"/>
        <v>20.2</v>
      </c>
      <c r="F11" s="51">
        <f t="shared" si="1"/>
        <v>0</v>
      </c>
      <c r="G11" s="51">
        <f t="shared" si="1"/>
        <v>5.5</v>
      </c>
      <c r="H11" s="52">
        <f t="shared" si="1"/>
        <v>0</v>
      </c>
      <c r="I11" s="53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4">
        <f t="shared" si="1"/>
        <v>0</v>
      </c>
      <c r="N11" s="50">
        <f t="shared" si="1"/>
        <v>0</v>
      </c>
      <c r="O11" s="51">
        <f t="shared" si="1"/>
        <v>0</v>
      </c>
      <c r="P11" s="52">
        <f t="shared" si="1"/>
        <v>0</v>
      </c>
      <c r="Q11" s="55">
        <f t="shared" si="1"/>
        <v>0</v>
      </c>
      <c r="R11" s="50">
        <f t="shared" si="1"/>
        <v>52.65</v>
      </c>
      <c r="S11" s="51">
        <f t="shared" si="1"/>
        <v>0</v>
      </c>
      <c r="T11" s="51">
        <f t="shared" si="1"/>
        <v>20.2</v>
      </c>
      <c r="U11" s="51">
        <f t="shared" si="1"/>
        <v>0</v>
      </c>
      <c r="V11" s="51">
        <f t="shared" si="1"/>
        <v>5.5</v>
      </c>
      <c r="W11" s="52">
        <f t="shared" si="1"/>
        <v>78.35</v>
      </c>
      <c r="X11" s="56"/>
      <c r="Y11" s="57"/>
      <c r="Z11" s="57"/>
    </row>
    <row r="12" ht="14.25" customHeight="1">
      <c r="A12" s="58" t="s">
        <v>20</v>
      </c>
      <c r="B12" s="79">
        <v>0.0</v>
      </c>
      <c r="C12" s="62"/>
      <c r="D12" s="80"/>
      <c r="E12" s="80"/>
      <c r="F12" s="80"/>
      <c r="G12" s="80"/>
      <c r="H12" s="59"/>
      <c r="I12" s="60"/>
      <c r="J12" s="80"/>
      <c r="K12" s="80"/>
      <c r="L12" s="80"/>
      <c r="M12" s="83"/>
      <c r="N12" s="62"/>
      <c r="O12" s="80"/>
      <c r="P12" s="59"/>
      <c r="Q12" s="61">
        <f t="shared" ref="Q12:Q22" si="4">SUM(I12:P12)</f>
        <v>0</v>
      </c>
      <c r="R12" s="62">
        <f t="shared" ref="R12:S12" si="2">C12+I12</f>
        <v>0</v>
      </c>
      <c r="S12" s="80">
        <f t="shared" si="2"/>
        <v>0</v>
      </c>
      <c r="T12" s="80">
        <f t="shared" ref="T12:V12" si="3">E12+K12+N12</f>
        <v>0</v>
      </c>
      <c r="U12" s="80">
        <f t="shared" si="3"/>
        <v>0</v>
      </c>
      <c r="V12" s="80">
        <f t="shared" si="3"/>
        <v>0</v>
      </c>
      <c r="W12" s="59">
        <f t="shared" ref="W12:W22" si="7">SUM(R12:V12)</f>
        <v>0</v>
      </c>
      <c r="X12" s="153" t="s">
        <v>3573</v>
      </c>
    </row>
    <row r="13" ht="14.25" customHeight="1">
      <c r="A13" s="58" t="s">
        <v>21</v>
      </c>
      <c r="B13" s="79">
        <v>0.0</v>
      </c>
      <c r="C13" s="62"/>
      <c r="D13" s="80"/>
      <c r="E13" s="80"/>
      <c r="F13" s="80"/>
      <c r="G13" s="80"/>
      <c r="H13" s="59"/>
      <c r="I13" s="60"/>
      <c r="J13" s="80"/>
      <c r="K13" s="80"/>
      <c r="L13" s="80"/>
      <c r="M13" s="83"/>
      <c r="N13" s="62"/>
      <c r="O13" s="80"/>
      <c r="P13" s="59"/>
      <c r="Q13" s="61">
        <f t="shared" si="4"/>
        <v>0</v>
      </c>
      <c r="R13" s="62">
        <f t="shared" ref="R13:S13" si="5">C13+I13</f>
        <v>0</v>
      </c>
      <c r="S13" s="80">
        <f t="shared" si="5"/>
        <v>0</v>
      </c>
      <c r="T13" s="80">
        <f t="shared" ref="T13:V13" si="6">E13+K13+N13</f>
        <v>0</v>
      </c>
      <c r="U13" s="80">
        <f t="shared" si="6"/>
        <v>0</v>
      </c>
      <c r="V13" s="80">
        <f t="shared" si="6"/>
        <v>0</v>
      </c>
      <c r="W13" s="59">
        <f t="shared" si="7"/>
        <v>0</v>
      </c>
      <c r="X13" s="64"/>
    </row>
    <row r="14" ht="14.25" customHeight="1">
      <c r="A14" s="58" t="s">
        <v>22</v>
      </c>
      <c r="B14" s="79">
        <v>19.0</v>
      </c>
      <c r="C14" s="88">
        <v>16.3</v>
      </c>
      <c r="D14" s="80"/>
      <c r="E14" s="85">
        <v>5.0</v>
      </c>
      <c r="F14" s="80"/>
      <c r="G14" s="85">
        <v>2.0</v>
      </c>
      <c r="H14" s="59"/>
      <c r="I14" s="60"/>
      <c r="J14" s="80"/>
      <c r="K14" s="80"/>
      <c r="L14" s="80"/>
      <c r="M14" s="83"/>
      <c r="N14" s="62"/>
      <c r="O14" s="80"/>
      <c r="P14" s="59"/>
      <c r="Q14" s="61">
        <f t="shared" si="4"/>
        <v>0</v>
      </c>
      <c r="R14" s="62">
        <f t="shared" ref="R14:S14" si="8">C14+I14</f>
        <v>16.3</v>
      </c>
      <c r="S14" s="80">
        <f t="shared" si="8"/>
        <v>0</v>
      </c>
      <c r="T14" s="80">
        <f t="shared" ref="T14:V14" si="9">E14+K14+N14</f>
        <v>5</v>
      </c>
      <c r="U14" s="80">
        <f t="shared" si="9"/>
        <v>0</v>
      </c>
      <c r="V14" s="80">
        <f t="shared" si="9"/>
        <v>2</v>
      </c>
      <c r="W14" s="59">
        <f t="shared" si="7"/>
        <v>23.3</v>
      </c>
      <c r="X14" s="64"/>
    </row>
    <row r="15" ht="14.25" customHeight="1">
      <c r="A15" s="58" t="s">
        <v>23</v>
      </c>
      <c r="B15" s="79">
        <v>0.0</v>
      </c>
      <c r="C15" s="62"/>
      <c r="D15" s="80"/>
      <c r="E15" s="80"/>
      <c r="F15" s="80"/>
      <c r="G15" s="80"/>
      <c r="H15" s="59"/>
      <c r="I15" s="60"/>
      <c r="J15" s="80"/>
      <c r="K15" s="80"/>
      <c r="L15" s="80"/>
      <c r="M15" s="83"/>
      <c r="N15" s="62"/>
      <c r="O15" s="80"/>
      <c r="P15" s="59"/>
      <c r="Q15" s="61">
        <f t="shared" si="4"/>
        <v>0</v>
      </c>
      <c r="R15" s="62">
        <f t="shared" ref="R15:S15" si="10">C15+I15</f>
        <v>0</v>
      </c>
      <c r="S15" s="80">
        <f t="shared" si="10"/>
        <v>0</v>
      </c>
      <c r="T15" s="80">
        <f t="shared" ref="T15:V15" si="11">E15+K15+N15</f>
        <v>0</v>
      </c>
      <c r="U15" s="80">
        <f t="shared" si="11"/>
        <v>0</v>
      </c>
      <c r="V15" s="80">
        <f t="shared" si="11"/>
        <v>0</v>
      </c>
      <c r="W15" s="59">
        <f t="shared" si="7"/>
        <v>0</v>
      </c>
      <c r="X15" s="64"/>
    </row>
    <row r="16" ht="14.25" customHeight="1">
      <c r="A16" s="58" t="s">
        <v>24</v>
      </c>
      <c r="B16" s="79">
        <v>6.0</v>
      </c>
      <c r="C16" s="88">
        <v>3.0</v>
      </c>
      <c r="D16" s="80"/>
      <c r="E16" s="85">
        <v>0.0</v>
      </c>
      <c r="F16" s="80"/>
      <c r="G16" s="85">
        <v>0.0</v>
      </c>
      <c r="H16" s="59"/>
      <c r="I16" s="60"/>
      <c r="J16" s="80"/>
      <c r="K16" s="80"/>
      <c r="L16" s="80"/>
      <c r="M16" s="83"/>
      <c r="N16" s="62"/>
      <c r="O16" s="80"/>
      <c r="P16" s="59"/>
      <c r="Q16" s="61">
        <f t="shared" si="4"/>
        <v>0</v>
      </c>
      <c r="R16" s="62">
        <f t="shared" ref="R16:S16" si="12">C16+I16</f>
        <v>3</v>
      </c>
      <c r="S16" s="80">
        <f t="shared" si="12"/>
        <v>0</v>
      </c>
      <c r="T16" s="80">
        <f t="shared" ref="T16:V16" si="13">E16+K16+N16</f>
        <v>0</v>
      </c>
      <c r="U16" s="80">
        <f t="shared" si="13"/>
        <v>0</v>
      </c>
      <c r="V16" s="80">
        <f t="shared" si="13"/>
        <v>0</v>
      </c>
      <c r="W16" s="59">
        <f t="shared" si="7"/>
        <v>3</v>
      </c>
      <c r="X16" s="64"/>
    </row>
    <row r="17" ht="14.25" customHeight="1">
      <c r="A17" s="58" t="s">
        <v>25</v>
      </c>
      <c r="B17" s="79">
        <v>7.0</v>
      </c>
      <c r="C17" s="88">
        <v>0.0</v>
      </c>
      <c r="D17" s="80"/>
      <c r="E17" s="85">
        <v>3.0</v>
      </c>
      <c r="F17" s="80"/>
      <c r="G17" s="85">
        <v>0.5</v>
      </c>
      <c r="H17" s="59"/>
      <c r="I17" s="60"/>
      <c r="J17" s="80"/>
      <c r="K17" s="80"/>
      <c r="L17" s="80"/>
      <c r="M17" s="83"/>
      <c r="N17" s="62"/>
      <c r="O17" s="80"/>
      <c r="P17" s="59"/>
      <c r="Q17" s="61">
        <f t="shared" si="4"/>
        <v>0</v>
      </c>
      <c r="R17" s="62">
        <f t="shared" ref="R17:S17" si="14">C17+I17</f>
        <v>0</v>
      </c>
      <c r="S17" s="80">
        <f t="shared" si="14"/>
        <v>0</v>
      </c>
      <c r="T17" s="80">
        <f t="shared" ref="T17:V17" si="15">E17+K17+N17</f>
        <v>3</v>
      </c>
      <c r="U17" s="80">
        <f t="shared" si="15"/>
        <v>0</v>
      </c>
      <c r="V17" s="80">
        <f t="shared" si="15"/>
        <v>0.5</v>
      </c>
      <c r="W17" s="59">
        <f t="shared" si="7"/>
        <v>3.5</v>
      </c>
      <c r="X17" s="64"/>
    </row>
    <row r="18" ht="14.25" customHeight="1">
      <c r="A18" s="58" t="s">
        <v>26</v>
      </c>
      <c r="B18" s="79">
        <v>0.0</v>
      </c>
      <c r="C18" s="62"/>
      <c r="D18" s="80"/>
      <c r="E18" s="80"/>
      <c r="F18" s="80"/>
      <c r="G18" s="80"/>
      <c r="H18" s="59"/>
      <c r="I18" s="60"/>
      <c r="J18" s="80"/>
      <c r="K18" s="80"/>
      <c r="L18" s="80"/>
      <c r="M18" s="83"/>
      <c r="N18" s="62"/>
      <c r="O18" s="80"/>
      <c r="P18" s="59"/>
      <c r="Q18" s="61">
        <f t="shared" si="4"/>
        <v>0</v>
      </c>
      <c r="R18" s="62">
        <f t="shared" ref="R18:S18" si="16">C18+I18</f>
        <v>0</v>
      </c>
      <c r="S18" s="80">
        <f t="shared" si="16"/>
        <v>0</v>
      </c>
      <c r="T18" s="80">
        <f t="shared" ref="T18:V18" si="17">E18+K18+N18</f>
        <v>0</v>
      </c>
      <c r="U18" s="80">
        <f t="shared" si="17"/>
        <v>0</v>
      </c>
      <c r="V18" s="80">
        <f t="shared" si="17"/>
        <v>0</v>
      </c>
      <c r="W18" s="59">
        <f t="shared" si="7"/>
        <v>0</v>
      </c>
      <c r="X18" s="64"/>
    </row>
    <row r="19" ht="14.25" customHeight="1">
      <c r="A19" s="58" t="s">
        <v>27</v>
      </c>
      <c r="B19" s="79">
        <v>13.0</v>
      </c>
      <c r="C19" s="88">
        <v>10.3</v>
      </c>
      <c r="D19" s="80"/>
      <c r="E19" s="85">
        <v>0.0</v>
      </c>
      <c r="F19" s="80"/>
      <c r="G19" s="85">
        <v>0.0</v>
      </c>
      <c r="H19" s="59"/>
      <c r="I19" s="60"/>
      <c r="J19" s="80"/>
      <c r="K19" s="80"/>
      <c r="L19" s="80"/>
      <c r="M19" s="83"/>
      <c r="N19" s="62"/>
      <c r="O19" s="80"/>
      <c r="P19" s="59"/>
      <c r="Q19" s="61">
        <f t="shared" si="4"/>
        <v>0</v>
      </c>
      <c r="R19" s="62">
        <f t="shared" ref="R19:S19" si="18">C19+I19</f>
        <v>10.3</v>
      </c>
      <c r="S19" s="80">
        <f t="shared" si="18"/>
        <v>0</v>
      </c>
      <c r="T19" s="80">
        <f t="shared" ref="T19:V19" si="19">E19+K19+N19</f>
        <v>0</v>
      </c>
      <c r="U19" s="80">
        <f t="shared" si="19"/>
        <v>0</v>
      </c>
      <c r="V19" s="80">
        <f t="shared" si="19"/>
        <v>0</v>
      </c>
      <c r="W19" s="59">
        <f t="shared" si="7"/>
        <v>10.3</v>
      </c>
      <c r="X19" s="64"/>
    </row>
    <row r="20" ht="14.25" customHeight="1">
      <c r="A20" s="58" t="s">
        <v>28</v>
      </c>
      <c r="B20" s="79">
        <v>10.0</v>
      </c>
      <c r="C20" s="88">
        <v>2.0</v>
      </c>
      <c r="D20" s="80"/>
      <c r="E20" s="85">
        <v>7.2</v>
      </c>
      <c r="F20" s="80"/>
      <c r="G20" s="85">
        <v>1.0</v>
      </c>
      <c r="H20" s="59"/>
      <c r="I20" s="60"/>
      <c r="J20" s="80"/>
      <c r="K20" s="80"/>
      <c r="L20" s="80"/>
      <c r="M20" s="83"/>
      <c r="N20" s="62"/>
      <c r="O20" s="80"/>
      <c r="P20" s="59"/>
      <c r="Q20" s="61">
        <f t="shared" si="4"/>
        <v>0</v>
      </c>
      <c r="R20" s="62">
        <f t="shared" ref="R20:S20" si="20">C20+I20</f>
        <v>2</v>
      </c>
      <c r="S20" s="80">
        <f t="shared" si="20"/>
        <v>0</v>
      </c>
      <c r="T20" s="80">
        <f t="shared" ref="T20:V20" si="21">E20+K20+N20</f>
        <v>7.2</v>
      </c>
      <c r="U20" s="80">
        <f t="shared" si="21"/>
        <v>0</v>
      </c>
      <c r="V20" s="80">
        <f t="shared" si="21"/>
        <v>1</v>
      </c>
      <c r="W20" s="59">
        <f t="shared" si="7"/>
        <v>10.2</v>
      </c>
      <c r="X20" s="64"/>
    </row>
    <row r="21" ht="14.25" customHeight="1">
      <c r="A21" s="58" t="s">
        <v>29</v>
      </c>
      <c r="B21" s="79">
        <v>12.0</v>
      </c>
      <c r="C21" s="88">
        <v>21.05</v>
      </c>
      <c r="D21" s="80"/>
      <c r="E21" s="85">
        <v>0.0</v>
      </c>
      <c r="F21" s="80"/>
      <c r="G21" s="85">
        <v>0.0</v>
      </c>
      <c r="H21" s="59"/>
      <c r="I21" s="60"/>
      <c r="J21" s="80"/>
      <c r="K21" s="80"/>
      <c r="L21" s="80"/>
      <c r="M21" s="83"/>
      <c r="N21" s="62"/>
      <c r="O21" s="80"/>
      <c r="P21" s="59"/>
      <c r="Q21" s="61">
        <f t="shared" si="4"/>
        <v>0</v>
      </c>
      <c r="R21" s="62">
        <f t="shared" ref="R21:S21" si="22">C21+I21</f>
        <v>21.05</v>
      </c>
      <c r="S21" s="80">
        <f t="shared" si="22"/>
        <v>0</v>
      </c>
      <c r="T21" s="80">
        <f t="shared" ref="T21:V21" si="23">E21+K21+N21</f>
        <v>0</v>
      </c>
      <c r="U21" s="80">
        <f t="shared" si="23"/>
        <v>0</v>
      </c>
      <c r="V21" s="80">
        <f t="shared" si="23"/>
        <v>0</v>
      </c>
      <c r="W21" s="59">
        <f t="shared" si="7"/>
        <v>21.05</v>
      </c>
      <c r="X21" s="64"/>
    </row>
    <row r="22" ht="14.25" customHeight="1">
      <c r="A22" s="58" t="s">
        <v>30</v>
      </c>
      <c r="B22" s="79">
        <v>7.0</v>
      </c>
      <c r="C22" s="88">
        <v>0.0</v>
      </c>
      <c r="D22" s="80"/>
      <c r="E22" s="85">
        <v>5.0</v>
      </c>
      <c r="F22" s="80"/>
      <c r="G22" s="85">
        <v>2.0</v>
      </c>
      <c r="H22" s="59"/>
      <c r="I22" s="60"/>
      <c r="J22" s="80"/>
      <c r="K22" s="80"/>
      <c r="L22" s="80"/>
      <c r="M22" s="83"/>
      <c r="N22" s="62"/>
      <c r="O22" s="80"/>
      <c r="P22" s="59"/>
      <c r="Q22" s="61">
        <f t="shared" si="4"/>
        <v>0</v>
      </c>
      <c r="R22" s="62">
        <f t="shared" ref="R22:S22" si="24">C22+I22</f>
        <v>0</v>
      </c>
      <c r="S22" s="80">
        <f t="shared" si="24"/>
        <v>0</v>
      </c>
      <c r="T22" s="80">
        <f t="shared" ref="T22:V22" si="25">E22+K22+N22</f>
        <v>5</v>
      </c>
      <c r="U22" s="80">
        <f t="shared" si="25"/>
        <v>0</v>
      </c>
      <c r="V22" s="80">
        <f t="shared" si="25"/>
        <v>2</v>
      </c>
      <c r="W22" s="59">
        <f t="shared" si="7"/>
        <v>7</v>
      </c>
      <c r="X22" s="64"/>
    </row>
    <row r="23" ht="14.25" customHeight="1">
      <c r="A23" s="65"/>
      <c r="B23" s="65"/>
      <c r="C23" s="70"/>
      <c r="D23" s="68"/>
      <c r="E23" s="68"/>
      <c r="F23" s="68"/>
      <c r="G23" s="68"/>
      <c r="H23" s="66"/>
      <c r="I23" s="67"/>
      <c r="J23" s="68"/>
      <c r="K23" s="68"/>
      <c r="L23" s="68"/>
      <c r="M23" s="69"/>
      <c r="N23" s="70"/>
      <c r="O23" s="68"/>
      <c r="P23" s="66"/>
      <c r="Q23" s="71"/>
      <c r="R23" s="70"/>
      <c r="S23" s="68"/>
      <c r="T23" s="68"/>
      <c r="U23" s="68"/>
      <c r="V23" s="68"/>
      <c r="W23" s="66"/>
      <c r="X23" s="72"/>
    </row>
    <row r="24" ht="14.25" customHeight="1">
      <c r="A24" s="73" t="s">
        <v>31</v>
      </c>
      <c r="B24" s="73"/>
    </row>
    <row r="25" ht="14.25" customHeight="1">
      <c r="A25" s="74" t="s">
        <v>32</v>
      </c>
      <c r="B25" s="74"/>
    </row>
    <row r="26" ht="14.25" customHeight="1">
      <c r="A26" s="75">
        <f>-A29</f>
        <v>0</v>
      </c>
      <c r="B26" s="75"/>
    </row>
    <row r="27" ht="14.25" customHeight="1">
      <c r="A27" s="75"/>
      <c r="B27" s="7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0"/>
    <mergeCell ref="E9:E10"/>
    <mergeCell ref="F9:F10"/>
    <mergeCell ref="G9:G10"/>
    <mergeCell ref="I7:Q8"/>
    <mergeCell ref="I9:M9"/>
    <mergeCell ref="N9:P9"/>
    <mergeCell ref="Q9:Q10"/>
    <mergeCell ref="R9:R10"/>
    <mergeCell ref="S9:S10"/>
    <mergeCell ref="T9:T10"/>
    <mergeCell ref="U9:U10"/>
    <mergeCell ref="V9:V10"/>
    <mergeCell ref="A7:A10"/>
    <mergeCell ref="B7:B10"/>
    <mergeCell ref="C7:H8"/>
    <mergeCell ref="R7:W8"/>
    <mergeCell ref="X7:X10"/>
    <mergeCell ref="C9:C10"/>
    <mergeCell ref="H9:H10"/>
    <mergeCell ref="W9:W10"/>
  </mergeCells>
  <printOptions/>
  <pageMargins bottom="0.5" footer="0.0" header="0.0" left="0.75" right="0.75" top="0.5"/>
  <pageSetup scale="4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63"/>
    <col customWidth="1" min="2" max="2" width="14.88"/>
    <col customWidth="1" min="3" max="4" width="14.63"/>
    <col customWidth="1" min="5" max="5" width="9.25"/>
    <col customWidth="1" min="6" max="6" width="7.25"/>
    <col customWidth="1" min="7" max="7" width="13.25"/>
    <col customWidth="1" min="8" max="13" width="10.0"/>
    <col customWidth="1" min="14" max="14" width="7.13"/>
    <col customWidth="1" min="15" max="15" width="9.0"/>
    <col customWidth="1" min="16" max="16" width="6.88"/>
  </cols>
  <sheetData>
    <row r="1" ht="14.25" customHeight="1">
      <c r="A1" s="90" t="s">
        <v>0</v>
      </c>
      <c r="B1" s="90"/>
      <c r="C1" s="90"/>
      <c r="D1" s="90"/>
      <c r="E1" s="90"/>
      <c r="F1" s="90"/>
      <c r="G1" s="90"/>
      <c r="H1" s="90"/>
      <c r="I1" s="91"/>
      <c r="J1" s="91"/>
      <c r="K1" s="91"/>
      <c r="L1" s="91"/>
      <c r="M1" s="91"/>
      <c r="N1" s="91"/>
      <c r="O1" s="91"/>
    </row>
    <row r="2" ht="14.25" customHeight="1">
      <c r="A2" s="92" t="s">
        <v>1</v>
      </c>
      <c r="B2" s="92"/>
      <c r="C2" s="92"/>
      <c r="D2" s="92"/>
      <c r="E2" s="92"/>
      <c r="F2" s="92"/>
      <c r="G2" s="92"/>
      <c r="H2" s="92"/>
      <c r="I2" s="91"/>
      <c r="J2" s="91"/>
      <c r="K2" s="91"/>
      <c r="L2" s="91"/>
      <c r="M2" s="91"/>
      <c r="N2" s="91"/>
      <c r="O2" s="91"/>
    </row>
    <row r="3" ht="14.25" customHeight="1">
      <c r="A3" s="93" t="s">
        <v>2</v>
      </c>
      <c r="B3" s="93"/>
      <c r="C3" s="93"/>
      <c r="D3" s="93"/>
      <c r="E3" s="93"/>
      <c r="F3" s="93"/>
      <c r="G3" s="93"/>
      <c r="H3" s="93"/>
      <c r="I3" s="91"/>
      <c r="J3" s="91"/>
      <c r="K3" s="91"/>
      <c r="L3" s="91"/>
      <c r="M3" s="91"/>
      <c r="N3" s="91"/>
      <c r="O3" s="91"/>
    </row>
    <row r="4" ht="14.25" customHeight="1">
      <c r="A4" s="94"/>
      <c r="B4" s="94"/>
      <c r="C4" s="94"/>
      <c r="D4" s="94"/>
      <c r="E4" s="94"/>
      <c r="F4" s="94"/>
      <c r="G4" s="94"/>
      <c r="H4" s="94"/>
      <c r="I4" s="91"/>
      <c r="J4" s="91"/>
      <c r="K4" s="91"/>
      <c r="L4" s="91"/>
      <c r="M4" s="91"/>
      <c r="N4" s="91"/>
      <c r="O4" s="91"/>
    </row>
    <row r="5" ht="14.25" customHeight="1">
      <c r="A5" s="92" t="s">
        <v>3</v>
      </c>
      <c r="B5" s="92"/>
      <c r="C5" s="92"/>
      <c r="D5" s="92"/>
      <c r="E5" s="92"/>
      <c r="F5" s="92"/>
      <c r="G5" s="92"/>
      <c r="H5" s="92"/>
      <c r="I5" s="134" t="s">
        <v>485</v>
      </c>
      <c r="J5" s="91"/>
      <c r="K5" s="134" t="s">
        <v>486</v>
      </c>
      <c r="L5" s="91"/>
      <c r="M5" s="134" t="s">
        <v>487</v>
      </c>
      <c r="N5" s="91"/>
      <c r="O5" s="91"/>
    </row>
    <row r="6" ht="14.25" customHeight="1">
      <c r="A6" s="135" t="s">
        <v>3575</v>
      </c>
      <c r="B6" s="96"/>
      <c r="C6" s="95"/>
      <c r="D6" s="95"/>
      <c r="E6" s="95"/>
      <c r="F6" s="95"/>
      <c r="G6" s="95"/>
      <c r="H6" s="95"/>
      <c r="I6" s="97"/>
      <c r="J6" s="97"/>
      <c r="K6" s="97"/>
      <c r="L6" s="97"/>
      <c r="M6" s="97"/>
      <c r="N6" s="97"/>
      <c r="O6" s="98"/>
      <c r="P6" s="125" t="s">
        <v>3576</v>
      </c>
    </row>
    <row r="7" ht="33.0" customHeight="1">
      <c r="A7" s="99" t="s">
        <v>40</v>
      </c>
      <c r="B7" s="136" t="s">
        <v>192</v>
      </c>
      <c r="C7" s="101"/>
      <c r="D7" s="101"/>
      <c r="E7" s="102"/>
      <c r="F7" s="103" t="s">
        <v>38</v>
      </c>
      <c r="G7" s="104" t="s">
        <v>39</v>
      </c>
      <c r="H7" s="105" t="s">
        <v>40</v>
      </c>
      <c r="I7" s="106" t="s">
        <v>41</v>
      </c>
      <c r="J7" s="107"/>
      <c r="K7" s="107"/>
      <c r="L7" s="107"/>
      <c r="M7" s="107"/>
      <c r="N7" s="108" t="s">
        <v>42</v>
      </c>
      <c r="O7" s="109" t="s">
        <v>43</v>
      </c>
    </row>
    <row r="8" ht="37.5" customHeight="1">
      <c r="A8" s="110"/>
      <c r="B8" s="111" t="s">
        <v>44</v>
      </c>
      <c r="C8" s="111" t="s">
        <v>45</v>
      </c>
      <c r="D8" s="111" t="s">
        <v>46</v>
      </c>
      <c r="E8" s="112" t="s">
        <v>47</v>
      </c>
      <c r="F8" s="110"/>
      <c r="G8" s="113" t="s">
        <v>48</v>
      </c>
      <c r="H8" s="110"/>
      <c r="I8" s="114" t="s">
        <v>9</v>
      </c>
      <c r="J8" s="114" t="s">
        <v>10</v>
      </c>
      <c r="K8" s="114" t="s">
        <v>17</v>
      </c>
      <c r="L8" s="114" t="s">
        <v>12</v>
      </c>
      <c r="M8" s="115" t="s">
        <v>13</v>
      </c>
      <c r="N8" s="110"/>
      <c r="O8" s="116" t="s">
        <v>49</v>
      </c>
    </row>
    <row r="9" ht="14.25" customHeight="1">
      <c r="A9" s="117"/>
      <c r="B9" s="118" t="s">
        <v>3577</v>
      </c>
      <c r="C9" s="118" t="s">
        <v>3578</v>
      </c>
      <c r="D9" s="118" t="s">
        <v>3079</v>
      </c>
      <c r="E9" s="117"/>
      <c r="F9" s="118">
        <v>1.5</v>
      </c>
      <c r="G9" s="117"/>
      <c r="H9" s="118" t="s">
        <v>22</v>
      </c>
      <c r="I9" s="137"/>
      <c r="J9" s="120"/>
      <c r="K9" s="137" t="s">
        <v>155</v>
      </c>
      <c r="L9" s="120"/>
      <c r="M9" s="120"/>
      <c r="N9" s="120"/>
      <c r="O9" s="121" t="s">
        <v>54</v>
      </c>
    </row>
    <row r="10" ht="14.25" customHeight="1">
      <c r="A10" s="117"/>
      <c r="B10" s="118" t="s">
        <v>776</v>
      </c>
      <c r="C10" s="118" t="s">
        <v>2656</v>
      </c>
      <c r="D10" s="118" t="s">
        <v>2657</v>
      </c>
      <c r="E10" s="117"/>
      <c r="F10" s="118">
        <v>2.0</v>
      </c>
      <c r="G10" s="117"/>
      <c r="H10" s="118" t="s">
        <v>22</v>
      </c>
      <c r="I10" s="137" t="s">
        <v>992</v>
      </c>
      <c r="J10" s="120"/>
      <c r="K10" s="120"/>
      <c r="L10" s="120"/>
      <c r="M10" s="120"/>
      <c r="N10" s="120"/>
      <c r="O10" s="121" t="s">
        <v>54</v>
      </c>
    </row>
    <row r="11" ht="14.25" customHeight="1">
      <c r="A11" s="117" t="s">
        <v>19</v>
      </c>
      <c r="B11" s="118" t="s">
        <v>3139</v>
      </c>
      <c r="C11" s="118" t="s">
        <v>3148</v>
      </c>
      <c r="D11" s="118" t="s">
        <v>3579</v>
      </c>
      <c r="E11" s="117"/>
      <c r="F11" s="118">
        <v>1.3</v>
      </c>
      <c r="G11" s="117"/>
      <c r="H11" s="118" t="s">
        <v>22</v>
      </c>
      <c r="I11" s="137" t="s">
        <v>1102</v>
      </c>
      <c r="J11" s="120"/>
      <c r="K11" s="120"/>
      <c r="L11" s="120"/>
      <c r="M11" s="120"/>
      <c r="N11" s="120"/>
      <c r="O11" s="121" t="s">
        <v>54</v>
      </c>
    </row>
    <row r="12" ht="14.25" customHeight="1">
      <c r="A12" s="117" t="s">
        <v>20</v>
      </c>
      <c r="B12" s="118" t="s">
        <v>3580</v>
      </c>
      <c r="C12" s="118" t="s">
        <v>3581</v>
      </c>
      <c r="D12" s="118" t="s">
        <v>1175</v>
      </c>
      <c r="E12" s="117"/>
      <c r="F12" s="118">
        <v>1.0</v>
      </c>
      <c r="G12" s="117"/>
      <c r="H12" s="118" t="s">
        <v>22</v>
      </c>
      <c r="I12" s="137" t="s">
        <v>3076</v>
      </c>
      <c r="J12" s="120"/>
      <c r="K12" s="120"/>
      <c r="L12" s="120"/>
      <c r="M12" s="120"/>
      <c r="N12" s="120"/>
      <c r="O12" s="121" t="s">
        <v>54</v>
      </c>
    </row>
    <row r="13" ht="14.25" customHeight="1">
      <c r="A13" s="117" t="s">
        <v>21</v>
      </c>
      <c r="B13" s="118" t="s">
        <v>3582</v>
      </c>
      <c r="C13" s="118" t="s">
        <v>3583</v>
      </c>
      <c r="D13" s="118" t="s">
        <v>256</v>
      </c>
      <c r="E13" s="117"/>
      <c r="F13" s="118">
        <v>3.0</v>
      </c>
      <c r="G13" s="117"/>
      <c r="H13" s="118" t="s">
        <v>22</v>
      </c>
      <c r="I13" s="137" t="s">
        <v>3076</v>
      </c>
      <c r="J13" s="120"/>
      <c r="K13" s="120"/>
      <c r="L13" s="120"/>
      <c r="M13" s="120"/>
      <c r="N13" s="120"/>
      <c r="O13" s="121" t="s">
        <v>54</v>
      </c>
    </row>
    <row r="14" ht="14.25" customHeight="1">
      <c r="A14" s="117" t="s">
        <v>22</v>
      </c>
      <c r="B14" s="118" t="s">
        <v>3584</v>
      </c>
      <c r="C14" s="118" t="s">
        <v>254</v>
      </c>
      <c r="D14" s="118" t="s">
        <v>559</v>
      </c>
      <c r="E14" s="117"/>
      <c r="F14" s="118">
        <v>1.0</v>
      </c>
      <c r="G14" s="117"/>
      <c r="H14" s="118" t="s">
        <v>22</v>
      </c>
      <c r="I14" s="137"/>
      <c r="J14" s="120"/>
      <c r="K14" s="137" t="s">
        <v>53</v>
      </c>
      <c r="L14" s="120"/>
      <c r="M14" s="120"/>
      <c r="N14" s="120"/>
      <c r="O14" s="121" t="s">
        <v>54</v>
      </c>
    </row>
    <row r="15" ht="14.25" customHeight="1">
      <c r="A15" s="117" t="s">
        <v>23</v>
      </c>
      <c r="B15" s="118" t="s">
        <v>2249</v>
      </c>
      <c r="C15" s="118" t="s">
        <v>558</v>
      </c>
      <c r="D15" s="118" t="s">
        <v>559</v>
      </c>
      <c r="E15" s="117"/>
      <c r="F15" s="118">
        <v>1.0</v>
      </c>
      <c r="G15" s="117"/>
      <c r="H15" s="118" t="s">
        <v>22</v>
      </c>
      <c r="I15" s="137"/>
      <c r="J15" s="120"/>
      <c r="K15" s="137" t="s">
        <v>155</v>
      </c>
      <c r="L15" s="120"/>
      <c r="M15" s="120"/>
      <c r="N15" s="120"/>
      <c r="O15" s="121" t="s">
        <v>54</v>
      </c>
    </row>
    <row r="16" ht="14.25" customHeight="1">
      <c r="A16" s="117" t="s">
        <v>24</v>
      </c>
      <c r="B16" s="118" t="s">
        <v>767</v>
      </c>
      <c r="C16" s="118" t="s">
        <v>624</v>
      </c>
      <c r="D16" s="118" t="s">
        <v>1197</v>
      </c>
      <c r="E16" s="117"/>
      <c r="F16" s="118">
        <v>1.0</v>
      </c>
      <c r="G16" s="117"/>
      <c r="H16" s="118" t="s">
        <v>22</v>
      </c>
      <c r="I16" s="137"/>
      <c r="J16" s="120"/>
      <c r="K16" s="137" t="s">
        <v>172</v>
      </c>
      <c r="L16" s="120"/>
      <c r="M16" s="120"/>
      <c r="N16" s="120"/>
      <c r="O16" s="121" t="s">
        <v>54</v>
      </c>
    </row>
    <row r="17" ht="14.25" customHeight="1">
      <c r="A17" s="117" t="s">
        <v>25</v>
      </c>
      <c r="B17" s="118" t="s">
        <v>3585</v>
      </c>
      <c r="C17" s="118" t="s">
        <v>1672</v>
      </c>
      <c r="D17" s="118" t="s">
        <v>1197</v>
      </c>
      <c r="E17" s="117"/>
      <c r="F17" s="118">
        <v>1.0</v>
      </c>
      <c r="G17" s="117"/>
      <c r="H17" s="118" t="s">
        <v>22</v>
      </c>
      <c r="I17" s="137" t="s">
        <v>179</v>
      </c>
      <c r="J17" s="120"/>
      <c r="K17" s="120"/>
      <c r="L17" s="120"/>
      <c r="M17" s="120"/>
      <c r="N17" s="120"/>
      <c r="O17" s="121" t="s">
        <v>54</v>
      </c>
    </row>
    <row r="18" ht="14.25" customHeight="1">
      <c r="A18" s="117" t="s">
        <v>26</v>
      </c>
      <c r="B18" s="118" t="s">
        <v>2238</v>
      </c>
      <c r="C18" s="118" t="s">
        <v>3586</v>
      </c>
      <c r="D18" s="118" t="s">
        <v>2300</v>
      </c>
      <c r="E18" s="117"/>
      <c r="F18" s="118">
        <v>0.5</v>
      </c>
      <c r="G18" s="117"/>
      <c r="H18" s="118" t="s">
        <v>22</v>
      </c>
      <c r="I18" s="137"/>
      <c r="J18" s="120"/>
      <c r="K18" s="137" t="s">
        <v>155</v>
      </c>
      <c r="L18" s="120"/>
      <c r="M18" s="120"/>
      <c r="N18" s="120"/>
      <c r="O18" s="121" t="s">
        <v>54</v>
      </c>
    </row>
    <row r="19" ht="14.25" customHeight="1">
      <c r="A19" s="117" t="s">
        <v>27</v>
      </c>
      <c r="B19" s="118" t="s">
        <v>1161</v>
      </c>
      <c r="C19" s="118" t="s">
        <v>559</v>
      </c>
      <c r="D19" s="118" t="s">
        <v>250</v>
      </c>
      <c r="E19" s="117"/>
      <c r="F19" s="118">
        <v>1.0</v>
      </c>
      <c r="G19" s="117"/>
      <c r="H19" s="118" t="s">
        <v>22</v>
      </c>
      <c r="I19" s="137" t="s">
        <v>179</v>
      </c>
      <c r="J19" s="120"/>
      <c r="K19" s="120"/>
      <c r="L19" s="120"/>
      <c r="M19" s="120"/>
      <c r="N19" s="120"/>
      <c r="O19" s="121" t="s">
        <v>54</v>
      </c>
    </row>
    <row r="20" ht="14.25" customHeight="1">
      <c r="A20" s="117" t="s">
        <v>28</v>
      </c>
      <c r="B20" s="118" t="s">
        <v>2114</v>
      </c>
      <c r="C20" s="118" t="s">
        <v>3587</v>
      </c>
      <c r="D20" s="118" t="s">
        <v>3588</v>
      </c>
      <c r="E20" s="118" t="s">
        <v>86</v>
      </c>
      <c r="F20" s="118">
        <v>1.0</v>
      </c>
      <c r="G20" s="117"/>
      <c r="H20" s="118" t="s">
        <v>22</v>
      </c>
      <c r="I20" s="137" t="s">
        <v>179</v>
      </c>
      <c r="J20" s="120"/>
      <c r="K20" s="120"/>
      <c r="L20" s="120"/>
      <c r="M20" s="120"/>
      <c r="N20" s="120"/>
      <c r="O20" s="121" t="s">
        <v>54</v>
      </c>
    </row>
    <row r="21" ht="14.25" customHeight="1">
      <c r="A21" s="122" t="s">
        <v>29</v>
      </c>
      <c r="B21" s="123" t="s">
        <v>1682</v>
      </c>
      <c r="C21" s="123" t="s">
        <v>561</v>
      </c>
      <c r="D21" s="123" t="s">
        <v>562</v>
      </c>
      <c r="E21" s="124"/>
      <c r="F21" s="123">
        <v>1.0</v>
      </c>
      <c r="G21" s="124"/>
      <c r="H21" s="123" t="s">
        <v>22</v>
      </c>
      <c r="I21" s="121" t="s">
        <v>3076</v>
      </c>
      <c r="J21" s="120"/>
      <c r="K21" s="120"/>
      <c r="L21" s="120"/>
      <c r="M21" s="120"/>
      <c r="N21" s="120"/>
      <c r="O21" s="121" t="s">
        <v>54</v>
      </c>
    </row>
    <row r="22" ht="14.25" customHeight="1">
      <c r="A22" s="122" t="s">
        <v>30</v>
      </c>
      <c r="B22" s="123" t="s">
        <v>3589</v>
      </c>
      <c r="C22" s="123" t="s">
        <v>3590</v>
      </c>
      <c r="D22" s="123" t="s">
        <v>562</v>
      </c>
      <c r="E22" s="124"/>
      <c r="F22" s="123">
        <v>1.0</v>
      </c>
      <c r="G22" s="124"/>
      <c r="H22" s="123" t="s">
        <v>22</v>
      </c>
      <c r="I22" s="121" t="s">
        <v>179</v>
      </c>
      <c r="J22" s="120"/>
      <c r="K22" s="120"/>
      <c r="L22" s="120"/>
      <c r="M22" s="120"/>
      <c r="N22" s="120"/>
      <c r="O22" s="121" t="s">
        <v>54</v>
      </c>
    </row>
    <row r="23" ht="14.25" customHeight="1">
      <c r="B23" s="125" t="s">
        <v>3591</v>
      </c>
      <c r="C23" s="125" t="s">
        <v>1326</v>
      </c>
      <c r="D23" s="125" t="s">
        <v>562</v>
      </c>
      <c r="F23" s="125">
        <v>1.0</v>
      </c>
      <c r="H23" s="125" t="s">
        <v>22</v>
      </c>
      <c r="I23" s="125" t="s">
        <v>179</v>
      </c>
      <c r="O23" s="125" t="s">
        <v>54</v>
      </c>
    </row>
    <row r="24" ht="14.25" customHeight="1">
      <c r="B24" s="125" t="s">
        <v>3592</v>
      </c>
      <c r="C24" s="125" t="s">
        <v>1068</v>
      </c>
      <c r="D24" s="125" t="s">
        <v>1216</v>
      </c>
      <c r="F24" s="125">
        <v>1.0</v>
      </c>
      <c r="H24" s="125" t="s">
        <v>22</v>
      </c>
      <c r="I24" s="125" t="s">
        <v>992</v>
      </c>
      <c r="O24" s="125" t="s">
        <v>54</v>
      </c>
    </row>
    <row r="25" ht="14.25" customHeight="1">
      <c r="B25" s="125" t="s">
        <v>3593</v>
      </c>
      <c r="C25" s="125" t="s">
        <v>1068</v>
      </c>
      <c r="D25" s="125" t="s">
        <v>1216</v>
      </c>
      <c r="F25" s="125">
        <v>1.0</v>
      </c>
      <c r="H25" s="125" t="s">
        <v>22</v>
      </c>
      <c r="I25" s="125" t="s">
        <v>179</v>
      </c>
      <c r="O25" s="125" t="s">
        <v>54</v>
      </c>
    </row>
    <row r="26" ht="14.25" customHeight="1">
      <c r="A26" s="126">
        <f>-A29</f>
        <v>0</v>
      </c>
      <c r="B26" s="125" t="s">
        <v>3594</v>
      </c>
      <c r="C26" s="125" t="s">
        <v>1661</v>
      </c>
      <c r="D26" s="125" t="s">
        <v>1216</v>
      </c>
      <c r="F26" s="125">
        <v>1.0</v>
      </c>
      <c r="H26" s="125" t="s">
        <v>22</v>
      </c>
      <c r="I26" s="125" t="s">
        <v>3076</v>
      </c>
      <c r="O26" s="125" t="s">
        <v>54</v>
      </c>
    </row>
    <row r="27" ht="14.25" customHeight="1">
      <c r="B27" s="125" t="s">
        <v>3595</v>
      </c>
      <c r="C27" s="125" t="s">
        <v>2771</v>
      </c>
      <c r="D27" s="125" t="s">
        <v>2677</v>
      </c>
      <c r="F27" s="125">
        <v>2.0</v>
      </c>
      <c r="H27" s="125" t="s">
        <v>22</v>
      </c>
      <c r="M27" s="125" t="s">
        <v>304</v>
      </c>
      <c r="O27" s="125" t="s">
        <v>54</v>
      </c>
    </row>
    <row r="28" ht="14.25" customHeight="1">
      <c r="B28" s="125" t="s">
        <v>3092</v>
      </c>
      <c r="C28" s="125" t="s">
        <v>597</v>
      </c>
      <c r="D28" s="125" t="s">
        <v>85</v>
      </c>
      <c r="F28" s="125">
        <v>0.5</v>
      </c>
      <c r="H28" s="125" t="s">
        <v>24</v>
      </c>
      <c r="I28" s="125" t="s">
        <v>179</v>
      </c>
      <c r="O28" s="125" t="s">
        <v>54</v>
      </c>
    </row>
    <row r="29" ht="14.25" customHeight="1">
      <c r="B29" s="125" t="s">
        <v>865</v>
      </c>
      <c r="C29" s="125" t="s">
        <v>3596</v>
      </c>
      <c r="D29" s="125" t="s">
        <v>3597</v>
      </c>
      <c r="F29" s="125">
        <v>0.5</v>
      </c>
      <c r="H29" s="125" t="s">
        <v>24</v>
      </c>
      <c r="I29" s="125" t="s">
        <v>179</v>
      </c>
      <c r="O29" s="125" t="s">
        <v>54</v>
      </c>
    </row>
    <row r="30" ht="14.25" customHeight="1">
      <c r="B30" s="125" t="s">
        <v>3598</v>
      </c>
      <c r="C30" s="125" t="s">
        <v>3599</v>
      </c>
      <c r="D30" s="125" t="s">
        <v>1678</v>
      </c>
      <c r="F30" s="125">
        <v>0.5</v>
      </c>
      <c r="H30" s="125" t="s">
        <v>24</v>
      </c>
      <c r="I30" s="125" t="s">
        <v>179</v>
      </c>
      <c r="O30" s="125" t="s">
        <v>54</v>
      </c>
    </row>
    <row r="31" ht="14.25" customHeight="1">
      <c r="B31" s="125" t="s">
        <v>3600</v>
      </c>
      <c r="C31" s="125" t="s">
        <v>3601</v>
      </c>
      <c r="D31" s="125" t="s">
        <v>600</v>
      </c>
      <c r="F31" s="125">
        <v>0.5</v>
      </c>
      <c r="H31" s="125" t="s">
        <v>24</v>
      </c>
      <c r="I31" s="125" t="s">
        <v>1102</v>
      </c>
      <c r="O31" s="125" t="s">
        <v>54</v>
      </c>
    </row>
    <row r="32" ht="14.25" customHeight="1">
      <c r="B32" s="125" t="s">
        <v>2453</v>
      </c>
      <c r="C32" s="125" t="s">
        <v>2771</v>
      </c>
      <c r="D32" s="125" t="s">
        <v>2782</v>
      </c>
      <c r="F32" s="125">
        <v>0.5</v>
      </c>
      <c r="H32" s="125" t="s">
        <v>24</v>
      </c>
      <c r="I32" s="125" t="s">
        <v>179</v>
      </c>
      <c r="O32" s="125" t="s">
        <v>54</v>
      </c>
    </row>
    <row r="33" ht="14.25" customHeight="1">
      <c r="B33" s="125" t="s">
        <v>3602</v>
      </c>
      <c r="C33" s="125" t="s">
        <v>3603</v>
      </c>
      <c r="D33" s="125" t="s">
        <v>3237</v>
      </c>
      <c r="F33" s="125">
        <v>0.5</v>
      </c>
      <c r="H33" s="125" t="s">
        <v>24</v>
      </c>
      <c r="I33" s="125" t="s">
        <v>179</v>
      </c>
      <c r="O33" s="125" t="s">
        <v>54</v>
      </c>
    </row>
    <row r="34" ht="14.25" customHeight="1">
      <c r="B34" s="125" t="s">
        <v>3604</v>
      </c>
      <c r="C34" s="125" t="s">
        <v>2922</v>
      </c>
      <c r="D34" s="125" t="s">
        <v>1070</v>
      </c>
      <c r="F34" s="125">
        <v>0.5</v>
      </c>
      <c r="H34" s="125" t="s">
        <v>25</v>
      </c>
      <c r="K34" s="125" t="s">
        <v>155</v>
      </c>
      <c r="O34" s="125" t="s">
        <v>54</v>
      </c>
    </row>
    <row r="35" ht="14.25" customHeight="1">
      <c r="B35" s="125" t="s">
        <v>3605</v>
      </c>
      <c r="C35" s="125" t="s">
        <v>2842</v>
      </c>
      <c r="D35" s="125" t="s">
        <v>3253</v>
      </c>
      <c r="F35" s="125">
        <v>0.5</v>
      </c>
      <c r="H35" s="125" t="s">
        <v>25</v>
      </c>
      <c r="K35" s="125" t="s">
        <v>155</v>
      </c>
      <c r="O35" s="125" t="s">
        <v>54</v>
      </c>
    </row>
    <row r="36" ht="14.25" customHeight="1">
      <c r="B36" s="125" t="s">
        <v>3605</v>
      </c>
      <c r="C36" s="125" t="s">
        <v>2842</v>
      </c>
      <c r="D36" s="125" t="s">
        <v>3253</v>
      </c>
      <c r="F36" s="125">
        <v>0.5</v>
      </c>
      <c r="H36" s="125" t="s">
        <v>25</v>
      </c>
      <c r="K36" s="125" t="s">
        <v>155</v>
      </c>
      <c r="O36" s="125" t="s">
        <v>54</v>
      </c>
    </row>
    <row r="37" ht="14.25" customHeight="1">
      <c r="B37" s="125" t="s">
        <v>3605</v>
      </c>
      <c r="C37" s="125" t="s">
        <v>2842</v>
      </c>
      <c r="D37" s="125" t="s">
        <v>3253</v>
      </c>
      <c r="F37" s="125">
        <v>0.5</v>
      </c>
      <c r="H37" s="125" t="s">
        <v>25</v>
      </c>
      <c r="K37" s="125" t="s">
        <v>155</v>
      </c>
      <c r="O37" s="125" t="s">
        <v>54</v>
      </c>
    </row>
    <row r="38" ht="14.25" customHeight="1">
      <c r="B38" s="125" t="s">
        <v>3285</v>
      </c>
      <c r="C38" s="125" t="s">
        <v>3286</v>
      </c>
      <c r="D38" s="125" t="s">
        <v>3287</v>
      </c>
      <c r="F38" s="125">
        <v>0.5</v>
      </c>
      <c r="H38" s="125" t="s">
        <v>25</v>
      </c>
      <c r="K38" s="125" t="s">
        <v>155</v>
      </c>
      <c r="O38" s="125" t="s">
        <v>54</v>
      </c>
    </row>
    <row r="39" ht="14.25" customHeight="1">
      <c r="B39" s="125" t="s">
        <v>1006</v>
      </c>
      <c r="C39" s="125" t="s">
        <v>3606</v>
      </c>
      <c r="D39" s="125" t="s">
        <v>3607</v>
      </c>
      <c r="F39" s="125">
        <v>0.5</v>
      </c>
      <c r="H39" s="125" t="s">
        <v>25</v>
      </c>
      <c r="M39" s="125" t="s">
        <v>371</v>
      </c>
      <c r="O39" s="125" t="s">
        <v>54</v>
      </c>
    </row>
    <row r="40" ht="14.25" customHeight="1">
      <c r="B40" s="125" t="s">
        <v>3608</v>
      </c>
      <c r="C40" s="125" t="s">
        <v>3244</v>
      </c>
      <c r="D40" s="125" t="s">
        <v>3609</v>
      </c>
      <c r="F40" s="125">
        <v>0.5</v>
      </c>
      <c r="H40" s="125" t="s">
        <v>25</v>
      </c>
      <c r="K40" s="125" t="s">
        <v>155</v>
      </c>
      <c r="O40" s="125" t="s">
        <v>54</v>
      </c>
    </row>
    <row r="41" ht="14.25" customHeight="1">
      <c r="B41" s="125" t="s">
        <v>672</v>
      </c>
      <c r="C41" s="125" t="s">
        <v>891</v>
      </c>
      <c r="D41" s="125" t="s">
        <v>3610</v>
      </c>
      <c r="F41" s="125">
        <v>0.25</v>
      </c>
      <c r="H41" s="125" t="s">
        <v>27</v>
      </c>
      <c r="I41" s="125" t="s">
        <v>179</v>
      </c>
      <c r="O41" s="125" t="s">
        <v>54</v>
      </c>
    </row>
    <row r="42" ht="14.25" customHeight="1">
      <c r="B42" s="125" t="s">
        <v>888</v>
      </c>
      <c r="C42" s="125" t="s">
        <v>3611</v>
      </c>
      <c r="D42" s="125" t="s">
        <v>2426</v>
      </c>
      <c r="F42" s="125">
        <v>0.5</v>
      </c>
      <c r="H42" s="125" t="s">
        <v>27</v>
      </c>
      <c r="I42" s="125" t="s">
        <v>179</v>
      </c>
      <c r="O42" s="125" t="s">
        <v>54</v>
      </c>
    </row>
    <row r="43" ht="14.25" customHeight="1">
      <c r="B43" s="125" t="s">
        <v>3095</v>
      </c>
      <c r="C43" s="125" t="s">
        <v>3612</v>
      </c>
      <c r="D43" s="125" t="s">
        <v>684</v>
      </c>
      <c r="F43" s="125">
        <v>0.5</v>
      </c>
      <c r="H43" s="125" t="s">
        <v>27</v>
      </c>
      <c r="I43" s="125" t="s">
        <v>179</v>
      </c>
      <c r="O43" s="125" t="s">
        <v>54</v>
      </c>
    </row>
    <row r="44" ht="14.25" customHeight="1">
      <c r="B44" s="125" t="s">
        <v>2376</v>
      </c>
      <c r="C44" s="125" t="s">
        <v>3613</v>
      </c>
      <c r="D44" s="125" t="s">
        <v>836</v>
      </c>
      <c r="F44" s="125">
        <v>0.5</v>
      </c>
      <c r="H44" s="125" t="s">
        <v>27</v>
      </c>
      <c r="I44" s="125" t="s">
        <v>179</v>
      </c>
      <c r="O44" s="125" t="s">
        <v>54</v>
      </c>
    </row>
    <row r="45" ht="14.25" customHeight="1">
      <c r="B45" s="125" t="s">
        <v>3614</v>
      </c>
      <c r="C45" s="125" t="s">
        <v>323</v>
      </c>
      <c r="D45" s="125" t="s">
        <v>836</v>
      </c>
      <c r="F45" s="125">
        <v>0.5</v>
      </c>
      <c r="H45" s="125" t="s">
        <v>27</v>
      </c>
      <c r="I45" s="125" t="s">
        <v>179</v>
      </c>
      <c r="O45" s="125" t="s">
        <v>54</v>
      </c>
    </row>
    <row r="46" ht="14.25" customHeight="1">
      <c r="B46" s="125" t="s">
        <v>3615</v>
      </c>
      <c r="C46" s="125" t="s">
        <v>588</v>
      </c>
      <c r="D46" s="125" t="s">
        <v>1297</v>
      </c>
      <c r="F46" s="125">
        <v>1.0</v>
      </c>
      <c r="H46" s="125" t="s">
        <v>27</v>
      </c>
      <c r="I46" s="125" t="s">
        <v>179</v>
      </c>
      <c r="O46" s="125" t="s">
        <v>54</v>
      </c>
    </row>
    <row r="47" ht="14.25" customHeight="1">
      <c r="B47" s="125" t="s">
        <v>3616</v>
      </c>
      <c r="C47" s="125" t="s">
        <v>2432</v>
      </c>
      <c r="D47" s="125" t="s">
        <v>3617</v>
      </c>
      <c r="F47" s="125">
        <v>1.0</v>
      </c>
      <c r="H47" s="125" t="s">
        <v>27</v>
      </c>
      <c r="I47" s="125" t="s">
        <v>179</v>
      </c>
      <c r="O47" s="125" t="s">
        <v>54</v>
      </c>
    </row>
    <row r="48" ht="14.25" customHeight="1">
      <c r="B48" s="125" t="s">
        <v>1515</v>
      </c>
      <c r="C48" s="125" t="s">
        <v>840</v>
      </c>
      <c r="D48" s="125" t="s">
        <v>508</v>
      </c>
      <c r="F48" s="125">
        <v>1.0</v>
      </c>
      <c r="H48" s="125" t="s">
        <v>27</v>
      </c>
      <c r="I48" s="125" t="s">
        <v>179</v>
      </c>
      <c r="O48" s="125" t="s">
        <v>54</v>
      </c>
    </row>
    <row r="49" ht="14.25" customHeight="1">
      <c r="B49" s="125" t="s">
        <v>1738</v>
      </c>
      <c r="C49" s="125" t="s">
        <v>840</v>
      </c>
      <c r="D49" s="125" t="s">
        <v>508</v>
      </c>
      <c r="F49" s="125">
        <v>0.75</v>
      </c>
      <c r="H49" s="125" t="s">
        <v>27</v>
      </c>
      <c r="I49" s="125" t="s">
        <v>179</v>
      </c>
      <c r="O49" s="125" t="s">
        <v>54</v>
      </c>
    </row>
    <row r="50" ht="14.25" customHeight="1">
      <c r="B50" s="125" t="s">
        <v>2132</v>
      </c>
      <c r="C50" s="125" t="s">
        <v>3618</v>
      </c>
      <c r="D50" s="125" t="s">
        <v>779</v>
      </c>
      <c r="F50" s="125">
        <v>1.0</v>
      </c>
      <c r="H50" s="125" t="s">
        <v>27</v>
      </c>
      <c r="I50" s="125" t="s">
        <v>179</v>
      </c>
      <c r="O50" s="125" t="s">
        <v>54</v>
      </c>
    </row>
    <row r="51" ht="14.25" customHeight="1">
      <c r="B51" s="125" t="s">
        <v>3619</v>
      </c>
      <c r="C51" s="125" t="s">
        <v>3620</v>
      </c>
      <c r="D51" s="125" t="s">
        <v>779</v>
      </c>
      <c r="F51" s="125">
        <v>1.0</v>
      </c>
      <c r="H51" s="125" t="s">
        <v>27</v>
      </c>
      <c r="I51" s="125" t="s">
        <v>179</v>
      </c>
      <c r="O51" s="125" t="s">
        <v>54</v>
      </c>
    </row>
    <row r="52" ht="14.25" customHeight="1">
      <c r="B52" s="125" t="s">
        <v>68</v>
      </c>
      <c r="C52" s="125" t="s">
        <v>3621</v>
      </c>
      <c r="D52" s="125" t="s">
        <v>1302</v>
      </c>
      <c r="F52" s="125">
        <v>1.8</v>
      </c>
      <c r="H52" s="125" t="s">
        <v>27</v>
      </c>
      <c r="I52" s="125" t="s">
        <v>179</v>
      </c>
      <c r="O52" s="125" t="s">
        <v>54</v>
      </c>
    </row>
    <row r="53" ht="14.25" customHeight="1">
      <c r="B53" s="125" t="s">
        <v>776</v>
      </c>
      <c r="C53" s="125" t="s">
        <v>3622</v>
      </c>
      <c r="D53" s="125" t="s">
        <v>3623</v>
      </c>
      <c r="E53" s="125" t="s">
        <v>137</v>
      </c>
      <c r="F53" s="125">
        <v>0.5</v>
      </c>
      <c r="H53" s="125" t="s">
        <v>27</v>
      </c>
      <c r="I53" s="125" t="s">
        <v>179</v>
      </c>
      <c r="O53" s="125" t="s">
        <v>54</v>
      </c>
    </row>
    <row r="54" ht="14.25" customHeight="1">
      <c r="B54" s="125" t="s">
        <v>3336</v>
      </c>
      <c r="C54" s="125" t="s">
        <v>3624</v>
      </c>
      <c r="D54" s="125" t="s">
        <v>339</v>
      </c>
      <c r="F54" s="125">
        <v>1.0</v>
      </c>
      <c r="H54" s="125" t="s">
        <v>28</v>
      </c>
      <c r="K54" s="125" t="s">
        <v>155</v>
      </c>
      <c r="O54" s="125" t="s">
        <v>54</v>
      </c>
    </row>
    <row r="55" ht="14.25" customHeight="1">
      <c r="B55" s="125" t="s">
        <v>2761</v>
      </c>
      <c r="C55" s="125" t="s">
        <v>1784</v>
      </c>
      <c r="D55" s="125" t="s">
        <v>2962</v>
      </c>
      <c r="F55" s="125">
        <v>1.0</v>
      </c>
      <c r="H55" s="125" t="s">
        <v>28</v>
      </c>
      <c r="K55" s="125" t="s">
        <v>155</v>
      </c>
      <c r="O55" s="125" t="s">
        <v>54</v>
      </c>
    </row>
    <row r="56" ht="14.25" customHeight="1">
      <c r="B56" s="125" t="s">
        <v>1329</v>
      </c>
      <c r="C56" s="125" t="s">
        <v>1281</v>
      </c>
      <c r="D56" s="125" t="s">
        <v>3625</v>
      </c>
      <c r="F56" s="125">
        <v>1.2</v>
      </c>
      <c r="H56" s="125" t="s">
        <v>28</v>
      </c>
      <c r="K56" s="125" t="s">
        <v>155</v>
      </c>
      <c r="O56" s="125" t="s">
        <v>54</v>
      </c>
    </row>
    <row r="57" ht="14.25" customHeight="1">
      <c r="B57" s="125" t="s">
        <v>3626</v>
      </c>
      <c r="C57" s="125" t="s">
        <v>3627</v>
      </c>
      <c r="D57" s="125" t="s">
        <v>1542</v>
      </c>
      <c r="F57" s="125">
        <v>1.0</v>
      </c>
      <c r="H57" s="125" t="s">
        <v>28</v>
      </c>
      <c r="K57" s="125" t="s">
        <v>155</v>
      </c>
      <c r="O57" s="125" t="s">
        <v>54</v>
      </c>
    </row>
    <row r="58" ht="14.25" customHeight="1">
      <c r="B58" s="125" t="s">
        <v>3628</v>
      </c>
      <c r="C58" s="125" t="s">
        <v>350</v>
      </c>
      <c r="D58" s="125" t="s">
        <v>2498</v>
      </c>
      <c r="F58" s="125">
        <v>1.0</v>
      </c>
      <c r="H58" s="125" t="s">
        <v>28</v>
      </c>
      <c r="K58" s="125" t="s">
        <v>155</v>
      </c>
      <c r="O58" s="125" t="s">
        <v>54</v>
      </c>
    </row>
    <row r="59" ht="14.25" customHeight="1">
      <c r="B59" s="125" t="s">
        <v>1826</v>
      </c>
      <c r="C59" s="125" t="s">
        <v>3629</v>
      </c>
      <c r="D59" s="125" t="s">
        <v>3630</v>
      </c>
      <c r="E59" s="125" t="s">
        <v>86</v>
      </c>
      <c r="F59" s="125">
        <v>1.0</v>
      </c>
      <c r="H59" s="125" t="s">
        <v>28</v>
      </c>
      <c r="M59" s="125" t="s">
        <v>526</v>
      </c>
      <c r="O59" s="125" t="s">
        <v>54</v>
      </c>
    </row>
    <row r="60" ht="14.25" customHeight="1">
      <c r="B60" s="125" t="s">
        <v>1212</v>
      </c>
      <c r="C60" s="125" t="s">
        <v>3631</v>
      </c>
      <c r="D60" s="125" t="s">
        <v>1786</v>
      </c>
      <c r="F60" s="125">
        <v>1.0</v>
      </c>
      <c r="H60" s="125" t="s">
        <v>28</v>
      </c>
      <c r="K60" s="125" t="s">
        <v>53</v>
      </c>
      <c r="O60" s="125" t="s">
        <v>54</v>
      </c>
    </row>
    <row r="61" ht="14.25" customHeight="1">
      <c r="B61" s="125" t="s">
        <v>3011</v>
      </c>
      <c r="C61" s="125" t="s">
        <v>3632</v>
      </c>
      <c r="D61" s="125" t="s">
        <v>588</v>
      </c>
      <c r="F61" s="125">
        <v>1.0</v>
      </c>
      <c r="H61" s="125" t="s">
        <v>28</v>
      </c>
      <c r="K61" s="125" t="s">
        <v>155</v>
      </c>
      <c r="O61" s="125" t="s">
        <v>54</v>
      </c>
    </row>
    <row r="62" ht="14.25" customHeight="1">
      <c r="B62" s="125" t="s">
        <v>1343</v>
      </c>
      <c r="C62" s="125" t="s">
        <v>3633</v>
      </c>
      <c r="D62" s="125" t="s">
        <v>1626</v>
      </c>
      <c r="F62" s="125">
        <v>1.0</v>
      </c>
      <c r="H62" s="125" t="s">
        <v>28</v>
      </c>
      <c r="I62" s="125" t="s">
        <v>992</v>
      </c>
      <c r="O62" s="125" t="s">
        <v>54</v>
      </c>
    </row>
    <row r="63" ht="14.25" customHeight="1">
      <c r="B63" s="125" t="s">
        <v>937</v>
      </c>
      <c r="C63" s="125" t="s">
        <v>3360</v>
      </c>
      <c r="D63" s="125" t="s">
        <v>2141</v>
      </c>
      <c r="F63" s="125">
        <v>1.0</v>
      </c>
      <c r="H63" s="125" t="s">
        <v>28</v>
      </c>
      <c r="I63" s="125" t="s">
        <v>992</v>
      </c>
      <c r="O63" s="125" t="s">
        <v>54</v>
      </c>
    </row>
    <row r="64" ht="14.25" customHeight="1">
      <c r="B64" s="125" t="s">
        <v>3118</v>
      </c>
      <c r="C64" s="125" t="s">
        <v>3215</v>
      </c>
      <c r="D64" s="125" t="s">
        <v>1840</v>
      </c>
      <c r="F64" s="125">
        <v>3.25</v>
      </c>
      <c r="H64" s="125" t="s">
        <v>29</v>
      </c>
      <c r="I64" s="125" t="s">
        <v>3501</v>
      </c>
      <c r="O64" s="125" t="s">
        <v>54</v>
      </c>
    </row>
    <row r="65" ht="14.25" customHeight="1">
      <c r="B65" s="125" t="s">
        <v>3090</v>
      </c>
      <c r="C65" s="125" t="s">
        <v>69</v>
      </c>
      <c r="D65" s="125" t="s">
        <v>1840</v>
      </c>
      <c r="F65" s="125">
        <v>1.0</v>
      </c>
      <c r="H65" s="125" t="s">
        <v>29</v>
      </c>
      <c r="I65" s="125" t="s">
        <v>3501</v>
      </c>
      <c r="O65" s="125" t="s">
        <v>54</v>
      </c>
    </row>
    <row r="66" ht="14.25" customHeight="1">
      <c r="B66" s="125" t="s">
        <v>3634</v>
      </c>
      <c r="C66" s="125" t="s">
        <v>3635</v>
      </c>
      <c r="D66" s="125" t="s">
        <v>3636</v>
      </c>
      <c r="F66" s="125">
        <v>1.0</v>
      </c>
      <c r="H66" s="125" t="s">
        <v>29</v>
      </c>
      <c r="I66" s="125" t="s">
        <v>3498</v>
      </c>
      <c r="O66" s="125" t="s">
        <v>54</v>
      </c>
    </row>
    <row r="67" ht="14.25" customHeight="1">
      <c r="B67" s="125" t="s">
        <v>3637</v>
      </c>
      <c r="C67" s="125" t="s">
        <v>3638</v>
      </c>
      <c r="D67" s="125" t="s">
        <v>3639</v>
      </c>
      <c r="F67" s="125">
        <v>1.0</v>
      </c>
      <c r="H67" s="125" t="s">
        <v>29</v>
      </c>
      <c r="I67" s="125" t="s">
        <v>3501</v>
      </c>
      <c r="O67" s="125" t="s">
        <v>54</v>
      </c>
    </row>
    <row r="68" ht="14.25" customHeight="1">
      <c r="B68" s="125" t="s">
        <v>3640</v>
      </c>
      <c r="C68" s="125" t="s">
        <v>389</v>
      </c>
      <c r="D68" s="125" t="s">
        <v>1856</v>
      </c>
      <c r="F68" s="125">
        <v>1.0</v>
      </c>
      <c r="H68" s="125" t="s">
        <v>29</v>
      </c>
      <c r="I68" s="125" t="s">
        <v>3501</v>
      </c>
      <c r="O68" s="125" t="s">
        <v>54</v>
      </c>
    </row>
    <row r="69" ht="14.25" customHeight="1">
      <c r="B69" s="125" t="s">
        <v>3641</v>
      </c>
      <c r="C69" s="125" t="s">
        <v>3642</v>
      </c>
      <c r="D69" s="125" t="s">
        <v>3500</v>
      </c>
      <c r="F69" s="125">
        <v>1.8</v>
      </c>
      <c r="H69" s="125" t="s">
        <v>29</v>
      </c>
      <c r="I69" s="125" t="s">
        <v>3501</v>
      </c>
      <c r="O69" s="125" t="s">
        <v>54</v>
      </c>
    </row>
    <row r="70" ht="14.25" customHeight="1">
      <c r="B70" s="125" t="s">
        <v>601</v>
      </c>
      <c r="C70" s="125" t="s">
        <v>233</v>
      </c>
      <c r="D70" s="125" t="s">
        <v>373</v>
      </c>
      <c r="F70" s="125">
        <v>3.0</v>
      </c>
      <c r="H70" s="125" t="s">
        <v>29</v>
      </c>
      <c r="I70" s="125" t="s">
        <v>3501</v>
      </c>
      <c r="O70" s="125" t="s">
        <v>54</v>
      </c>
    </row>
    <row r="71" ht="14.25" customHeight="1">
      <c r="B71" s="125" t="s">
        <v>601</v>
      </c>
      <c r="C71" s="125" t="s">
        <v>233</v>
      </c>
      <c r="D71" s="125" t="s">
        <v>373</v>
      </c>
      <c r="F71" s="125">
        <v>3.0</v>
      </c>
      <c r="H71" s="125" t="s">
        <v>29</v>
      </c>
      <c r="I71" s="125" t="s">
        <v>3498</v>
      </c>
      <c r="O71" s="125" t="s">
        <v>54</v>
      </c>
    </row>
    <row r="72" ht="14.25" customHeight="1">
      <c r="B72" s="125" t="s">
        <v>2602</v>
      </c>
      <c r="C72" s="125" t="s">
        <v>386</v>
      </c>
      <c r="D72" s="125" t="s">
        <v>3643</v>
      </c>
      <c r="F72" s="125">
        <v>3.0</v>
      </c>
      <c r="H72" s="125" t="s">
        <v>29</v>
      </c>
      <c r="I72" s="125" t="s">
        <v>3501</v>
      </c>
      <c r="O72" s="125" t="s">
        <v>54</v>
      </c>
    </row>
    <row r="73" ht="14.25" customHeight="1">
      <c r="B73" s="125" t="s">
        <v>3644</v>
      </c>
      <c r="C73" s="125" t="s">
        <v>739</v>
      </c>
      <c r="D73" s="125" t="s">
        <v>3645</v>
      </c>
      <c r="F73" s="125">
        <v>1.0</v>
      </c>
      <c r="H73" s="125" t="s">
        <v>29</v>
      </c>
      <c r="I73" s="125" t="s">
        <v>3498</v>
      </c>
      <c r="O73" s="125" t="s">
        <v>54</v>
      </c>
    </row>
    <row r="74" ht="14.25" customHeight="1">
      <c r="B74" s="125" t="s">
        <v>501</v>
      </c>
      <c r="C74" s="125" t="s">
        <v>3646</v>
      </c>
      <c r="D74" s="125" t="s">
        <v>3521</v>
      </c>
      <c r="F74" s="125">
        <v>1.0</v>
      </c>
      <c r="H74" s="125" t="s">
        <v>29</v>
      </c>
      <c r="I74" s="125" t="s">
        <v>3501</v>
      </c>
      <c r="O74" s="125" t="s">
        <v>54</v>
      </c>
    </row>
    <row r="75" ht="14.25" customHeight="1">
      <c r="B75" s="125" t="s">
        <v>1111</v>
      </c>
      <c r="C75" s="125" t="s">
        <v>3647</v>
      </c>
      <c r="D75" s="125" t="s">
        <v>3521</v>
      </c>
      <c r="F75" s="125">
        <v>1.0</v>
      </c>
      <c r="H75" s="125" t="s">
        <v>29</v>
      </c>
      <c r="I75" s="125" t="s">
        <v>3501</v>
      </c>
      <c r="O75" s="125" t="s">
        <v>54</v>
      </c>
    </row>
    <row r="76" ht="14.25" customHeight="1">
      <c r="B76" s="125" t="s">
        <v>3648</v>
      </c>
      <c r="C76" s="125" t="s">
        <v>3649</v>
      </c>
      <c r="D76" s="125" t="s">
        <v>3650</v>
      </c>
      <c r="F76" s="125">
        <v>1.0</v>
      </c>
      <c r="H76" s="125" t="s">
        <v>30</v>
      </c>
      <c r="K76" s="125" t="s">
        <v>53</v>
      </c>
      <c r="O76" s="125" t="s">
        <v>54</v>
      </c>
    </row>
    <row r="77" ht="14.25" customHeight="1">
      <c r="B77" s="125" t="s">
        <v>3651</v>
      </c>
      <c r="C77" s="125" t="s">
        <v>3652</v>
      </c>
      <c r="D77" s="125" t="s">
        <v>1925</v>
      </c>
      <c r="F77" s="125">
        <v>1.0</v>
      </c>
      <c r="H77" s="125" t="s">
        <v>30</v>
      </c>
      <c r="K77" s="125" t="s">
        <v>53</v>
      </c>
      <c r="O77" s="125" t="s">
        <v>54</v>
      </c>
    </row>
    <row r="78" ht="14.25" customHeight="1">
      <c r="B78" s="125" t="s">
        <v>2313</v>
      </c>
      <c r="C78" s="125" t="s">
        <v>2278</v>
      </c>
      <c r="D78" s="125" t="s">
        <v>2261</v>
      </c>
      <c r="F78" s="125">
        <v>1.0</v>
      </c>
      <c r="H78" s="125" t="s">
        <v>30</v>
      </c>
      <c r="K78" s="125" t="s">
        <v>155</v>
      </c>
      <c r="O78" s="125" t="s">
        <v>54</v>
      </c>
    </row>
    <row r="79" ht="14.25" customHeight="1">
      <c r="B79" s="125" t="s">
        <v>1817</v>
      </c>
      <c r="C79" s="125" t="s">
        <v>2311</v>
      </c>
      <c r="D79" s="125" t="s">
        <v>2261</v>
      </c>
      <c r="F79" s="125">
        <v>1.0</v>
      </c>
      <c r="H79" s="125" t="s">
        <v>30</v>
      </c>
      <c r="M79" s="125" t="s">
        <v>526</v>
      </c>
      <c r="O79" s="125" t="s">
        <v>54</v>
      </c>
    </row>
    <row r="80" ht="14.25" customHeight="1">
      <c r="B80" s="125" t="s">
        <v>2398</v>
      </c>
      <c r="C80" s="125" t="s">
        <v>2257</v>
      </c>
      <c r="D80" s="125" t="s">
        <v>2255</v>
      </c>
      <c r="F80" s="125">
        <v>1.0</v>
      </c>
      <c r="H80" s="125" t="s">
        <v>30</v>
      </c>
      <c r="M80" s="125" t="s">
        <v>526</v>
      </c>
      <c r="O80" s="125" t="s">
        <v>54</v>
      </c>
    </row>
    <row r="81" ht="14.25" customHeight="1">
      <c r="B81" s="125" t="s">
        <v>3653</v>
      </c>
      <c r="C81" s="125" t="s">
        <v>3654</v>
      </c>
      <c r="D81" s="125" t="s">
        <v>3655</v>
      </c>
      <c r="F81" s="125">
        <v>1.0</v>
      </c>
      <c r="H81" s="125" t="s">
        <v>30</v>
      </c>
      <c r="K81" s="125" t="s">
        <v>53</v>
      </c>
      <c r="O81" s="125" t="s">
        <v>54</v>
      </c>
    </row>
    <row r="82" ht="14.25" customHeight="1">
      <c r="B82" s="125" t="s">
        <v>728</v>
      </c>
      <c r="C82" s="125" t="s">
        <v>2316</v>
      </c>
      <c r="D82" s="125" t="s">
        <v>2317</v>
      </c>
      <c r="F82" s="125">
        <v>1.0</v>
      </c>
      <c r="H82" s="125" t="s">
        <v>30</v>
      </c>
      <c r="K82" s="125" t="s">
        <v>155</v>
      </c>
      <c r="O82" s="125" t="s">
        <v>54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AC$82"/>
  <mergeCells count="6">
    <mergeCell ref="A7:A8"/>
    <mergeCell ref="B7:E7"/>
    <mergeCell ref="F7:F8"/>
    <mergeCell ref="H7:H8"/>
    <mergeCell ref="I7:M7"/>
    <mergeCell ref="N7:N8"/>
  </mergeCells>
  <printOptions/>
  <pageMargins bottom="0.5" footer="0.0" header="0.0" left="0.75" right="0.75" top="0.5"/>
  <pageSetup scale="40" orientation="landscape"/>
  <drawing r:id="rId1"/>
</worksheet>
</file>