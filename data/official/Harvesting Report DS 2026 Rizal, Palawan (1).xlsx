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ulative" sheetId="1" r:id="rId5"/>
    <sheet state="visible" name="Jan 1-15" sheetId="2" r:id="rId6"/>
    <sheet state="visible" name="Jan 16-31" sheetId="3" r:id="rId7"/>
    <sheet state="visible" name="Feb 1-15" sheetId="4" r:id="rId8"/>
    <sheet state="visible" name="Feb 16-29" sheetId="5" r:id="rId9"/>
    <sheet state="visible" name="Mar 1-15" sheetId="6" r:id="rId10"/>
    <sheet state="visible" name="Mar 16-31" sheetId="7" r:id="rId11"/>
    <sheet state="visible" name="Apr 1-15" sheetId="8" r:id="rId12"/>
    <sheet state="visible" name="Apr 16-30" sheetId="9" r:id="rId13"/>
    <sheet state="visible" name="May 1-15" sheetId="10" r:id="rId14"/>
    <sheet state="visible" name="May 16-31" sheetId="11" r:id="rId15"/>
    <sheet state="visible" name="Jun 1-15" sheetId="12" r:id="rId16"/>
    <sheet state="visible" name="Jun 16-30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6">
      <text>
        <t xml:space="preserve">======
ID#AAABGnvuf9E
Joel Arque    (2024-02-16 03:42:30)
no harvesting activity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8">
      <text>
        <t xml:space="preserve">======
ID#AAABIg7sI1A
Joel Arque    (2024-03-04 07:35:40)
no harvesting activity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7">
      <text>
        <t xml:space="preserve">======
ID#AAABJbL7tUk
Joel Arque    (2024-03-18 12:20:45)
no harvesting activity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8">
      <text>
        <t xml:space="preserve">======
ID#AAABJ_uBWOQ
Joel Arque    (2024-04-05 07:26:21)
no harvesting activity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8">
      <text>
        <t xml:space="preserve">======
ID#AAABMYpT3BU
Joel Arque    (2024-04-23 05:32:34)
NO HARVESTING ACTIVITY</t>
      </text>
    </comment>
  </commentList>
</comments>
</file>

<file path=xl/sharedStrings.xml><?xml version="1.0" encoding="utf-8"?>
<sst xmlns="http://schemas.openxmlformats.org/spreadsheetml/2006/main" count="1466" uniqueCount="50">
  <si>
    <t>Department of Agriculture</t>
  </si>
  <si>
    <t>REGIONAL FIELD OFFICE MIMAROPA</t>
  </si>
  <si>
    <t>Rice Program</t>
  </si>
  <si>
    <t>DRY SEASON 2026 Harvesting Report</t>
  </si>
  <si>
    <t>MUNICIPALITY / BARANGAY</t>
  </si>
  <si>
    <t>NO. OF FARMER HARVESTED</t>
  </si>
  <si>
    <t>IRRIGATED</t>
  </si>
  <si>
    <t>RAINFED</t>
  </si>
  <si>
    <t>REMARKS</t>
  </si>
  <si>
    <t>HYBRID SEEDS</t>
  </si>
  <si>
    <t>REGISTERED SEEDS</t>
  </si>
  <si>
    <t>CERTIFIED  SEEDS</t>
  </si>
  <si>
    <t>GOOD QUALITY SEEDS</t>
  </si>
  <si>
    <t>FARMERS HOME SAVED SEEDS / GS</t>
  </si>
  <si>
    <t>TOTAL</t>
  </si>
  <si>
    <t>LOWLAND</t>
  </si>
  <si>
    <t>UPLAND</t>
  </si>
  <si>
    <t>CERTIFIED SEEDS</t>
  </si>
  <si>
    <t>FARMERS HOME SAVED SEEDS</t>
  </si>
  <si>
    <t>Area 
Harvested
(ha)</t>
  </si>
  <si>
    <t>Ave.
Yield
(mt/ha)</t>
  </si>
  <si>
    <t>Production
(mt)</t>
  </si>
  <si>
    <t>Rizal</t>
  </si>
  <si>
    <t>Bunog</t>
  </si>
  <si>
    <t>Campong Ulay</t>
  </si>
  <si>
    <t>Candawaga</t>
  </si>
  <si>
    <t>Canipaan</t>
  </si>
  <si>
    <t>Culasian</t>
  </si>
  <si>
    <t>Iraan</t>
  </si>
  <si>
    <t>Latud</t>
  </si>
  <si>
    <t>Panalingaan</t>
  </si>
  <si>
    <t>Punta Baja</t>
  </si>
  <si>
    <t>Ransang</t>
  </si>
  <si>
    <t>Taburi</t>
  </si>
  <si>
    <t xml:space="preserve">  - to be submitted every 15th and 30th day of the month</t>
  </si>
  <si>
    <t xml:space="preserve">  -June 30 submission for terminal harvesting under DS cropping</t>
  </si>
  <si>
    <t xml:space="preserve"> </t>
  </si>
  <si>
    <t>as of JANUARY 15, 2026</t>
  </si>
  <si>
    <t>DS 2020-2021</t>
  </si>
  <si>
    <t xml:space="preserve">  - December 30 submission for terminal harvesting under WS cropping</t>
  </si>
  <si>
    <t>-</t>
  </si>
  <si>
    <t>as of January 31, 2026</t>
  </si>
  <si>
    <t>DS 2025-2026</t>
  </si>
  <si>
    <t>as of FEBRUARY 15, 2026</t>
  </si>
  <si>
    <t>as of February 29, 2026</t>
  </si>
  <si>
    <t>as of March 15, 2026</t>
  </si>
  <si>
    <t>as of MARCH 31, 2026</t>
  </si>
  <si>
    <t>as of April 15, 2026</t>
  </si>
  <si>
    <t>as of APRIL 30, 2026</t>
  </si>
  <si>
    <t>as 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</si>
</sst>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_);_(@_)"/>
    <numFmt numFmtId="165" formatCode="_(* #,##0_);_(* \(#,##0\);_(* &quot;-&quot;??_);_(@_)"/>
    <numFmt numFmtId="166" formatCode="_(* #,##0.00_);_(* \(#,##0.00\);_(* &quot;-&quot;??_);_(@_)"/>
    <numFmt numFmtId="167" formatCode="_(* #,##0.00_);_(* \(#,##0.00\);_(* &quot;-&quot;??.00_);_(@_)"/>
    <numFmt numFmtId="168" formatCode="_(* #,##0.0_);_(* \(#,##0.0\);_(* &quot;-&quot;??.0_);_(@_)"/>
    <numFmt numFmtId="169" formatCode="_(* #,##0.0000_);_(* \(#,##0.0000\);_(* &quot;-&quot;??_);_(@_)"/>
    <numFmt numFmtId="170" formatCode="_(* #,##0.0_);_(* \(#,##0.0\);_(* &quot;-&quot;??_);_(@_)"/>
  </numFmts>
  <fonts count="17">
    <font>
      <sz val="11.0"/>
      <color theme="1"/>
      <name val="Calibri"/>
      <scheme val="minor"/>
    </font>
    <font>
      <sz val="14.0"/>
      <color theme="1"/>
      <name val="Calibri"/>
    </font>
    <font>
      <b/>
      <sz val="14.0"/>
      <color theme="1"/>
      <name val="Calibri"/>
    </font>
    <font>
      <b/>
      <i/>
      <sz val="14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Arial"/>
    </font>
    <font/>
    <font>
      <b/>
      <sz val="14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b/>
      <sz val="11.0"/>
      <color theme="1"/>
      <name val="Calibri"/>
    </font>
    <font>
      <sz val="12.0"/>
      <color theme="1"/>
      <name val="Arial"/>
    </font>
    <font>
      <i/>
      <sz val="10.0"/>
      <color theme="1"/>
      <name val="Arial"/>
    </font>
    <font>
      <i/>
      <sz val="12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  <fill>
      <patternFill patternType="solid">
        <fgColor rgb="FFFFD965"/>
        <bgColor rgb="FFFFD965"/>
      </patternFill>
    </fill>
    <fill>
      <patternFill patternType="solid">
        <fgColor rgb="FFFFFF99"/>
        <bgColor rgb="FFFFFF99"/>
      </patternFill>
    </fill>
    <fill>
      <patternFill patternType="solid">
        <fgColor rgb="FF92D050"/>
        <bgColor rgb="FF92D05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55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/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/>
      <right style="thin">
        <color rgb="FF000000"/>
      </right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164" xfId="0" applyFont="1" applyNumberFormat="1"/>
    <xf quotePrefix="1" borderId="0" fillId="0" fontId="3" numFmtId="15" xfId="0" applyFont="1" applyNumberFormat="1"/>
    <xf borderId="0" fillId="0" fontId="3" numFmtId="15" xfId="0" applyFont="1" applyNumberFormat="1"/>
    <xf borderId="0" fillId="0" fontId="4" numFmtId="164" xfId="0" applyFont="1" applyNumberFormat="1"/>
    <xf borderId="1" fillId="2" fontId="2" numFmtId="164" xfId="0" applyBorder="1" applyFill="1" applyFont="1" applyNumberFormat="1"/>
    <xf borderId="1" fillId="2" fontId="5" numFmtId="0" xfId="0" applyBorder="1" applyFont="1"/>
    <xf borderId="2" fillId="0" fontId="2" numFmtId="164" xfId="0" applyAlignment="1" applyBorder="1" applyFont="1" applyNumberFormat="1">
      <alignment horizontal="center" shrinkToFit="0" vertical="center" wrapText="1"/>
    </xf>
    <xf borderId="3" fillId="0" fontId="2" numFmtId="164" xfId="0" applyAlignment="1" applyBorder="1" applyFont="1" applyNumberFormat="1">
      <alignment horizontal="center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2" fillId="4" fontId="6" numFmtId="0" xfId="0" applyAlignment="1" applyBorder="1" applyFill="1" applyFont="1">
      <alignment horizontal="center" shrinkToFit="0" vertical="center" wrapText="1"/>
    </xf>
    <xf borderId="6" fillId="0" fontId="7" numFmtId="0" xfId="0" applyBorder="1" applyFont="1"/>
    <xf borderId="2" fillId="5" fontId="8" numFmtId="164" xfId="0" applyAlignment="1" applyBorder="1" applyFill="1" applyFont="1" applyNumberFormat="1">
      <alignment horizontal="center" shrinkToFit="0" vertical="center" wrapText="1"/>
    </xf>
    <xf borderId="6" fillId="0" fontId="2" numFmtId="0" xfId="0" applyAlignment="1" applyBorder="1" applyFont="1">
      <alignment horizontal="center" vertical="center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9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5" fillId="0" fontId="9" numFmtId="0" xfId="0" applyAlignment="1" applyBorder="1" applyFont="1">
      <alignment horizontal="center" shrinkToFit="0" vertical="center" wrapText="1"/>
    </xf>
    <xf borderId="14" fillId="6" fontId="6" numFmtId="0" xfId="0" applyAlignment="1" applyBorder="1" applyFill="1" applyFont="1">
      <alignment horizontal="center" shrinkToFit="0" vertical="center" wrapText="1"/>
    </xf>
    <xf borderId="18" fillId="7" fontId="6" numFmtId="0" xfId="0" applyAlignment="1" applyBorder="1" applyFill="1" applyFont="1">
      <alignment horizontal="center" shrinkToFit="0" wrapText="1"/>
    </xf>
    <xf borderId="19" fillId="0" fontId="7" numFmtId="0" xfId="0" applyBorder="1" applyFont="1"/>
    <xf borderId="20" fillId="0" fontId="7" numFmtId="0" xfId="0" applyBorder="1" applyFont="1"/>
    <xf borderId="18" fillId="8" fontId="6" numFmtId="0" xfId="0" applyAlignment="1" applyBorder="1" applyFill="1" applyFont="1">
      <alignment horizontal="center" shrinkToFit="0" wrapText="1"/>
    </xf>
    <xf borderId="21" fillId="0" fontId="7" numFmtId="0" xfId="0" applyBorder="1" applyFont="1"/>
    <xf borderId="22" fillId="4" fontId="6" numFmtId="0" xfId="0" applyAlignment="1" applyBorder="1" applyFont="1">
      <alignment horizontal="center" shrinkToFit="0" vertical="center" wrapText="1"/>
    </xf>
    <xf borderId="22" fillId="5" fontId="6" numFmtId="0" xfId="0" applyAlignment="1" applyBorder="1" applyFont="1">
      <alignment horizontal="center" shrinkToFit="0" vertical="center" wrapText="1"/>
    </xf>
    <xf borderId="23" fillId="0" fontId="7" numFmtId="0" xfId="0" applyBorder="1" applyFont="1"/>
    <xf borderId="18" fillId="0" fontId="10" numFmtId="0" xfId="0" applyAlignment="1" applyBorder="1" applyFont="1">
      <alignment horizontal="center" shrinkToFit="0" vertical="center" wrapText="1"/>
    </xf>
    <xf borderId="24" fillId="0" fontId="7" numFmtId="0" xfId="0" applyBorder="1" applyFont="1"/>
    <xf borderId="19" fillId="0" fontId="10" numFmtId="0" xfId="0" applyAlignment="1" applyBorder="1" applyFont="1">
      <alignment horizontal="center" shrinkToFit="0" vertical="center" wrapText="1"/>
    </xf>
    <xf borderId="25" fillId="0" fontId="7" numFmtId="0" xfId="0" applyBorder="1" applyFont="1"/>
    <xf borderId="26" fillId="0" fontId="7" numFmtId="0" xfId="0" applyBorder="1" applyFont="1"/>
    <xf borderId="27" fillId="0" fontId="11" numFmtId="0" xfId="0" applyAlignment="1" applyBorder="1" applyFont="1">
      <alignment horizontal="center" shrinkToFit="0" vertical="center" wrapText="1"/>
    </xf>
    <xf borderId="28" fillId="0" fontId="11" numFmtId="0" xfId="0" applyAlignment="1" applyBorder="1" applyFont="1">
      <alignment horizontal="center" shrinkToFit="0" vertical="center" wrapText="1"/>
    </xf>
    <xf borderId="29" fillId="0" fontId="11" numFmtId="0" xfId="0" applyAlignment="1" applyBorder="1" applyFont="1">
      <alignment horizontal="center" shrinkToFit="0" vertical="center" wrapText="1"/>
    </xf>
    <xf borderId="30" fillId="0" fontId="11" numFmtId="0" xfId="0" applyAlignment="1" applyBorder="1" applyFont="1">
      <alignment horizontal="center" shrinkToFit="0" vertical="center" wrapText="1"/>
    </xf>
    <xf borderId="31" fillId="0" fontId="11" numFmtId="0" xfId="0" applyAlignment="1" applyBorder="1" applyFont="1">
      <alignment horizontal="center" shrinkToFit="0" vertical="center" wrapText="1"/>
    </xf>
    <xf borderId="27" fillId="6" fontId="10" numFmtId="0" xfId="0" applyAlignment="1" applyBorder="1" applyFont="1">
      <alignment horizontal="center" shrinkToFit="0" vertical="center" wrapText="1"/>
    </xf>
    <xf borderId="28" fillId="6" fontId="10" numFmtId="0" xfId="0" applyAlignment="1" applyBorder="1" applyFont="1">
      <alignment horizontal="center" shrinkToFit="0" vertical="center" wrapText="1"/>
    </xf>
    <xf borderId="30" fillId="6" fontId="10" numFmtId="0" xfId="0" applyAlignment="1" applyBorder="1" applyFont="1">
      <alignment horizontal="center" shrinkToFit="0" vertical="center" wrapText="1"/>
    </xf>
    <xf borderId="32" fillId="5" fontId="10" numFmtId="0" xfId="0" applyAlignment="1" applyBorder="1" applyFont="1">
      <alignment horizontal="center" shrinkToFit="0" vertical="center" wrapText="1"/>
    </xf>
    <xf borderId="28" fillId="5" fontId="10" numFmtId="0" xfId="0" applyAlignment="1" applyBorder="1" applyFont="1">
      <alignment horizontal="center" shrinkToFit="0" vertical="center" wrapText="1"/>
    </xf>
    <xf borderId="30" fillId="5" fontId="10" numFmtId="0" xfId="0" applyAlignment="1" applyBorder="1" applyFont="1">
      <alignment horizontal="center" shrinkToFit="0" vertical="center" wrapText="1"/>
    </xf>
    <xf borderId="33" fillId="0" fontId="7" numFmtId="0" xfId="0" applyBorder="1" applyFont="1"/>
    <xf borderId="34" fillId="2" fontId="6" numFmtId="165" xfId="0" applyAlignment="1" applyBorder="1" applyFont="1" applyNumberFormat="1">
      <alignment vertical="center"/>
    </xf>
    <xf borderId="35" fillId="2" fontId="12" numFmtId="165" xfId="0" applyBorder="1" applyFont="1" applyNumberFormat="1"/>
    <xf borderId="36" fillId="2" fontId="12" numFmtId="166" xfId="0" applyBorder="1" applyFont="1" applyNumberFormat="1"/>
    <xf borderId="36" fillId="2" fontId="12" numFmtId="165" xfId="0" applyBorder="1" applyFont="1" applyNumberFormat="1"/>
    <xf borderId="37" fillId="2" fontId="12" numFmtId="165" xfId="0" applyBorder="1" applyFont="1" applyNumberFormat="1"/>
    <xf borderId="38" fillId="2" fontId="12" numFmtId="165" xfId="0" applyBorder="1" applyFont="1" applyNumberFormat="1"/>
    <xf borderId="39" fillId="2" fontId="12" numFmtId="165" xfId="0" applyBorder="1" applyFont="1" applyNumberFormat="1"/>
    <xf borderId="39" fillId="2" fontId="12" numFmtId="167" xfId="0" applyBorder="1" applyFont="1" applyNumberFormat="1"/>
    <xf borderId="36" fillId="2" fontId="12" numFmtId="167" xfId="0" applyBorder="1" applyFont="1" applyNumberFormat="1"/>
    <xf borderId="40" fillId="2" fontId="12" numFmtId="0" xfId="0" applyBorder="1" applyFont="1"/>
    <xf borderId="41" fillId="0" fontId="13" numFmtId="165" xfId="0" applyAlignment="1" applyBorder="1" applyFont="1" applyNumberFormat="1">
      <alignment horizontal="left" vertical="center"/>
    </xf>
    <xf borderId="42" fillId="0" fontId="5" numFmtId="165" xfId="0" applyBorder="1" applyFont="1" applyNumberFormat="1"/>
    <xf borderId="43" fillId="0" fontId="5" numFmtId="166" xfId="0" applyBorder="1" applyFont="1" applyNumberFormat="1"/>
    <xf borderId="43" fillId="0" fontId="5" numFmtId="165" xfId="0" applyBorder="1" applyFont="1" applyNumberFormat="1"/>
    <xf borderId="42" fillId="0" fontId="5" numFmtId="167" xfId="0" applyBorder="1" applyFont="1" applyNumberFormat="1"/>
    <xf borderId="43" fillId="0" fontId="5" numFmtId="168" xfId="0" applyBorder="1" applyFont="1" applyNumberFormat="1"/>
    <xf borderId="44" fillId="0" fontId="5" numFmtId="165" xfId="0" applyBorder="1" applyFont="1" applyNumberFormat="1"/>
    <xf borderId="45" fillId="0" fontId="5" numFmtId="165" xfId="0" applyBorder="1" applyFont="1" applyNumberFormat="1"/>
    <xf borderId="46" fillId="0" fontId="5" numFmtId="165" xfId="0" applyBorder="1" applyFont="1" applyNumberFormat="1"/>
    <xf borderId="46" fillId="0" fontId="5" numFmtId="167" xfId="0" applyBorder="1" applyFont="1" applyNumberFormat="1"/>
    <xf borderId="43" fillId="0" fontId="5" numFmtId="167" xfId="0" applyBorder="1" applyFont="1" applyNumberFormat="1"/>
    <xf borderId="47" fillId="0" fontId="5" numFmtId="0" xfId="0" applyBorder="1" applyFont="1"/>
    <xf borderId="42" fillId="0" fontId="5" numFmtId="168" xfId="0" applyBorder="1" applyFont="1" applyNumberFormat="1"/>
    <xf borderId="48" fillId="0" fontId="13" numFmtId="165" xfId="0" applyAlignment="1" applyBorder="1" applyFont="1" applyNumberFormat="1">
      <alignment horizontal="left" vertical="center"/>
    </xf>
    <xf borderId="49" fillId="0" fontId="5" numFmtId="165" xfId="0" applyBorder="1" applyFont="1" applyNumberFormat="1"/>
    <xf borderId="50" fillId="0" fontId="5" numFmtId="166" xfId="0" applyBorder="1" applyFont="1" applyNumberFormat="1"/>
    <xf borderId="50" fillId="0" fontId="5" numFmtId="165" xfId="0" applyBorder="1" applyFont="1" applyNumberFormat="1"/>
    <xf borderId="51" fillId="0" fontId="5" numFmtId="165" xfId="0" applyBorder="1" applyFont="1" applyNumberFormat="1"/>
    <xf borderId="52" fillId="0" fontId="5" numFmtId="165" xfId="0" applyBorder="1" applyFont="1" applyNumberFormat="1"/>
    <xf borderId="53" fillId="0" fontId="5" numFmtId="165" xfId="0" applyBorder="1" applyFont="1" applyNumberFormat="1"/>
    <xf borderId="54" fillId="0" fontId="5" numFmtId="0" xfId="0" applyBorder="1" applyFont="1"/>
    <xf borderId="0" fillId="0" fontId="14" numFmtId="169" xfId="0" applyAlignment="1" applyFont="1" applyNumberFormat="1">
      <alignment horizontal="left" vertical="center"/>
    </xf>
    <xf borderId="0" fillId="0" fontId="15" numFmtId="164" xfId="0" applyFont="1" applyNumberFormat="1"/>
    <xf borderId="0" fillId="0" fontId="15" numFmtId="170" xfId="0" applyAlignment="1" applyFont="1" applyNumberFormat="1">
      <alignment horizontal="left" vertical="center"/>
    </xf>
    <xf borderId="0" fillId="0" fontId="5" numFmtId="0" xfId="0" applyFont="1"/>
    <xf borderId="1" fillId="2" fontId="2" numFmtId="164" xfId="0" applyAlignment="1" applyBorder="1" applyFont="1" applyNumberFormat="1">
      <alignment readingOrder="0"/>
    </xf>
    <xf borderId="2" fillId="5" fontId="8" numFmtId="0" xfId="0" applyAlignment="1" applyBorder="1" applyFont="1">
      <alignment horizontal="center" shrinkToFit="0" vertical="center" wrapText="1"/>
    </xf>
    <xf borderId="35" fillId="2" fontId="12" numFmtId="167" xfId="0" applyBorder="1" applyFont="1" applyNumberFormat="1"/>
    <xf borderId="41" fillId="0" fontId="13" numFmtId="165" xfId="0" applyAlignment="1" applyBorder="1" applyFont="1" applyNumberFormat="1">
      <alignment horizontal="left" readingOrder="0" vertical="center"/>
    </xf>
    <xf borderId="43" fillId="0" fontId="5" numFmtId="165" xfId="0" applyAlignment="1" applyBorder="1" applyFont="1" applyNumberFormat="1">
      <alignment readingOrder="0"/>
    </xf>
    <xf borderId="43" fillId="0" fontId="5" numFmtId="167" xfId="0" applyAlignment="1" applyBorder="1" applyFont="1" applyNumberFormat="1">
      <alignment readingOrder="0"/>
    </xf>
    <xf borderId="42" fillId="0" fontId="5" numFmtId="165" xfId="0" applyAlignment="1" applyBorder="1" applyFont="1" applyNumberFormat="1">
      <alignment readingOrder="0"/>
    </xf>
    <xf borderId="42" fillId="0" fontId="5" numFmtId="167" xfId="0" applyAlignment="1" applyBorder="1" applyFont="1" applyNumberFormat="1">
      <alignment readingOrder="0"/>
    </xf>
    <xf borderId="43" fillId="0" fontId="5" numFmtId="168" xfId="0" applyAlignment="1" applyBorder="1" applyFont="1" applyNumberFormat="1">
      <alignment readingOrder="0"/>
    </xf>
    <xf borderId="2" fillId="5" fontId="8" numFmtId="0" xfId="0" applyAlignment="1" applyBorder="1" applyFont="1">
      <alignment horizontal="center" readingOrder="0" shrinkToFit="0" vertical="center" wrapText="1"/>
    </xf>
    <xf borderId="42" fillId="0" fontId="5" numFmtId="168" xfId="0" applyAlignment="1" applyBorder="1" applyFont="1" applyNumberFormat="1">
      <alignment readingOrder="0"/>
    </xf>
    <xf borderId="49" fillId="0" fontId="5" numFmtId="165" xfId="0" applyAlignment="1" applyBorder="1" applyFont="1" applyNumberFormat="1">
      <alignment readingOrder="0"/>
    </xf>
    <xf borderId="50" fillId="0" fontId="5" numFmtId="165" xfId="0" applyAlignment="1" applyBorder="1" applyFont="1" applyNumberFormat="1">
      <alignment readingOrder="0"/>
    </xf>
    <xf borderId="0" fillId="0" fontId="16" numFmtId="0" xfId="0" applyFont="1"/>
    <xf borderId="43" fillId="0" fontId="5" numFmtId="166" xfId="0" applyAlignment="1" applyBorder="1" applyFont="1" applyNumberFormat="1">
      <alignment readingOrder="0"/>
    </xf>
    <xf borderId="44" fillId="0" fontId="5" numFmtId="165" xfId="0" applyAlignment="1" applyBorder="1" applyFont="1" applyNumberFormat="1">
      <alignment readingOrder="0"/>
    </xf>
    <xf borderId="45" fillId="0" fontId="5" numFmtId="165" xfId="0" applyAlignment="1" applyBorder="1" applyFont="1" applyNumberFormat="1">
      <alignment readingOrder="0"/>
    </xf>
    <xf borderId="46" fillId="0" fontId="5" numFmtId="165" xfId="0" applyAlignment="1" applyBorder="1" applyFont="1" applyNumberFormat="1">
      <alignment readingOrder="0"/>
    </xf>
    <xf borderId="50" fillId="0" fontId="5" numFmtId="166" xfId="0" applyAlignment="1" applyBorder="1" applyFont="1" applyNumberFormat="1">
      <alignment readingOrder="0"/>
    </xf>
    <xf borderId="51" fillId="0" fontId="5" numFmtId="165" xfId="0" applyAlignment="1" applyBorder="1" applyFont="1" applyNumberFormat="1">
      <alignment readingOrder="0"/>
    </xf>
    <xf borderId="52" fillId="0" fontId="5" numFmtId="165" xfId="0" applyAlignment="1" applyBorder="1" applyFont="1" applyNumberFormat="1">
      <alignment readingOrder="0"/>
    </xf>
    <xf borderId="53" fillId="0" fontId="5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14.25" customHeight="1">
      <c r="A6" s="6"/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15" t="str">
        <f>A5</f>
        <v>DRY SEASON 2026 Harvesting Report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1219</v>
      </c>
      <c r="C12" s="56">
        <f t="shared" si="1"/>
        <v>669.8</v>
      </c>
      <c r="D12" s="57">
        <f t="shared" ref="D12:D23" si="22">E12/C12</f>
        <v>5.301104807</v>
      </c>
      <c r="E12" s="58">
        <f t="shared" ref="E12:F12" si="2">SUM(E13:E24)</f>
        <v>3550.68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56">
        <f t="shared" si="3"/>
        <v>658.5</v>
      </c>
      <c r="J12" s="57">
        <f t="shared" ref="J12:J23" si="24">K12/I12</f>
        <v>3.941594533</v>
      </c>
      <c r="K12" s="58">
        <f t="shared" ref="K12:L12" si="4">SUM(K13:K24)</f>
        <v>2595.54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56">
        <f t="shared" si="5"/>
        <v>116.5</v>
      </c>
      <c r="P12" s="57">
        <f t="shared" ref="P12:P23" si="26">Q12/O12</f>
        <v>3.123776824</v>
      </c>
      <c r="Q12" s="58">
        <f t="shared" ref="Q12:R12" si="6">SUM(Q13:Q24)</f>
        <v>363.92</v>
      </c>
      <c r="R12" s="56">
        <f t="shared" si="6"/>
        <v>234.1</v>
      </c>
      <c r="S12" s="57">
        <f t="shared" ref="S12:S23" si="27">T12/R12</f>
        <v>3.988509184</v>
      </c>
      <c r="T12" s="58">
        <f t="shared" ref="T12:U12" si="7">SUM(T13:T24)</f>
        <v>933.71</v>
      </c>
      <c r="U12" s="56">
        <f t="shared" si="7"/>
        <v>277</v>
      </c>
      <c r="V12" s="57">
        <f t="shared" ref="V12:V23" si="28">W12/U12</f>
        <v>4.80833935</v>
      </c>
      <c r="W12" s="58">
        <f t="shared" ref="W12:X12" si="8">SUM(W13:W24)</f>
        <v>1331.91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56">
        <f t="shared" si="9"/>
        <v>471.5</v>
      </c>
      <c r="AB12" s="57">
        <f t="shared" ref="AB12:AB23" si="30">AC12/AA12</f>
        <v>3.828038176</v>
      </c>
      <c r="AC12" s="58">
        <f t="shared" ref="AC12:AD12" si="10">SUM(AC13:AC24)</f>
        <v>1804.92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56">
        <f t="shared" si="11"/>
        <v>117.8</v>
      </c>
      <c r="AH12" s="57">
        <f t="shared" ref="AH12:AH23" si="32">AI12/AG12</f>
        <v>3.091680815</v>
      </c>
      <c r="AI12" s="58">
        <f t="shared" ref="AI12:AJ12" si="12">SUM(AI13:AI24)</f>
        <v>364.2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56">
        <f t="shared" si="15"/>
        <v>866.3</v>
      </c>
      <c r="AT12" s="57">
        <f t="shared" ref="AT12:AT23" si="36">AU12/AS12</f>
        <v>4.041359806</v>
      </c>
      <c r="AU12" s="58">
        <f t="shared" ref="AU12:AV12" si="16">SUM(AU13:AU24)</f>
        <v>3501.03</v>
      </c>
      <c r="AV12" s="56">
        <f t="shared" si="16"/>
        <v>946.8</v>
      </c>
      <c r="AW12" s="57">
        <f t="shared" ref="AW12:AW23" si="37">AX12/AV12</f>
        <v>5.156939163</v>
      </c>
      <c r="AX12" s="59">
        <f t="shared" ref="AX12:AY12" si="17">SUM(AX13:AX24)</f>
        <v>4882.59</v>
      </c>
      <c r="AY12" s="56">
        <f t="shared" si="17"/>
        <v>0</v>
      </c>
      <c r="AZ12" s="57" t="str">
        <f t="shared" ref="AZ12:AZ23" si="39">BA12/AY12</f>
        <v>#DIV/0!</v>
      </c>
      <c r="BA12" s="60">
        <f t="shared" ref="BA12:BB12" si="18">SUM(BA13:BA24)</f>
        <v>0</v>
      </c>
      <c r="BB12" s="61">
        <f t="shared" si="18"/>
        <v>1130</v>
      </c>
      <c r="BC12" s="57">
        <f t="shared" ref="BC12:BC23" si="40">BD12/BB12</f>
        <v>3.894212389</v>
      </c>
      <c r="BD12" s="59">
        <f t="shared" ref="BD12:BE12" si="19">SUM(BD13:BD24)</f>
        <v>4400.46</v>
      </c>
      <c r="BE12" s="56">
        <f t="shared" si="19"/>
        <v>0</v>
      </c>
      <c r="BF12" s="57" t="str">
        <f t="shared" ref="BF12:BF23" si="42">BG12/BE12</f>
        <v>#DIV/0!</v>
      </c>
      <c r="BG12" s="60">
        <f t="shared" ref="BG12:BH12" si="20">SUM(BG13:BG24)</f>
        <v>0</v>
      </c>
      <c r="BH12" s="56">
        <f t="shared" si="20"/>
        <v>234.3</v>
      </c>
      <c r="BI12" s="57">
        <f t="shared" ref="BI12:BI23" si="44">BJ12/BH12</f>
        <v>3.107639778</v>
      </c>
      <c r="BJ12" s="60">
        <f t="shared" ref="BJ12:BK12" si="21">SUM(BJ13:BJ24)</f>
        <v>728.12</v>
      </c>
      <c r="BK12" s="62">
        <f t="shared" si="21"/>
        <v>2311.1</v>
      </c>
      <c r="BL12" s="57">
        <f t="shared" ref="BL12:BL23" si="45">BM12/BK12</f>
        <v>4.331777076</v>
      </c>
      <c r="BM12" s="63">
        <f>SUM(BM13:BM24)</f>
        <v>10011.17</v>
      </c>
      <c r="BN12" s="64"/>
    </row>
    <row r="13" ht="14.25" customHeight="1">
      <c r="A13" s="65" t="s">
        <v>23</v>
      </c>
      <c r="B13" s="65">
        <f>SUM('Jan 1-15'!B13,'Jan 16-31'!B13,'Feb 1-15'!B13,'Feb 16-29'!B13,'Mar 1-15'!B13,'Mar 16-31'!B13,'Apr 1-15'!B13,'Apr 16-30'!B13,'May 1-15'!B13,'May 16-31'!B13,'Jun 1-15'!B13,'Jun 16-30'!B13)</f>
        <v>116</v>
      </c>
      <c r="C13" s="66">
        <f>SUM('Jan 1-15'!C13,'Jan 16-31'!C13,'Feb 1-15'!C13,'Feb 16-29'!C13,'Mar 1-15'!C13,'Mar 16-31'!C13,'Apr 1-15'!C13,'Apr 16-30'!C13,'May 1-15'!C13,'May 16-31'!C13,'Jun 1-15'!C13,'Jun 16-30'!C13)</f>
        <v>6.9</v>
      </c>
      <c r="D13" s="67">
        <f t="shared" si="22"/>
        <v>5</v>
      </c>
      <c r="E13" s="68">
        <f>SUM('Jan 1-15'!E13,'Jan 16-31'!E13,'Feb 1-15'!E13,'Feb 16-29'!E13,'Mar 1-15'!E13,'Mar 16-31'!E13,'Apr 1-15'!E13,'Apr 16-30'!E13,'May 1-15'!E13,'May 16-31'!E13,'Jun 1-15'!E13,'Jun 16-30'!E13)</f>
        <v>34.5</v>
      </c>
      <c r="F13" s="66">
        <f>SUM('Jan 1-15'!F13,'Jan 16-31'!F13,'Feb 1-15'!F13,'Feb 16-29'!F13,'Mar 1-15'!F13,'Mar 16-31'!F13,'Apr 1-15'!F13,'Apr 16-30'!F13,'May 1-15'!F13,'May 16-31'!F13,'Jun 1-15'!F13,'Jun 16-30'!F13)</f>
        <v>0</v>
      </c>
      <c r="G13" s="67" t="str">
        <f t="shared" si="23"/>
        <v>#DIV/0!</v>
      </c>
      <c r="H13" s="68">
        <f>SUM('Jan 1-15'!H13,'Jan 16-31'!H13,'Feb 1-15'!H13,'Feb 16-29'!H13,'Mar 1-15'!H13,'Mar 16-31'!H13,'Apr 1-15'!H13,'Apr 16-30'!H13,'May 1-15'!H13,'May 16-31'!H13,'Jun 1-15'!H13,'Jun 16-30'!H13)</f>
        <v>0</v>
      </c>
      <c r="I13" s="66">
        <f>SUM('Jan 1-15'!I13,'Jan 16-31'!I13,'Feb 1-15'!I13,'Feb 16-29'!I13,'Mar 1-15'!I13,'Mar 16-31'!I13,'Apr 1-15'!I13,'Apr 16-30'!I13,'May 1-15'!I13,'May 16-31'!I13,'Jun 1-15'!I13,'Jun 16-30'!I13)</f>
        <v>11.5</v>
      </c>
      <c r="J13" s="67">
        <f t="shared" si="24"/>
        <v>3.9</v>
      </c>
      <c r="K13" s="68">
        <f>SUM('Jan 1-15'!K13,'Jan 16-31'!K13,'Feb 1-15'!K13,'Feb 16-29'!K13,'Mar 1-15'!K13,'Mar 16-31'!K13,'Apr 1-15'!K13,'Apr 16-30'!K13,'May 1-15'!K13,'May 16-31'!K13,'Jun 1-15'!K13,'Jun 16-30'!K13)</f>
        <v>44.85</v>
      </c>
      <c r="L13" s="66">
        <f>SUM('Jan 1-15'!L13,'Jan 16-31'!L13,'Feb 1-15'!L13,'Feb 16-29'!L13,'Mar 1-15'!L13,'Mar 16-31'!L13,'Apr 1-15'!L13,'Apr 16-30'!L13,'May 1-15'!L13,'May 16-31'!L13,'Jun 1-15'!L13,'Jun 16-30'!L13)</f>
        <v>0</v>
      </c>
      <c r="M13" s="67" t="str">
        <f t="shared" si="25"/>
        <v>#DIV/0!</v>
      </c>
      <c r="N13" s="68">
        <f>SUM('Jan 1-15'!N13,'Jan 16-31'!N13,'Feb 1-15'!N13,'Feb 16-29'!N13,'Mar 1-15'!N13,'Mar 16-31'!N13,'Apr 1-15'!N13,'Apr 16-30'!N13,'May 1-15'!N13,'May 16-31'!N13,'Jun 1-15'!N13,'Jun 16-30'!N13)</f>
        <v>0</v>
      </c>
      <c r="O13" s="66">
        <f>SUM('Jan 1-15'!O13,'Jan 16-31'!O13,'Feb 1-15'!O13,'Feb 16-29'!O13,'Mar 1-15'!O13,'Mar 16-31'!O13,'Apr 1-15'!O13,'Apr 16-30'!O13,'May 1-15'!O13,'May 16-31'!O13,'Jun 1-15'!O13,'Jun 16-30'!O13)</f>
        <v>15.1</v>
      </c>
      <c r="P13" s="67">
        <f t="shared" si="26"/>
        <v>3.2</v>
      </c>
      <c r="Q13" s="68">
        <f>SUM('Jan 1-15'!Q13,'Jan 16-31'!Q13,'Feb 1-15'!Q13,'Feb 16-29'!Q13,'Mar 1-15'!Q13,'Mar 16-31'!Q13,'Apr 1-15'!Q13,'Apr 16-30'!Q13,'May 1-15'!Q13,'May 16-31'!Q13,'Jun 1-15'!Q13,'Jun 16-30'!Q13)</f>
        <v>48.32</v>
      </c>
      <c r="R13" s="66">
        <f>SUM('Jan 1-15'!R13,'Jan 16-31'!R13,'Feb 1-15'!R13,'Feb 16-29'!R13,'Mar 1-15'!R13,'Mar 16-31'!R13,'Apr 1-15'!R13,'Apr 16-30'!R13,'May 1-15'!R13,'May 16-31'!R13,'Jun 1-15'!R13,'Jun 16-30'!R13)</f>
        <v>1.8</v>
      </c>
      <c r="S13" s="67">
        <f t="shared" si="27"/>
        <v>4.4</v>
      </c>
      <c r="T13" s="68">
        <f>SUM('Jan 1-15'!T13,'Jan 16-31'!T13,'Feb 1-15'!T13,'Feb 16-29'!T13,'Mar 1-15'!T13,'Mar 16-31'!T13,'Apr 1-15'!T13,'Apr 16-30'!T13,'May 1-15'!T13,'May 16-31'!T13,'Jun 1-15'!T13,'Jun 16-30'!T13)</f>
        <v>7.92</v>
      </c>
      <c r="U13" s="66">
        <f>SUM('Jan 1-15'!U13,'Jan 16-31'!U13,'Feb 1-15'!U13,'Feb 16-29'!U13,'Mar 1-15'!U13,'Mar 16-31'!U13,'Apr 1-15'!U13,'Apr 16-30'!U13,'May 1-15'!U13,'May 16-31'!U13,'Jun 1-15'!U13,'Jun 16-30'!U13)</f>
        <v>18.4</v>
      </c>
      <c r="V13" s="67">
        <f t="shared" si="28"/>
        <v>5.023913043</v>
      </c>
      <c r="W13" s="68">
        <f>SUM('Jan 1-15'!W13,'Jan 16-31'!W13,'Feb 1-15'!W13,'Feb 16-29'!W13,'Mar 1-15'!W13,'Mar 16-31'!W13,'Apr 1-15'!W13,'Apr 16-30'!W13,'May 1-15'!W13,'May 16-31'!W13,'Jun 1-15'!W13,'Jun 16-30'!W13)</f>
        <v>92.44</v>
      </c>
      <c r="X13" s="66">
        <f>SUM('Jan 1-15'!X13,'Jan 16-31'!X13,'Feb 1-15'!X13,'Feb 16-29'!X13,'Mar 1-15'!X13,'Mar 16-31'!X13,'Apr 1-15'!X13,'Apr 16-30'!X13,'May 1-15'!X13,'May 16-31'!X13,'Jun 1-15'!X13,'Jun 16-30'!X13)</f>
        <v>0</v>
      </c>
      <c r="Y13" s="67" t="str">
        <f t="shared" si="29"/>
        <v>#DIV/0!</v>
      </c>
      <c r="Z13" s="68">
        <f>SUM('Jan 1-15'!Z13,'Jan 16-31'!Z13,'Feb 1-15'!Z13,'Feb 16-29'!Z13,'Mar 1-15'!Z13,'Mar 16-31'!Z13,'Apr 1-15'!Z13,'Apr 16-30'!Z13,'May 1-15'!Z13,'May 16-31'!Z13,'Jun 1-15'!Z13,'Jun 16-30'!Z13)</f>
        <v>0</v>
      </c>
      <c r="AA13" s="69">
        <f>SUM('Jan 1-15'!AA13,'Jan 16-31'!AA13,'Feb 1-15'!AA13,'Feb 16-29'!AA13,'Mar 1-15'!AA13,'Mar 16-31'!AA13,'Apr 1-15'!AA13,'Apr 16-30'!AA13,'May 1-15'!AA13,'May 16-31'!AA13,'Jun 1-15'!AA13,'Jun 16-30'!AA13)</f>
        <v>41.9</v>
      </c>
      <c r="AB13" s="67">
        <f t="shared" si="30"/>
        <v>3.656563246</v>
      </c>
      <c r="AC13" s="70">
        <f>SUM('Jan 1-15'!AC13,'Jan 16-31'!AC13,'Feb 1-15'!AC13,'Feb 16-29'!AC13,'Mar 1-15'!AC13,'Mar 16-31'!AC13,'Apr 1-15'!AC13,'Apr 16-30'!AC13,'May 1-15'!AC13,'May 16-31'!AC13,'Jun 1-15'!AC13,'Jun 16-30'!AC13)</f>
        <v>153.21</v>
      </c>
      <c r="AD13" s="66">
        <f>SUM('Jan 1-15'!AD13,'Jan 16-31'!AD13,'Feb 1-15'!AD13,'Feb 16-29'!AD13,'Mar 1-15'!AD13,'Mar 16-31'!AD13,'Apr 1-15'!AD13,'Apr 16-30'!AD13,'May 1-15'!AD13,'May 16-31'!AD13,'Jun 1-15'!AD13,'Jun 16-30'!AD13)</f>
        <v>0</v>
      </c>
      <c r="AE13" s="67" t="str">
        <f t="shared" si="31"/>
        <v>#DIV/0!</v>
      </c>
      <c r="AF13" s="68">
        <f>SUM('Jan 1-15'!AF13,'Jan 16-31'!AF13,'Feb 1-15'!AF13,'Feb 16-29'!AF13,'Mar 1-15'!AF13,'Mar 16-31'!AF13,'Apr 1-15'!AF13,'Apr 16-30'!AF13,'May 1-15'!AF13,'May 16-31'!AF13,'Jun 1-15'!AF13,'Jun 16-30'!AF13)</f>
        <v>0</v>
      </c>
      <c r="AG13" s="66">
        <f>SUM('Jan 1-15'!AG13,'Jan 16-31'!AG13,'Feb 1-15'!AG13,'Feb 16-29'!AG13,'Mar 1-15'!AG13,'Mar 16-31'!AG13,'Apr 1-15'!AG13,'Apr 16-30'!AG13,'May 1-15'!AG13,'May 16-31'!AG13,'Jun 1-15'!AG13,'Jun 16-30'!AG13)</f>
        <v>47.4</v>
      </c>
      <c r="AH13" s="67">
        <f t="shared" si="32"/>
        <v>3</v>
      </c>
      <c r="AI13" s="68">
        <f>SUM('Jan 1-15'!AI13,'Jan 16-31'!AI13,'Feb 1-15'!AI13,'Feb 16-29'!AI13,'Mar 1-15'!AI13,'Mar 16-31'!AI13,'Apr 1-15'!AI13,'Apr 16-30'!AI13,'May 1-15'!AI13,'May 16-31'!AI13,'Jun 1-15'!AI13,'Jun 16-30'!AI13)</f>
        <v>142.2</v>
      </c>
      <c r="AJ13" s="66">
        <f>SUM('Jan 1-15'!AJ13,'Jan 16-31'!AJ13,'Feb 1-15'!AJ13,'Feb 16-29'!AJ13,'Mar 1-15'!AJ13,'Mar 16-31'!AJ13,'Apr 1-15'!AJ13,'Apr 16-30'!AJ13,'May 1-15'!AJ13,'May 16-31'!AJ13,'Jun 1-15'!AJ13,'Jun 16-30'!AJ13)</f>
        <v>0</v>
      </c>
      <c r="AK13" s="67" t="str">
        <f t="shared" si="33"/>
        <v>#DIV/0!</v>
      </c>
      <c r="AL13" s="68">
        <f>SUM('Jan 1-15'!AL13,'Jan 16-31'!AL13,'Feb 1-15'!AL13,'Feb 16-29'!AL13,'Mar 1-15'!AL13,'Mar 16-31'!AL13,'Apr 1-15'!AL13,'Apr 16-30'!AL13,'May 1-15'!AL13,'May 16-31'!AL13,'Jun 1-15'!AL13,'Jun 16-30'!AL13)</f>
        <v>0</v>
      </c>
      <c r="AM13" s="66">
        <f>SUM('Jan 1-15'!AM13,'Jan 16-31'!AM13,'Feb 1-15'!AM13,'Feb 16-29'!AM13,'Mar 1-15'!AM13,'Mar 16-31'!AM13,'Apr 1-15'!AM13,'Apr 16-30'!AM13,'May 1-15'!AM13,'May 16-31'!AM13,'Jun 1-15'!AM13,'Jun 16-30'!AM13)</f>
        <v>0</v>
      </c>
      <c r="AN13" s="67" t="str">
        <f t="shared" si="34"/>
        <v>#DIV/0!</v>
      </c>
      <c r="AO13" s="68">
        <f>SUM('Jan 1-15'!AO13,'Jan 16-31'!AO13,'Feb 1-15'!AO13,'Feb 16-29'!AO13,'Mar 1-15'!AO13,'Mar 16-31'!AO13,'Apr 1-15'!AO13,'Apr 16-30'!AO13,'May 1-15'!AO13,'May 16-31'!AO13,'Jun 1-15'!AO13,'Jun 16-30'!AO13)</f>
        <v>0</v>
      </c>
      <c r="AP13" s="66">
        <f>SUM('Jan 1-15'!AP13,'Jan 16-31'!AP13,'Feb 1-15'!AP13,'Feb 16-29'!AP13,'Mar 1-15'!AP13,'Mar 16-31'!AP13,'Apr 1-15'!AP13,'Apr 16-30'!AP13,'May 1-15'!AP13,'May 16-31'!AP13,'Jun 1-15'!AP13,'Jun 16-30'!AP13)</f>
        <v>0</v>
      </c>
      <c r="AQ13" s="67" t="str">
        <f t="shared" si="35"/>
        <v>#DIV/0!</v>
      </c>
      <c r="AR13" s="68">
        <f>SUM('Jan 1-15'!AR13,'Jan 16-31'!AR13,'Feb 1-15'!AR13,'Feb 16-29'!AR13,'Mar 1-15'!AR13,'Mar 16-31'!AR13,'Apr 1-15'!AR13,'Apr 16-30'!AR13,'May 1-15'!AR13,'May 16-31'!AR13,'Jun 1-15'!AR13,'Jun 16-30'!AR13)</f>
        <v>0</v>
      </c>
      <c r="AS13" s="66">
        <f t="shared" ref="AS13:AS23" si="46">U13+X13+AA13+AD13+AG13+AJ13+AM13+AP13</f>
        <v>107.7</v>
      </c>
      <c r="AT13" s="67">
        <f t="shared" si="36"/>
        <v>3.601207057</v>
      </c>
      <c r="AU13" s="68">
        <f t="shared" ref="AU13:AU23" si="47">W13+Z13+AC13+AF13+AI13+AL13+AO13+AR13</f>
        <v>387.85</v>
      </c>
      <c r="AV13" s="66">
        <f t="shared" ref="AV13:AV23" si="48">C13+U13</f>
        <v>25.3</v>
      </c>
      <c r="AW13" s="67">
        <f t="shared" si="37"/>
        <v>5.017391304</v>
      </c>
      <c r="AX13" s="71">
        <f t="shared" ref="AX13:AY13" si="38">E13+W13</f>
        <v>126.94</v>
      </c>
      <c r="AY13" s="66">
        <f t="shared" si="38"/>
        <v>0</v>
      </c>
      <c r="AZ13" s="67" t="str">
        <f t="shared" si="39"/>
        <v>#DIV/0!</v>
      </c>
      <c r="BA13" s="72">
        <f t="shared" ref="BA13:BA23" si="50">H13+Z13</f>
        <v>0</v>
      </c>
      <c r="BB13" s="73">
        <f t="shared" ref="BB13:BB23" si="51">AJ13+AA13+I13</f>
        <v>53.4</v>
      </c>
      <c r="BC13" s="67">
        <f t="shared" si="40"/>
        <v>3.708988764</v>
      </c>
      <c r="BD13" s="71">
        <f t="shared" ref="BD13:BE13" si="41">AL13+AC13+K13</f>
        <v>198.06</v>
      </c>
      <c r="BE13" s="66">
        <f t="shared" si="41"/>
        <v>0</v>
      </c>
      <c r="BF13" s="67" t="str">
        <f t="shared" si="42"/>
        <v>#DIV/0!</v>
      </c>
      <c r="BG13" s="72">
        <f t="shared" ref="BG13:BH13" si="43">AO13+AF13+N13</f>
        <v>0</v>
      </c>
      <c r="BH13" s="66">
        <f t="shared" si="43"/>
        <v>62.5</v>
      </c>
      <c r="BI13" s="67">
        <f t="shared" si="44"/>
        <v>3.04832</v>
      </c>
      <c r="BJ13" s="72">
        <f t="shared" ref="BJ13:BJ23" si="54">AR13+AI13+Q13</f>
        <v>190.52</v>
      </c>
      <c r="BK13" s="74">
        <f t="shared" ref="BK13:BK23" si="55">AV13+AY13+BB13+BE13+BH13</f>
        <v>141.2</v>
      </c>
      <c r="BL13" s="67">
        <f t="shared" si="45"/>
        <v>3.650991501</v>
      </c>
      <c r="BM13" s="75">
        <f t="shared" ref="BM13:BM23" si="56">AX13+BA13+BD13+BG13+BJ13</f>
        <v>515.52</v>
      </c>
      <c r="BN13" s="76"/>
    </row>
    <row r="14" ht="14.25" customHeight="1">
      <c r="A14" s="65" t="s">
        <v>24</v>
      </c>
      <c r="B14" s="65">
        <f>SUM('Jan 1-15'!B14,'Jan 16-31'!B14,'Feb 1-15'!B14,'Feb 16-29'!B14,'Mar 1-15'!B14,'Mar 16-31'!B14,'Apr 1-15'!B14,'Apr 16-30'!B14,'May 1-15'!B14,'May 16-31'!B14,'Jun 1-15'!B14,'Jun 16-30'!B14)</f>
        <v>88</v>
      </c>
      <c r="C14" s="66">
        <f>SUM('Jan 1-15'!C14,'Jan 16-31'!C14,'Feb 1-15'!C14,'Feb 16-29'!C14,'Mar 1-15'!C14,'Mar 16-31'!C14,'Apr 1-15'!C14,'Apr 16-30'!C14,'May 1-15'!C14,'May 16-31'!C14,'Jun 1-15'!C14,'Jun 16-30'!C14)</f>
        <v>37.3</v>
      </c>
      <c r="D14" s="67">
        <f t="shared" si="22"/>
        <v>4.919571046</v>
      </c>
      <c r="E14" s="68">
        <f>SUM('Jan 1-15'!E14,'Jan 16-31'!E14,'Feb 1-15'!E14,'Feb 16-29'!E14,'Mar 1-15'!E14,'Mar 16-31'!E14,'Apr 1-15'!E14,'Apr 16-30'!E14,'May 1-15'!E14,'May 16-31'!E14,'Jun 1-15'!E14,'Jun 16-30'!E14)</f>
        <v>183.5</v>
      </c>
      <c r="F14" s="66">
        <f>SUM('Jan 1-15'!F14,'Jan 16-31'!F14,'Feb 1-15'!F14,'Feb 16-29'!F14,'Mar 1-15'!F14,'Mar 16-31'!F14,'Apr 1-15'!F14,'Apr 16-30'!F14,'May 1-15'!F14,'May 16-31'!F14,'Jun 1-15'!F14,'Jun 16-30'!F14)</f>
        <v>0</v>
      </c>
      <c r="G14" s="67" t="str">
        <f t="shared" si="23"/>
        <v>#DIV/0!</v>
      </c>
      <c r="H14" s="68">
        <f>SUM('Jan 1-15'!H14,'Jan 16-31'!H14,'Feb 1-15'!H14,'Feb 16-29'!H14,'Mar 1-15'!H14,'Mar 16-31'!H14,'Apr 1-15'!H14,'Apr 16-30'!H14,'May 1-15'!H14,'May 16-31'!H14,'Jun 1-15'!H14,'Jun 16-30'!H14)</f>
        <v>0</v>
      </c>
      <c r="I14" s="66">
        <f>SUM('Jan 1-15'!I14,'Jan 16-31'!I14,'Feb 1-15'!I14,'Feb 16-29'!I14,'Mar 1-15'!I14,'Mar 16-31'!I14,'Apr 1-15'!I14,'Apr 16-30'!I14,'May 1-15'!I14,'May 16-31'!I14,'Jun 1-15'!I14,'Jun 16-30'!I14)</f>
        <v>66.2</v>
      </c>
      <c r="J14" s="67">
        <f t="shared" si="24"/>
        <v>3.980362538</v>
      </c>
      <c r="K14" s="68">
        <f>SUM('Jan 1-15'!K14,'Jan 16-31'!K14,'Feb 1-15'!K14,'Feb 16-29'!K14,'Mar 1-15'!K14,'Mar 16-31'!K14,'Apr 1-15'!K14,'Apr 16-30'!K14,'May 1-15'!K14,'May 16-31'!K14,'Jun 1-15'!K14,'Jun 16-30'!K14)</f>
        <v>263.5</v>
      </c>
      <c r="L14" s="66">
        <f>SUM('Jan 1-15'!L14,'Jan 16-31'!L14,'Feb 1-15'!L14,'Feb 16-29'!L14,'Mar 1-15'!L14,'Mar 16-31'!L14,'Apr 1-15'!L14,'Apr 16-30'!L14,'May 1-15'!L14,'May 16-31'!L14,'Jun 1-15'!L14,'Jun 16-30'!L14)</f>
        <v>0</v>
      </c>
      <c r="M14" s="67" t="str">
        <f t="shared" si="25"/>
        <v>#DIV/0!</v>
      </c>
      <c r="N14" s="68">
        <f>SUM('Jan 1-15'!N14,'Jan 16-31'!N14,'Feb 1-15'!N14,'Feb 16-29'!N14,'Mar 1-15'!N14,'Mar 16-31'!N14,'Apr 1-15'!N14,'Apr 16-30'!N14,'May 1-15'!N14,'May 16-31'!N14,'Jun 1-15'!N14,'Jun 16-30'!N14)</f>
        <v>0</v>
      </c>
      <c r="O14" s="66">
        <f>SUM('Jan 1-15'!O14,'Jan 16-31'!O14,'Feb 1-15'!O14,'Feb 16-29'!O14,'Mar 1-15'!O14,'Mar 16-31'!O14,'Apr 1-15'!O14,'Apr 16-30'!O14,'May 1-15'!O14,'May 16-31'!O14,'Jun 1-15'!O14,'Jun 16-30'!O14)</f>
        <v>25.5</v>
      </c>
      <c r="P14" s="67">
        <f t="shared" si="26"/>
        <v>3.160784314</v>
      </c>
      <c r="Q14" s="68">
        <f>SUM('Jan 1-15'!Q14,'Jan 16-31'!Q14,'Feb 1-15'!Q14,'Feb 16-29'!Q14,'Mar 1-15'!Q14,'Mar 16-31'!Q14,'Apr 1-15'!Q14,'Apr 16-30'!Q14,'May 1-15'!Q14,'May 16-31'!Q14,'Jun 1-15'!Q14,'Jun 16-30'!Q14)</f>
        <v>80.6</v>
      </c>
      <c r="R14" s="66">
        <f>SUM('Jan 1-15'!R14,'Jan 16-31'!R14,'Feb 1-15'!R14,'Feb 16-29'!R14,'Mar 1-15'!R14,'Mar 16-31'!R14,'Apr 1-15'!R14,'Apr 16-30'!R14,'May 1-15'!R14,'May 16-31'!R14,'Jun 1-15'!R14,'Jun 16-30'!R14)</f>
        <v>29.5</v>
      </c>
      <c r="S14" s="67">
        <f t="shared" si="27"/>
        <v>4.13220339</v>
      </c>
      <c r="T14" s="68">
        <f>SUM('Jan 1-15'!T14,'Jan 16-31'!T14,'Feb 1-15'!T14,'Feb 16-29'!T14,'Mar 1-15'!T14,'Mar 16-31'!T14,'Apr 1-15'!T14,'Apr 16-30'!T14,'May 1-15'!T14,'May 16-31'!T14,'Jun 1-15'!T14,'Jun 16-30'!T14)</f>
        <v>121.9</v>
      </c>
      <c r="U14" s="66">
        <f>SUM('Jan 1-15'!U14,'Jan 16-31'!U14,'Feb 1-15'!U14,'Feb 16-29'!U14,'Mar 1-15'!U14,'Mar 16-31'!U14,'Apr 1-15'!U14,'Apr 16-30'!U14,'May 1-15'!U14,'May 16-31'!U14,'Jun 1-15'!U14,'Jun 16-30'!U14)</f>
        <v>0</v>
      </c>
      <c r="V14" s="67" t="str">
        <f t="shared" si="28"/>
        <v>#DIV/0!</v>
      </c>
      <c r="W14" s="68">
        <f>SUM('Jan 1-15'!W14,'Jan 16-31'!W14,'Feb 1-15'!W14,'Feb 16-29'!W14,'Mar 1-15'!W14,'Mar 16-31'!W14,'Apr 1-15'!W14,'Apr 16-30'!W14,'May 1-15'!W14,'May 16-31'!W14,'Jun 1-15'!W14,'Jun 16-30'!W14)</f>
        <v>0</v>
      </c>
      <c r="X14" s="66">
        <f>SUM('Jan 1-15'!X14,'Jan 16-31'!X14,'Feb 1-15'!X14,'Feb 16-29'!X14,'Mar 1-15'!X14,'Mar 16-31'!X14,'Apr 1-15'!X14,'Apr 16-30'!X14,'May 1-15'!X14,'May 16-31'!X14,'Jun 1-15'!X14,'Jun 16-30'!X14)</f>
        <v>0</v>
      </c>
      <c r="Y14" s="67" t="str">
        <f t="shared" si="29"/>
        <v>#DIV/0!</v>
      </c>
      <c r="Z14" s="68">
        <f>SUM('Jan 1-15'!Z14,'Jan 16-31'!Z14,'Feb 1-15'!Z14,'Feb 16-29'!Z14,'Mar 1-15'!Z14,'Mar 16-31'!Z14,'Apr 1-15'!Z14,'Apr 16-30'!Z14,'May 1-15'!Z14,'May 16-31'!Z14,'Jun 1-15'!Z14,'Jun 16-30'!Z14)</f>
        <v>0</v>
      </c>
      <c r="AA14" s="69">
        <f>SUM('Jan 1-15'!AA14,'Jan 16-31'!AA14,'Feb 1-15'!AA14,'Feb 16-29'!AA14,'Mar 1-15'!AA14,'Mar 16-31'!AA14,'Apr 1-15'!AA14,'Apr 16-30'!AA14,'May 1-15'!AA14,'May 16-31'!AA14,'Jun 1-15'!AA14,'Jun 16-30'!AA14)</f>
        <v>8</v>
      </c>
      <c r="AB14" s="67">
        <f t="shared" si="30"/>
        <v>3.98125</v>
      </c>
      <c r="AC14" s="75">
        <f>SUM('Jan 1-15'!AC14,'Jan 16-31'!AC14,'Feb 1-15'!AC14,'Feb 16-29'!AC14,'Mar 1-15'!AC14,'Mar 16-31'!AC14,'Apr 1-15'!AC14,'Apr 16-30'!AC14,'May 1-15'!AC14,'May 16-31'!AC14,'Jun 1-15'!AC14,'Jun 16-30'!AC14)</f>
        <v>31.85</v>
      </c>
      <c r="AD14" s="66">
        <f>SUM('Jan 1-15'!AD14,'Jan 16-31'!AD14,'Feb 1-15'!AD14,'Feb 16-29'!AD14,'Mar 1-15'!AD14,'Mar 16-31'!AD14,'Apr 1-15'!AD14,'Apr 16-30'!AD14,'May 1-15'!AD14,'May 16-31'!AD14,'Jun 1-15'!AD14,'Jun 16-30'!AD14)</f>
        <v>0</v>
      </c>
      <c r="AE14" s="67" t="str">
        <f t="shared" si="31"/>
        <v>#DIV/0!</v>
      </c>
      <c r="AF14" s="68">
        <f>SUM('Jan 1-15'!AF14,'Jan 16-31'!AF14,'Feb 1-15'!AF14,'Feb 16-29'!AF14,'Mar 1-15'!AF14,'Mar 16-31'!AF14,'Apr 1-15'!AF14,'Apr 16-30'!AF14,'May 1-15'!AF14,'May 16-31'!AF14,'Jun 1-15'!AF14,'Jun 16-30'!AF14)</f>
        <v>0</v>
      </c>
      <c r="AG14" s="66">
        <f>SUM('Jan 1-15'!AG14,'Jan 16-31'!AG14,'Feb 1-15'!AG14,'Feb 16-29'!AG14,'Mar 1-15'!AG14,'Mar 16-31'!AG14,'Apr 1-15'!AG14,'Apr 16-30'!AG14,'May 1-15'!AG14,'May 16-31'!AG14,'Jun 1-15'!AG14,'Jun 16-30'!AG14)</f>
        <v>0</v>
      </c>
      <c r="AH14" s="67" t="str">
        <f t="shared" si="32"/>
        <v>#DIV/0!</v>
      </c>
      <c r="AI14" s="68">
        <f>SUM('Jan 1-15'!AI14,'Jan 16-31'!AI14,'Feb 1-15'!AI14,'Feb 16-29'!AI14,'Mar 1-15'!AI14,'Mar 16-31'!AI14,'Apr 1-15'!AI14,'Apr 16-30'!AI14,'May 1-15'!AI14,'May 16-31'!AI14,'Jun 1-15'!AI14,'Jun 16-30'!AI14)</f>
        <v>0</v>
      </c>
      <c r="AJ14" s="66">
        <f>SUM('Jan 1-15'!AJ14,'Jan 16-31'!AJ14,'Feb 1-15'!AJ14,'Feb 16-29'!AJ14,'Mar 1-15'!AJ14,'Mar 16-31'!AJ14,'Apr 1-15'!AJ14,'Apr 16-30'!AJ14,'May 1-15'!AJ14,'May 16-31'!AJ14,'Jun 1-15'!AJ14,'Jun 16-30'!AJ14)</f>
        <v>0</v>
      </c>
      <c r="AK14" s="67" t="str">
        <f t="shared" si="33"/>
        <v>#DIV/0!</v>
      </c>
      <c r="AL14" s="68">
        <f>SUM('Jan 1-15'!AL14,'Jan 16-31'!AL14,'Feb 1-15'!AL14,'Feb 16-29'!AL14,'Mar 1-15'!AL14,'Mar 16-31'!AL14,'Apr 1-15'!AL14,'Apr 16-30'!AL14,'May 1-15'!AL14,'May 16-31'!AL14,'Jun 1-15'!AL14,'Jun 16-30'!AL14)</f>
        <v>0</v>
      </c>
      <c r="AM14" s="66">
        <f>SUM('Jan 1-15'!AM14,'Jan 16-31'!AM14,'Feb 1-15'!AM14,'Feb 16-29'!AM14,'Mar 1-15'!AM14,'Mar 16-31'!AM14,'Apr 1-15'!AM14,'Apr 16-30'!AM14,'May 1-15'!AM14,'May 16-31'!AM14,'Jun 1-15'!AM14,'Jun 16-30'!AM14)</f>
        <v>0</v>
      </c>
      <c r="AN14" s="67" t="str">
        <f t="shared" si="34"/>
        <v>#DIV/0!</v>
      </c>
      <c r="AO14" s="68">
        <f>SUM('Jan 1-15'!AO14,'Jan 16-31'!AO14,'Feb 1-15'!AO14,'Feb 16-29'!AO14,'Mar 1-15'!AO14,'Mar 16-31'!AO14,'Apr 1-15'!AO14,'Apr 16-30'!AO14,'May 1-15'!AO14,'May 16-31'!AO14,'Jun 1-15'!AO14,'Jun 16-30'!AO14)</f>
        <v>0</v>
      </c>
      <c r="AP14" s="66">
        <f>SUM('Jan 1-15'!AP14,'Jan 16-31'!AP14,'Feb 1-15'!AP14,'Feb 16-29'!AP14,'Mar 1-15'!AP14,'Mar 16-31'!AP14,'Apr 1-15'!AP14,'Apr 16-30'!AP14,'May 1-15'!AP14,'May 16-31'!AP14,'Jun 1-15'!AP14,'Jun 16-30'!AP14)</f>
        <v>0</v>
      </c>
      <c r="AQ14" s="67" t="str">
        <f t="shared" si="35"/>
        <v>#DIV/0!</v>
      </c>
      <c r="AR14" s="68">
        <f>SUM('Jan 1-15'!AR14,'Jan 16-31'!AR14,'Feb 1-15'!AR14,'Feb 16-29'!AR14,'Mar 1-15'!AR14,'Mar 16-31'!AR14,'Apr 1-15'!AR14,'Apr 16-30'!AR14,'May 1-15'!AR14,'May 16-31'!AR14,'Jun 1-15'!AR14,'Jun 16-30'!AR14)</f>
        <v>0</v>
      </c>
      <c r="AS14" s="66">
        <f t="shared" si="46"/>
        <v>8</v>
      </c>
      <c r="AT14" s="67">
        <f t="shared" si="36"/>
        <v>3.98125</v>
      </c>
      <c r="AU14" s="68">
        <f t="shared" si="47"/>
        <v>31.85</v>
      </c>
      <c r="AV14" s="66">
        <f t="shared" si="48"/>
        <v>37.3</v>
      </c>
      <c r="AW14" s="67">
        <f t="shared" si="37"/>
        <v>4.919571046</v>
      </c>
      <c r="AX14" s="71">
        <f t="shared" ref="AX14:AY14" si="49">E14+W14</f>
        <v>183.5</v>
      </c>
      <c r="AY14" s="66">
        <f t="shared" si="49"/>
        <v>0</v>
      </c>
      <c r="AZ14" s="67" t="str">
        <f t="shared" si="39"/>
        <v>#DIV/0!</v>
      </c>
      <c r="BA14" s="72">
        <f t="shared" si="50"/>
        <v>0</v>
      </c>
      <c r="BB14" s="73">
        <f t="shared" si="51"/>
        <v>74.2</v>
      </c>
      <c r="BC14" s="67">
        <f t="shared" si="40"/>
        <v>3.980458221</v>
      </c>
      <c r="BD14" s="71">
        <f t="shared" ref="BD14:BE14" si="52">AL14+AC14+K14</f>
        <v>295.35</v>
      </c>
      <c r="BE14" s="66">
        <f t="shared" si="52"/>
        <v>0</v>
      </c>
      <c r="BF14" s="67" t="str">
        <f t="shared" si="42"/>
        <v>#DIV/0!</v>
      </c>
      <c r="BG14" s="72">
        <f t="shared" ref="BG14:BH14" si="53">AO14+AF14+N14</f>
        <v>0</v>
      </c>
      <c r="BH14" s="66">
        <f t="shared" si="53"/>
        <v>25.5</v>
      </c>
      <c r="BI14" s="67">
        <f t="shared" si="44"/>
        <v>3.160784314</v>
      </c>
      <c r="BJ14" s="72">
        <f t="shared" si="54"/>
        <v>80.6</v>
      </c>
      <c r="BK14" s="74">
        <f t="shared" si="55"/>
        <v>137</v>
      </c>
      <c r="BL14" s="67">
        <f t="shared" si="45"/>
        <v>4.083576642</v>
      </c>
      <c r="BM14" s="75">
        <f t="shared" si="56"/>
        <v>559.45</v>
      </c>
      <c r="BN14" s="76"/>
    </row>
    <row r="15" ht="14.25" customHeight="1">
      <c r="A15" s="65" t="s">
        <v>25</v>
      </c>
      <c r="B15" s="65">
        <f>SUM('Jan 1-15'!B15,'Jan 16-31'!B15,'Feb 1-15'!B15,'Feb 16-29'!B15,'Mar 1-15'!B15,'Mar 16-31'!B15,'Apr 1-15'!B15,'Apr 16-30'!B15,'May 1-15'!B15,'May 16-31'!B15,'Jun 1-15'!B15,'Jun 16-30'!B15)</f>
        <v>198</v>
      </c>
      <c r="C15" s="66">
        <f>SUM('Jan 1-15'!C15,'Jan 16-31'!C15,'Feb 1-15'!C15,'Feb 16-29'!C15,'Mar 1-15'!C15,'Mar 16-31'!C15,'Apr 1-15'!C15,'Apr 16-30'!C15,'May 1-15'!C15,'May 16-31'!C15,'Jun 1-15'!C15,'Jun 16-30'!C15)</f>
        <v>322.3</v>
      </c>
      <c r="D15" s="67">
        <f t="shared" si="22"/>
        <v>5.280825318</v>
      </c>
      <c r="E15" s="68">
        <f>SUM('Jan 1-15'!E15,'Jan 16-31'!E15,'Feb 1-15'!E15,'Feb 16-29'!E15,'Mar 1-15'!E15,'Mar 16-31'!E15,'Apr 1-15'!E15,'Apr 16-30'!E15,'May 1-15'!E15,'May 16-31'!E15,'Jun 1-15'!E15,'Jun 16-30'!E15)</f>
        <v>1702.01</v>
      </c>
      <c r="F15" s="66">
        <f>SUM('Jan 1-15'!F15,'Jan 16-31'!F15,'Feb 1-15'!F15,'Feb 16-29'!F15,'Mar 1-15'!F15,'Mar 16-31'!F15,'Apr 1-15'!F15,'Apr 16-30'!F15,'May 1-15'!F15,'May 16-31'!F15,'Jun 1-15'!F15,'Jun 16-30'!F15)</f>
        <v>0</v>
      </c>
      <c r="G15" s="67" t="str">
        <f t="shared" si="23"/>
        <v>#DIV/0!</v>
      </c>
      <c r="H15" s="68">
        <f>SUM('Jan 1-15'!H15,'Jan 16-31'!H15,'Feb 1-15'!H15,'Feb 16-29'!H15,'Mar 1-15'!H15,'Mar 16-31'!H15,'Apr 1-15'!H15,'Apr 16-30'!H15,'May 1-15'!H15,'May 16-31'!H15,'Jun 1-15'!H15,'Jun 16-30'!H15)</f>
        <v>0</v>
      </c>
      <c r="I15" s="66">
        <f>SUM('Jan 1-15'!I15,'Jan 16-31'!I15,'Feb 1-15'!I15,'Feb 16-29'!I15,'Mar 1-15'!I15,'Mar 16-31'!I15,'Apr 1-15'!I15,'Apr 16-30'!I15,'May 1-15'!I15,'May 16-31'!I15,'Jun 1-15'!I15,'Jun 16-30'!I15)</f>
        <v>78.4</v>
      </c>
      <c r="J15" s="67">
        <f t="shared" si="24"/>
        <v>4.2</v>
      </c>
      <c r="K15" s="68">
        <f>SUM('Jan 1-15'!K15,'Jan 16-31'!K15,'Feb 1-15'!K15,'Feb 16-29'!K15,'Mar 1-15'!K15,'Mar 16-31'!K15,'Apr 1-15'!K15,'Apr 16-30'!K15,'May 1-15'!K15,'May 16-31'!K15,'Jun 1-15'!K15,'Jun 16-30'!K15)</f>
        <v>329.28</v>
      </c>
      <c r="L15" s="66">
        <f>SUM('Jan 1-15'!L15,'Jan 16-31'!L15,'Feb 1-15'!L15,'Feb 16-29'!L15,'Mar 1-15'!L15,'Mar 16-31'!L15,'Apr 1-15'!L15,'Apr 16-30'!L15,'May 1-15'!L15,'May 16-31'!L15,'Jun 1-15'!L15,'Jun 16-30'!L15)</f>
        <v>0</v>
      </c>
      <c r="M15" s="67" t="str">
        <f t="shared" si="25"/>
        <v>#DIV/0!</v>
      </c>
      <c r="N15" s="68">
        <f>SUM('Jan 1-15'!N15,'Jan 16-31'!N15,'Feb 1-15'!N15,'Feb 16-29'!N15,'Mar 1-15'!N15,'Mar 16-31'!N15,'Apr 1-15'!N15,'Apr 16-30'!N15,'May 1-15'!N15,'May 16-31'!N15,'Jun 1-15'!N15,'Jun 16-30'!N15)</f>
        <v>0</v>
      </c>
      <c r="O15" s="66">
        <f>SUM('Jan 1-15'!O15,'Jan 16-31'!O15,'Feb 1-15'!O15,'Feb 16-29'!O15,'Mar 1-15'!O15,'Mar 16-31'!O15,'Apr 1-15'!O15,'Apr 16-30'!O15,'May 1-15'!O15,'May 16-31'!O15,'Jun 1-15'!O15,'Jun 16-30'!O15)</f>
        <v>0</v>
      </c>
      <c r="P15" s="67" t="str">
        <f t="shared" si="26"/>
        <v>#DIV/0!</v>
      </c>
      <c r="Q15" s="68">
        <f>SUM('Jan 1-15'!Q15,'Jan 16-31'!Q15,'Feb 1-15'!Q15,'Feb 16-29'!Q15,'Mar 1-15'!Q15,'Mar 16-31'!Q15,'Apr 1-15'!Q15,'Apr 16-30'!Q15,'May 1-15'!Q15,'May 16-31'!Q15,'Jun 1-15'!Q15,'Jun 16-30'!Q15)</f>
        <v>0</v>
      </c>
      <c r="R15" s="66">
        <f>SUM('Jan 1-15'!R15,'Jan 16-31'!R15,'Feb 1-15'!R15,'Feb 16-29'!R15,'Mar 1-15'!R15,'Mar 16-31'!R15,'Apr 1-15'!R15,'Apr 16-30'!R15,'May 1-15'!R15,'May 16-31'!R15,'Jun 1-15'!R15,'Jun 16-30'!R15)</f>
        <v>31.6</v>
      </c>
      <c r="S15" s="67">
        <f t="shared" si="27"/>
        <v>4.721518987</v>
      </c>
      <c r="T15" s="68">
        <f>SUM('Jan 1-15'!T15,'Jan 16-31'!T15,'Feb 1-15'!T15,'Feb 16-29'!T15,'Mar 1-15'!T15,'Mar 16-31'!T15,'Apr 1-15'!T15,'Apr 16-30'!T15,'May 1-15'!T15,'May 16-31'!T15,'Jun 1-15'!T15,'Jun 16-30'!T15)</f>
        <v>149.2</v>
      </c>
      <c r="U15" s="66">
        <f>SUM('Jan 1-15'!U15,'Jan 16-31'!U15,'Feb 1-15'!U15,'Feb 16-29'!U15,'Mar 1-15'!U15,'Mar 16-31'!U15,'Apr 1-15'!U15,'Apr 16-30'!U15,'May 1-15'!U15,'May 16-31'!U15,'Jun 1-15'!U15,'Jun 16-30'!U15)</f>
        <v>29.3</v>
      </c>
      <c r="V15" s="67">
        <f t="shared" si="28"/>
        <v>5.2</v>
      </c>
      <c r="W15" s="68">
        <f>SUM('Jan 1-15'!W15,'Jan 16-31'!W15,'Feb 1-15'!W15,'Feb 16-29'!W15,'Mar 1-15'!W15,'Mar 16-31'!W15,'Apr 1-15'!W15,'Apr 16-30'!W15,'May 1-15'!W15,'May 16-31'!W15,'Jun 1-15'!W15,'Jun 16-30'!W15)</f>
        <v>152.36</v>
      </c>
      <c r="X15" s="66">
        <f>SUM('Jan 1-15'!X15,'Jan 16-31'!X15,'Feb 1-15'!X15,'Feb 16-29'!X15,'Mar 1-15'!X15,'Mar 16-31'!X15,'Apr 1-15'!X15,'Apr 16-30'!X15,'May 1-15'!X15,'May 16-31'!X15,'Jun 1-15'!X15,'Jun 16-30'!X15)</f>
        <v>0</v>
      </c>
      <c r="Y15" s="67" t="str">
        <f t="shared" si="29"/>
        <v>#DIV/0!</v>
      </c>
      <c r="Z15" s="68">
        <f>SUM('Jan 1-15'!Z15,'Jan 16-31'!Z15,'Feb 1-15'!Z15,'Feb 16-29'!Z15,'Mar 1-15'!Z15,'Mar 16-31'!Z15,'Apr 1-15'!Z15,'Apr 16-30'!Z15,'May 1-15'!Z15,'May 16-31'!Z15,'Jun 1-15'!Z15,'Jun 16-30'!Z15)</f>
        <v>0</v>
      </c>
      <c r="AA15" s="66">
        <f>SUM('Jan 1-15'!AA15,'Jan 16-31'!AA15,'Feb 1-15'!AA15,'Feb 16-29'!AA15,'Mar 1-15'!AA15,'Mar 16-31'!AA15,'Apr 1-15'!AA15,'Apr 16-30'!AA15,'May 1-15'!AA15,'May 16-31'!AA15,'Jun 1-15'!AA15,'Jun 16-30'!AA15)</f>
        <v>26.9</v>
      </c>
      <c r="AB15" s="67">
        <f t="shared" si="30"/>
        <v>4</v>
      </c>
      <c r="AC15" s="68">
        <f>SUM('Jan 1-15'!AC15,'Jan 16-31'!AC15,'Feb 1-15'!AC15,'Feb 16-29'!AC15,'Mar 1-15'!AC15,'Mar 16-31'!AC15,'Apr 1-15'!AC15,'Apr 16-30'!AC15,'May 1-15'!AC15,'May 16-31'!AC15,'Jun 1-15'!AC15,'Jun 16-30'!AC15)</f>
        <v>107.6</v>
      </c>
      <c r="AD15" s="66">
        <f>SUM('Jan 1-15'!AD15,'Jan 16-31'!AD15,'Feb 1-15'!AD15,'Feb 16-29'!AD15,'Mar 1-15'!AD15,'Mar 16-31'!AD15,'Apr 1-15'!AD15,'Apr 16-30'!AD15,'May 1-15'!AD15,'May 16-31'!AD15,'Jun 1-15'!AD15,'Jun 16-30'!AD15)</f>
        <v>0</v>
      </c>
      <c r="AE15" s="67" t="str">
        <f t="shared" si="31"/>
        <v>#DIV/0!</v>
      </c>
      <c r="AF15" s="68">
        <f>SUM('Jan 1-15'!AF15,'Jan 16-31'!AF15,'Feb 1-15'!AF15,'Feb 16-29'!AF15,'Mar 1-15'!AF15,'Mar 16-31'!AF15,'Apr 1-15'!AF15,'Apr 16-30'!AF15,'May 1-15'!AF15,'May 16-31'!AF15,'Jun 1-15'!AF15,'Jun 16-30'!AF15)</f>
        <v>0</v>
      </c>
      <c r="AG15" s="66">
        <f>SUM('Jan 1-15'!AG15,'Jan 16-31'!AG15,'Feb 1-15'!AG15,'Feb 16-29'!AG15,'Mar 1-15'!AG15,'Mar 16-31'!AG15,'Apr 1-15'!AG15,'Apr 16-30'!AG15,'May 1-15'!AG15,'May 16-31'!AG15,'Jun 1-15'!AG15,'Jun 16-30'!AG15)</f>
        <v>3</v>
      </c>
      <c r="AH15" s="67">
        <f t="shared" si="32"/>
        <v>3.2</v>
      </c>
      <c r="AI15" s="68">
        <f>SUM('Jan 1-15'!AI15,'Jan 16-31'!AI15,'Feb 1-15'!AI15,'Feb 16-29'!AI15,'Mar 1-15'!AI15,'Mar 16-31'!AI15,'Apr 1-15'!AI15,'Apr 16-30'!AI15,'May 1-15'!AI15,'May 16-31'!AI15,'Jun 1-15'!AI15,'Jun 16-30'!AI15)</f>
        <v>9.6</v>
      </c>
      <c r="AJ15" s="66">
        <f>SUM('Jan 1-15'!AJ15,'Jan 16-31'!AJ15,'Feb 1-15'!AJ15,'Feb 16-29'!AJ15,'Mar 1-15'!AJ15,'Mar 16-31'!AJ15,'Apr 1-15'!AJ15,'Apr 16-30'!AJ15,'May 1-15'!AJ15,'May 16-31'!AJ15,'Jun 1-15'!AJ15,'Jun 16-30'!AJ15)</f>
        <v>0</v>
      </c>
      <c r="AK15" s="67" t="str">
        <f t="shared" si="33"/>
        <v>#DIV/0!</v>
      </c>
      <c r="AL15" s="68">
        <f>SUM('Jan 1-15'!AL15,'Jan 16-31'!AL15,'Feb 1-15'!AL15,'Feb 16-29'!AL15,'Mar 1-15'!AL15,'Mar 16-31'!AL15,'Apr 1-15'!AL15,'Apr 16-30'!AL15,'May 1-15'!AL15,'May 16-31'!AL15,'Jun 1-15'!AL15,'Jun 16-30'!AL15)</f>
        <v>0</v>
      </c>
      <c r="AM15" s="66">
        <f>SUM('Jan 1-15'!AM15,'Jan 16-31'!AM15,'Feb 1-15'!AM15,'Feb 16-29'!AM15,'Mar 1-15'!AM15,'Mar 16-31'!AM15,'Apr 1-15'!AM15,'Apr 16-30'!AM15,'May 1-15'!AM15,'May 16-31'!AM15,'Jun 1-15'!AM15,'Jun 16-30'!AM15)</f>
        <v>0</v>
      </c>
      <c r="AN15" s="67" t="str">
        <f t="shared" si="34"/>
        <v>#DIV/0!</v>
      </c>
      <c r="AO15" s="68">
        <f>SUM('Jan 1-15'!AO15,'Jan 16-31'!AO15,'Feb 1-15'!AO15,'Feb 16-29'!AO15,'Mar 1-15'!AO15,'Mar 16-31'!AO15,'Apr 1-15'!AO15,'Apr 16-30'!AO15,'May 1-15'!AO15,'May 16-31'!AO15,'Jun 1-15'!AO15,'Jun 16-30'!AO15)</f>
        <v>0</v>
      </c>
      <c r="AP15" s="66">
        <f>SUM('Jan 1-15'!AP15,'Jan 16-31'!AP15,'Feb 1-15'!AP15,'Feb 16-29'!AP15,'Mar 1-15'!AP15,'Mar 16-31'!AP15,'Apr 1-15'!AP15,'Apr 16-30'!AP15,'May 1-15'!AP15,'May 16-31'!AP15,'Jun 1-15'!AP15,'Jun 16-30'!AP15)</f>
        <v>0</v>
      </c>
      <c r="AQ15" s="67" t="str">
        <f t="shared" si="35"/>
        <v>#DIV/0!</v>
      </c>
      <c r="AR15" s="68">
        <f>SUM('Jan 1-15'!AR15,'Jan 16-31'!AR15,'Feb 1-15'!AR15,'Feb 16-29'!AR15,'Mar 1-15'!AR15,'Mar 16-31'!AR15,'Apr 1-15'!AR15,'Apr 16-30'!AR15,'May 1-15'!AR15,'May 16-31'!AR15,'Jun 1-15'!AR15,'Jun 16-30'!AR15)</f>
        <v>0</v>
      </c>
      <c r="AS15" s="66">
        <f t="shared" si="46"/>
        <v>59.2</v>
      </c>
      <c r="AT15" s="67">
        <f t="shared" si="36"/>
        <v>4.553378378</v>
      </c>
      <c r="AU15" s="68">
        <f t="shared" si="47"/>
        <v>269.56</v>
      </c>
      <c r="AV15" s="66">
        <f t="shared" si="48"/>
        <v>351.6</v>
      </c>
      <c r="AW15" s="67">
        <f t="shared" si="37"/>
        <v>5.274089875</v>
      </c>
      <c r="AX15" s="71">
        <f t="shared" ref="AX15:AY15" si="57">E15+W15</f>
        <v>1854.37</v>
      </c>
      <c r="AY15" s="66">
        <f t="shared" si="57"/>
        <v>0</v>
      </c>
      <c r="AZ15" s="67" t="str">
        <f t="shared" si="39"/>
        <v>#DIV/0!</v>
      </c>
      <c r="BA15" s="72">
        <f t="shared" si="50"/>
        <v>0</v>
      </c>
      <c r="BB15" s="73">
        <f t="shared" si="51"/>
        <v>105.3</v>
      </c>
      <c r="BC15" s="67">
        <f t="shared" si="40"/>
        <v>4.148907882</v>
      </c>
      <c r="BD15" s="71">
        <f t="shared" ref="BD15:BE15" si="58">AL15+AC15+K15</f>
        <v>436.88</v>
      </c>
      <c r="BE15" s="66">
        <f t="shared" si="58"/>
        <v>0</v>
      </c>
      <c r="BF15" s="67" t="str">
        <f t="shared" si="42"/>
        <v>#DIV/0!</v>
      </c>
      <c r="BG15" s="72">
        <f t="shared" ref="BG15:BH15" si="59">AO15+AF15+N15</f>
        <v>0</v>
      </c>
      <c r="BH15" s="66">
        <f t="shared" si="59"/>
        <v>3</v>
      </c>
      <c r="BI15" s="67">
        <f t="shared" si="44"/>
        <v>3.2</v>
      </c>
      <c r="BJ15" s="72">
        <f t="shared" si="54"/>
        <v>9.6</v>
      </c>
      <c r="BK15" s="73">
        <f t="shared" si="55"/>
        <v>459.9</v>
      </c>
      <c r="BL15" s="67">
        <f t="shared" si="45"/>
        <v>5.002935421</v>
      </c>
      <c r="BM15" s="68">
        <f t="shared" si="56"/>
        <v>2300.85</v>
      </c>
      <c r="BN15" s="76"/>
    </row>
    <row r="16" ht="14.25" customHeight="1">
      <c r="A16" s="65" t="s">
        <v>26</v>
      </c>
      <c r="B16" s="65">
        <f>SUM('Jan 1-15'!B16,'Jan 16-31'!B16,'Feb 1-15'!B16,'Feb 16-29'!B16,'Mar 1-15'!B16,'Mar 16-31'!B16,'Apr 1-15'!B16,'Apr 16-30'!B16,'May 1-15'!B16,'May 16-31'!B16,'Jun 1-15'!B16,'Jun 16-30'!B16)</f>
        <v>99</v>
      </c>
      <c r="C16" s="66">
        <f>SUM('Jan 1-15'!C16,'Jan 16-31'!C16,'Feb 1-15'!C16,'Feb 16-29'!C16,'Mar 1-15'!C16,'Mar 16-31'!C16,'Apr 1-15'!C16,'Apr 16-30'!C16,'May 1-15'!C16,'May 16-31'!C16,'Jun 1-15'!C16,'Jun 16-30'!C16)</f>
        <v>5.8</v>
      </c>
      <c r="D16" s="67">
        <f t="shared" si="22"/>
        <v>5</v>
      </c>
      <c r="E16" s="68">
        <f>SUM('Jan 1-15'!E16,'Jan 16-31'!E16,'Feb 1-15'!E16,'Feb 16-29'!E16,'Mar 1-15'!E16,'Mar 16-31'!E16,'Apr 1-15'!E16,'Apr 16-30'!E16,'May 1-15'!E16,'May 16-31'!E16,'Jun 1-15'!E16,'Jun 16-30'!E16)</f>
        <v>29</v>
      </c>
      <c r="F16" s="66">
        <f>SUM('Jan 1-15'!F16,'Jan 16-31'!F16,'Feb 1-15'!F16,'Feb 16-29'!F16,'Mar 1-15'!F16,'Mar 16-31'!F16,'Apr 1-15'!F16,'Apr 16-30'!F16,'May 1-15'!F16,'May 16-31'!F16,'Jun 1-15'!F16,'Jun 16-30'!F16)</f>
        <v>0</v>
      </c>
      <c r="G16" s="67" t="str">
        <f t="shared" si="23"/>
        <v>#DIV/0!</v>
      </c>
      <c r="H16" s="68">
        <f>SUM('Jan 1-15'!H16,'Jan 16-31'!H16,'Feb 1-15'!H16,'Feb 16-29'!H16,'Mar 1-15'!H16,'Mar 16-31'!H16,'Apr 1-15'!H16,'Apr 16-30'!H16,'May 1-15'!H16,'May 16-31'!H16,'Jun 1-15'!H16,'Jun 16-30'!H16)</f>
        <v>0</v>
      </c>
      <c r="I16" s="66">
        <f>SUM('Jan 1-15'!I16,'Jan 16-31'!I16,'Feb 1-15'!I16,'Feb 16-29'!I16,'Mar 1-15'!I16,'Mar 16-31'!I16,'Apr 1-15'!I16,'Apr 16-30'!I16,'May 1-15'!I16,'May 16-31'!I16,'Jun 1-15'!I16,'Jun 16-30'!I16)</f>
        <v>33</v>
      </c>
      <c r="J16" s="67">
        <f t="shared" si="24"/>
        <v>3.9</v>
      </c>
      <c r="K16" s="68">
        <f>SUM('Jan 1-15'!K16,'Jan 16-31'!K16,'Feb 1-15'!K16,'Feb 16-29'!K16,'Mar 1-15'!K16,'Mar 16-31'!K16,'Apr 1-15'!K16,'Apr 16-30'!K16,'May 1-15'!K16,'May 16-31'!K16,'Jun 1-15'!K16,'Jun 16-30'!K16)</f>
        <v>128.7</v>
      </c>
      <c r="L16" s="66">
        <f>SUM('Jan 1-15'!L16,'Jan 16-31'!L16,'Feb 1-15'!L16,'Feb 16-29'!L16,'Mar 1-15'!L16,'Mar 16-31'!L16,'Apr 1-15'!L16,'Apr 16-30'!L16,'May 1-15'!L16,'May 16-31'!L16,'Jun 1-15'!L16,'Jun 16-30'!L16)</f>
        <v>0</v>
      </c>
      <c r="M16" s="67" t="str">
        <f t="shared" si="25"/>
        <v>#DIV/0!</v>
      </c>
      <c r="N16" s="68">
        <f>SUM('Jan 1-15'!N16,'Jan 16-31'!N16,'Feb 1-15'!N16,'Feb 16-29'!N16,'Mar 1-15'!N16,'Mar 16-31'!N16,'Apr 1-15'!N16,'Apr 16-30'!N16,'May 1-15'!N16,'May 16-31'!N16,'Jun 1-15'!N16,'Jun 16-30'!N16)</f>
        <v>0</v>
      </c>
      <c r="O16" s="66">
        <f>SUM('Jan 1-15'!O16,'Jan 16-31'!O16,'Feb 1-15'!O16,'Feb 16-29'!O16,'Mar 1-15'!O16,'Mar 16-31'!O16,'Apr 1-15'!O16,'Apr 16-30'!O16,'May 1-15'!O16,'May 16-31'!O16,'Jun 1-15'!O16,'Jun 16-30'!O16)</f>
        <v>2.8</v>
      </c>
      <c r="P16" s="67">
        <f t="shared" si="26"/>
        <v>3.2</v>
      </c>
      <c r="Q16" s="68">
        <f>SUM('Jan 1-15'!Q16,'Jan 16-31'!Q16,'Feb 1-15'!Q16,'Feb 16-29'!Q16,'Mar 1-15'!Q16,'Mar 16-31'!Q16,'Apr 1-15'!Q16,'Apr 16-30'!Q16,'May 1-15'!Q16,'May 16-31'!Q16,'Jun 1-15'!Q16,'Jun 16-30'!Q16)</f>
        <v>8.96</v>
      </c>
      <c r="R16" s="66">
        <f>SUM('Jan 1-15'!R16,'Jan 16-31'!R16,'Feb 1-15'!R16,'Feb 16-29'!R16,'Mar 1-15'!R16,'Mar 16-31'!R16,'Apr 1-15'!R16,'Apr 16-30'!R16,'May 1-15'!R16,'May 16-31'!R16,'Jun 1-15'!R16,'Jun 16-30'!R16)</f>
        <v>11.3</v>
      </c>
      <c r="S16" s="67">
        <f t="shared" si="27"/>
        <v>4.172566372</v>
      </c>
      <c r="T16" s="68">
        <f>SUM('Jan 1-15'!T16,'Jan 16-31'!T16,'Feb 1-15'!T16,'Feb 16-29'!T16,'Mar 1-15'!T16,'Mar 16-31'!T16,'Apr 1-15'!T16,'Apr 16-30'!T16,'May 1-15'!T16,'May 16-31'!T16,'Jun 1-15'!T16,'Jun 16-30'!T16)</f>
        <v>47.15</v>
      </c>
      <c r="U16" s="66">
        <f>SUM('Jan 1-15'!U16,'Jan 16-31'!U16,'Feb 1-15'!U16,'Feb 16-29'!U16,'Mar 1-15'!U16,'Mar 16-31'!U16,'Apr 1-15'!U16,'Apr 16-30'!U16,'May 1-15'!U16,'May 16-31'!U16,'Jun 1-15'!U16,'Jun 16-30'!U16)</f>
        <v>24</v>
      </c>
      <c r="V16" s="67">
        <f t="shared" si="28"/>
        <v>4.84</v>
      </c>
      <c r="W16" s="68">
        <f>SUM('Jan 1-15'!W16,'Jan 16-31'!W16,'Feb 1-15'!W16,'Feb 16-29'!W16,'Mar 1-15'!W16,'Mar 16-31'!W16,'Apr 1-15'!W16,'Apr 16-30'!W16,'May 1-15'!W16,'May 16-31'!W16,'Jun 1-15'!W16,'Jun 16-30'!W16)</f>
        <v>116.16</v>
      </c>
      <c r="X16" s="66">
        <f>SUM('Jan 1-15'!X16,'Jan 16-31'!X16,'Feb 1-15'!X16,'Feb 16-29'!X16,'Mar 1-15'!X16,'Mar 16-31'!X16,'Apr 1-15'!X16,'Apr 16-30'!X16,'May 1-15'!X16,'May 16-31'!X16,'Jun 1-15'!X16,'Jun 16-30'!X16)</f>
        <v>0</v>
      </c>
      <c r="Y16" s="67" t="str">
        <f t="shared" si="29"/>
        <v>#DIV/0!</v>
      </c>
      <c r="Z16" s="68">
        <f>SUM('Jan 1-15'!Z16,'Jan 16-31'!Z16,'Feb 1-15'!Z16,'Feb 16-29'!Z16,'Mar 1-15'!Z16,'Mar 16-31'!Z16,'Apr 1-15'!Z16,'Apr 16-30'!Z16,'May 1-15'!Z16,'May 16-31'!Z16,'Jun 1-15'!Z16,'Jun 16-30'!Z16)</f>
        <v>0</v>
      </c>
      <c r="AA16" s="69">
        <f>SUM('Jan 1-15'!AA16,'Jan 16-31'!AA16,'Feb 1-15'!AA16,'Feb 16-29'!AA16,'Mar 1-15'!AA16,'Mar 16-31'!AA16,'Apr 1-15'!AA16,'Apr 16-30'!AA16,'May 1-15'!AA16,'May 16-31'!AA16,'Jun 1-15'!AA16,'Jun 16-30'!AA16)</f>
        <v>143.7</v>
      </c>
      <c r="AB16" s="67">
        <f t="shared" si="30"/>
        <v>3.743284621</v>
      </c>
      <c r="AC16" s="75">
        <f>SUM('Jan 1-15'!AC16,'Jan 16-31'!AC16,'Feb 1-15'!AC16,'Feb 16-29'!AC16,'Mar 1-15'!AC16,'Mar 16-31'!AC16,'Apr 1-15'!AC16,'Apr 16-30'!AC16,'May 1-15'!AC16,'May 16-31'!AC16,'Jun 1-15'!AC16,'Jun 16-30'!AC16)</f>
        <v>537.91</v>
      </c>
      <c r="AD16" s="66">
        <f>SUM('Jan 1-15'!AD16,'Jan 16-31'!AD16,'Feb 1-15'!AD16,'Feb 16-29'!AD16,'Mar 1-15'!AD16,'Mar 16-31'!AD16,'Apr 1-15'!AD16,'Apr 16-30'!AD16,'May 1-15'!AD16,'May 16-31'!AD16,'Jun 1-15'!AD16,'Jun 16-30'!AD16)</f>
        <v>0</v>
      </c>
      <c r="AE16" s="67" t="str">
        <f t="shared" si="31"/>
        <v>#DIV/0!</v>
      </c>
      <c r="AF16" s="68">
        <f>SUM('Jan 1-15'!AF16,'Jan 16-31'!AF16,'Feb 1-15'!AF16,'Feb 16-29'!AF16,'Mar 1-15'!AF16,'Mar 16-31'!AF16,'Apr 1-15'!AF16,'Apr 16-30'!AF16,'May 1-15'!AF16,'May 16-31'!AF16,'Jun 1-15'!AF16,'Jun 16-30'!AF16)</f>
        <v>0</v>
      </c>
      <c r="AG16" s="66">
        <f>SUM('Jan 1-15'!AG16,'Jan 16-31'!AG16,'Feb 1-15'!AG16,'Feb 16-29'!AG16,'Mar 1-15'!AG16,'Mar 16-31'!AG16,'Apr 1-15'!AG16,'Apr 16-30'!AG16,'May 1-15'!AG16,'May 16-31'!AG16,'Jun 1-15'!AG16,'Jun 16-30'!AG16)</f>
        <v>20.5</v>
      </c>
      <c r="AH16" s="67">
        <f t="shared" si="32"/>
        <v>3.2</v>
      </c>
      <c r="AI16" s="68">
        <f>SUM('Jan 1-15'!AI16,'Jan 16-31'!AI16,'Feb 1-15'!AI16,'Feb 16-29'!AI16,'Mar 1-15'!AI16,'Mar 16-31'!AI16,'Apr 1-15'!AI16,'Apr 16-30'!AI16,'May 1-15'!AI16,'May 16-31'!AI16,'Jun 1-15'!AI16,'Jun 16-30'!AI16)</f>
        <v>65.6</v>
      </c>
      <c r="AJ16" s="66">
        <f>SUM('Jan 1-15'!AJ16,'Jan 16-31'!AJ16,'Feb 1-15'!AJ16,'Feb 16-29'!AJ16,'Mar 1-15'!AJ16,'Mar 16-31'!AJ16,'Apr 1-15'!AJ16,'Apr 16-30'!AJ16,'May 1-15'!AJ16,'May 16-31'!AJ16,'Jun 1-15'!AJ16,'Jun 16-30'!AJ16)</f>
        <v>0</v>
      </c>
      <c r="AK16" s="67" t="str">
        <f t="shared" si="33"/>
        <v>#DIV/0!</v>
      </c>
      <c r="AL16" s="68">
        <f>SUM('Jan 1-15'!AL16,'Jan 16-31'!AL16,'Feb 1-15'!AL16,'Feb 16-29'!AL16,'Mar 1-15'!AL16,'Mar 16-31'!AL16,'Apr 1-15'!AL16,'Apr 16-30'!AL16,'May 1-15'!AL16,'May 16-31'!AL16,'Jun 1-15'!AL16,'Jun 16-30'!AL16)</f>
        <v>0</v>
      </c>
      <c r="AM16" s="66">
        <f>SUM('Jan 1-15'!AM16,'Jan 16-31'!AM16,'Feb 1-15'!AM16,'Feb 16-29'!AM16,'Mar 1-15'!AM16,'Mar 16-31'!AM16,'Apr 1-15'!AM16,'Apr 16-30'!AM16,'May 1-15'!AM16,'May 16-31'!AM16,'Jun 1-15'!AM16,'Jun 16-30'!AM16)</f>
        <v>0</v>
      </c>
      <c r="AN16" s="67" t="str">
        <f t="shared" si="34"/>
        <v>#DIV/0!</v>
      </c>
      <c r="AO16" s="68">
        <f>SUM('Jan 1-15'!AO16,'Jan 16-31'!AO16,'Feb 1-15'!AO16,'Feb 16-29'!AO16,'Mar 1-15'!AO16,'Mar 16-31'!AO16,'Apr 1-15'!AO16,'Apr 16-30'!AO16,'May 1-15'!AO16,'May 16-31'!AO16,'Jun 1-15'!AO16,'Jun 16-30'!AO16)</f>
        <v>0</v>
      </c>
      <c r="AP16" s="66">
        <f>SUM('Jan 1-15'!AP16,'Jan 16-31'!AP16,'Feb 1-15'!AP16,'Feb 16-29'!AP16,'Mar 1-15'!AP16,'Mar 16-31'!AP16,'Apr 1-15'!AP16,'Apr 16-30'!AP16,'May 1-15'!AP16,'May 16-31'!AP16,'Jun 1-15'!AP16,'Jun 16-30'!AP16)</f>
        <v>0</v>
      </c>
      <c r="AQ16" s="67" t="str">
        <f t="shared" si="35"/>
        <v>#DIV/0!</v>
      </c>
      <c r="AR16" s="68">
        <f>SUM('Jan 1-15'!AR16,'Jan 16-31'!AR16,'Feb 1-15'!AR16,'Feb 16-29'!AR16,'Mar 1-15'!AR16,'Mar 16-31'!AR16,'Apr 1-15'!AR16,'Apr 16-30'!AR16,'May 1-15'!AR16,'May 16-31'!AR16,'Jun 1-15'!AR16,'Jun 16-30'!AR16)</f>
        <v>0</v>
      </c>
      <c r="AS16" s="66">
        <f t="shared" si="46"/>
        <v>188.2</v>
      </c>
      <c r="AT16" s="67">
        <f t="shared" si="36"/>
        <v>3.823963868</v>
      </c>
      <c r="AU16" s="68">
        <f t="shared" si="47"/>
        <v>719.67</v>
      </c>
      <c r="AV16" s="66">
        <f t="shared" si="48"/>
        <v>29.8</v>
      </c>
      <c r="AW16" s="67">
        <f t="shared" si="37"/>
        <v>4.87114094</v>
      </c>
      <c r="AX16" s="71">
        <f t="shared" ref="AX16:AY16" si="60">E16+W16</f>
        <v>145.16</v>
      </c>
      <c r="AY16" s="66">
        <f t="shared" si="60"/>
        <v>0</v>
      </c>
      <c r="AZ16" s="67" t="str">
        <f t="shared" si="39"/>
        <v>#DIV/0!</v>
      </c>
      <c r="BA16" s="72">
        <f t="shared" si="50"/>
        <v>0</v>
      </c>
      <c r="BB16" s="73">
        <f t="shared" si="51"/>
        <v>176.7</v>
      </c>
      <c r="BC16" s="67">
        <f t="shared" si="40"/>
        <v>3.772552349</v>
      </c>
      <c r="BD16" s="71">
        <f t="shared" ref="BD16:BE16" si="61">AL16+AC16+K16</f>
        <v>666.61</v>
      </c>
      <c r="BE16" s="66">
        <f t="shared" si="61"/>
        <v>0</v>
      </c>
      <c r="BF16" s="67" t="str">
        <f t="shared" si="42"/>
        <v>#DIV/0!</v>
      </c>
      <c r="BG16" s="72">
        <f t="shared" ref="BG16:BH16" si="62">AO16+AF16+N16</f>
        <v>0</v>
      </c>
      <c r="BH16" s="66">
        <f t="shared" si="62"/>
        <v>23.3</v>
      </c>
      <c r="BI16" s="67">
        <f t="shared" si="44"/>
        <v>3.2</v>
      </c>
      <c r="BJ16" s="72">
        <f t="shared" si="54"/>
        <v>74.56</v>
      </c>
      <c r="BK16" s="74">
        <f t="shared" si="55"/>
        <v>229.8</v>
      </c>
      <c r="BL16" s="67">
        <f t="shared" si="45"/>
        <v>3.856962576</v>
      </c>
      <c r="BM16" s="75">
        <f t="shared" si="56"/>
        <v>886.33</v>
      </c>
      <c r="BN16" s="76"/>
    </row>
    <row r="17" ht="14.25" customHeight="1">
      <c r="A17" s="65" t="s">
        <v>27</v>
      </c>
      <c r="B17" s="65">
        <f>SUM('Jan 1-15'!B17,'Jan 16-31'!B17,'Feb 1-15'!B17,'Feb 16-29'!B17,'Mar 1-15'!B17,'Mar 16-31'!B17,'Apr 1-15'!B17,'Apr 16-30'!B17,'May 1-15'!B17,'May 16-31'!B17,'Jun 1-15'!B17,'Jun 16-30'!B17)</f>
        <v>27</v>
      </c>
      <c r="C17" s="66">
        <f>SUM('Jan 1-15'!C17,'Jan 16-31'!C17,'Feb 1-15'!C17,'Feb 16-29'!C17,'Mar 1-15'!C17,'Mar 16-31'!C17,'Apr 1-15'!C17,'Apr 16-30'!C17,'May 1-15'!C17,'May 16-31'!C17,'Jun 1-15'!C17,'Jun 16-30'!C17)</f>
        <v>7</v>
      </c>
      <c r="D17" s="67">
        <f t="shared" si="22"/>
        <v>5</v>
      </c>
      <c r="E17" s="68">
        <f>SUM('Jan 1-15'!E17,'Jan 16-31'!E17,'Feb 1-15'!E17,'Feb 16-29'!E17,'Mar 1-15'!E17,'Mar 16-31'!E17,'Apr 1-15'!E17,'Apr 16-30'!E17,'May 1-15'!E17,'May 16-31'!E17,'Jun 1-15'!E17,'Jun 16-30'!E17)</f>
        <v>35</v>
      </c>
      <c r="F17" s="66">
        <f>SUM('Jan 1-15'!F17,'Jan 16-31'!F17,'Feb 1-15'!F17,'Feb 16-29'!F17,'Mar 1-15'!F17,'Mar 16-31'!F17,'Apr 1-15'!F17,'Apr 16-30'!F17,'May 1-15'!F17,'May 16-31'!F17,'Jun 1-15'!F17,'Jun 16-30'!F17)</f>
        <v>0</v>
      </c>
      <c r="G17" s="67" t="str">
        <f t="shared" si="23"/>
        <v>#DIV/0!</v>
      </c>
      <c r="H17" s="68">
        <f>SUM('Jan 1-15'!H17,'Jan 16-31'!H17,'Feb 1-15'!H17,'Feb 16-29'!H17,'Mar 1-15'!H17,'Mar 16-31'!H17,'Apr 1-15'!H17,'Apr 16-30'!H17,'May 1-15'!H17,'May 16-31'!H17,'Jun 1-15'!H17,'Jun 16-30'!H17)</f>
        <v>0</v>
      </c>
      <c r="I17" s="66">
        <f>SUM('Jan 1-15'!I17,'Jan 16-31'!I17,'Feb 1-15'!I17,'Feb 16-29'!I17,'Mar 1-15'!I17,'Mar 16-31'!I17,'Apr 1-15'!I17,'Apr 16-30'!I17,'May 1-15'!I17,'May 16-31'!I17,'Jun 1-15'!I17,'Jun 16-30'!I17)</f>
        <v>18.9</v>
      </c>
      <c r="J17" s="67">
        <f t="shared" si="24"/>
        <v>3.721164021</v>
      </c>
      <c r="K17" s="68">
        <f>SUM('Jan 1-15'!K17,'Jan 16-31'!K17,'Feb 1-15'!K17,'Feb 16-29'!K17,'Mar 1-15'!K17,'Mar 16-31'!K17,'Apr 1-15'!K17,'Apr 16-30'!K17,'May 1-15'!K17,'May 16-31'!K17,'Jun 1-15'!K17,'Jun 16-30'!K17)</f>
        <v>70.33</v>
      </c>
      <c r="L17" s="66">
        <f>SUM('Jan 1-15'!L17,'Jan 16-31'!L17,'Feb 1-15'!L17,'Feb 16-29'!L17,'Mar 1-15'!L17,'Mar 16-31'!L17,'Apr 1-15'!L17,'Apr 16-30'!L17,'May 1-15'!L17,'May 16-31'!L17,'Jun 1-15'!L17,'Jun 16-30'!L17)</f>
        <v>0</v>
      </c>
      <c r="M17" s="67" t="str">
        <f t="shared" si="25"/>
        <v>#DIV/0!</v>
      </c>
      <c r="N17" s="68">
        <f>SUM('Jan 1-15'!N17,'Jan 16-31'!N17,'Feb 1-15'!N17,'Feb 16-29'!N17,'Mar 1-15'!N17,'Mar 16-31'!N17,'Apr 1-15'!N17,'Apr 16-30'!N17,'May 1-15'!N17,'May 16-31'!N17,'Jun 1-15'!N17,'Jun 16-30'!N17)</f>
        <v>0</v>
      </c>
      <c r="O17" s="66">
        <f>SUM('Jan 1-15'!O17,'Jan 16-31'!O17,'Feb 1-15'!O17,'Feb 16-29'!O17,'Mar 1-15'!O17,'Mar 16-31'!O17,'Apr 1-15'!O17,'Apr 16-30'!O17,'May 1-15'!O17,'May 16-31'!O17,'Jun 1-15'!O17,'Jun 16-30'!O17)</f>
        <v>6</v>
      </c>
      <c r="P17" s="67">
        <f t="shared" si="26"/>
        <v>3.2</v>
      </c>
      <c r="Q17" s="68">
        <f>SUM('Jan 1-15'!Q17,'Jan 16-31'!Q17,'Feb 1-15'!Q17,'Feb 16-29'!Q17,'Mar 1-15'!Q17,'Mar 16-31'!Q17,'Apr 1-15'!Q17,'Apr 16-30'!Q17,'May 1-15'!Q17,'May 16-31'!Q17,'Jun 1-15'!Q17,'Jun 16-30'!Q17)</f>
        <v>19.2</v>
      </c>
      <c r="R17" s="66">
        <f>SUM('Jan 1-15'!R17,'Jan 16-31'!R17,'Feb 1-15'!R17,'Feb 16-29'!R17,'Mar 1-15'!R17,'Mar 16-31'!R17,'Apr 1-15'!R17,'Apr 16-30'!R17,'May 1-15'!R17,'May 16-31'!R17,'Jun 1-15'!R17,'Jun 16-30'!R17)</f>
        <v>10.4</v>
      </c>
      <c r="S17" s="67">
        <f t="shared" si="27"/>
        <v>3.738461538</v>
      </c>
      <c r="T17" s="68">
        <f>SUM('Jan 1-15'!T17,'Jan 16-31'!T17,'Feb 1-15'!T17,'Feb 16-29'!T17,'Mar 1-15'!T17,'Mar 16-31'!T17,'Apr 1-15'!T17,'Apr 16-30'!T17,'May 1-15'!T17,'May 16-31'!T17,'Jun 1-15'!T17,'Jun 16-30'!T17)</f>
        <v>38.88</v>
      </c>
      <c r="U17" s="66">
        <f>SUM('Jan 1-15'!U17,'Jan 16-31'!U17,'Feb 1-15'!U17,'Feb 16-29'!U17,'Mar 1-15'!U17,'Mar 16-31'!U17,'Apr 1-15'!U17,'Apr 16-30'!U17,'May 1-15'!U17,'May 16-31'!U17,'Jun 1-15'!U17,'Jun 16-30'!U17)</f>
        <v>0</v>
      </c>
      <c r="V17" s="67" t="str">
        <f t="shared" si="28"/>
        <v>#DIV/0!</v>
      </c>
      <c r="W17" s="68">
        <f>SUM('Jan 1-15'!W17,'Jan 16-31'!W17,'Feb 1-15'!W17,'Feb 16-29'!W17,'Mar 1-15'!W17,'Mar 16-31'!W17,'Apr 1-15'!W17,'Apr 16-30'!W17,'May 1-15'!W17,'May 16-31'!W17,'Jun 1-15'!W17,'Jun 16-30'!W17)</f>
        <v>0</v>
      </c>
      <c r="X17" s="66">
        <f>SUM('Jan 1-15'!X17,'Jan 16-31'!X17,'Feb 1-15'!X17,'Feb 16-29'!X17,'Mar 1-15'!X17,'Mar 16-31'!X17,'Apr 1-15'!X17,'Apr 16-30'!X17,'May 1-15'!X17,'May 16-31'!X17,'Jun 1-15'!X17,'Jun 16-30'!X17)</f>
        <v>0</v>
      </c>
      <c r="Y17" s="67" t="str">
        <f t="shared" si="29"/>
        <v>#DIV/0!</v>
      </c>
      <c r="Z17" s="68">
        <f>SUM('Jan 1-15'!Z17,'Jan 16-31'!Z17,'Feb 1-15'!Z17,'Feb 16-29'!Z17,'Mar 1-15'!Z17,'Mar 16-31'!Z17,'Apr 1-15'!Z17,'Apr 16-30'!Z17,'May 1-15'!Z17,'May 16-31'!Z17,'Jun 1-15'!Z17,'Jun 16-30'!Z17)</f>
        <v>0</v>
      </c>
      <c r="AA17" s="66">
        <f>SUM('Jan 1-15'!AA17,'Jan 16-31'!AA17,'Feb 1-15'!AA17,'Feb 16-29'!AA17,'Mar 1-15'!AA17,'Mar 16-31'!AA17,'Apr 1-15'!AA17,'Apr 16-30'!AA17,'May 1-15'!AA17,'May 16-31'!AA17,'Jun 1-15'!AA17,'Jun 16-30'!AA17)</f>
        <v>22.2</v>
      </c>
      <c r="AB17" s="67">
        <f t="shared" si="30"/>
        <v>3.9</v>
      </c>
      <c r="AC17" s="68">
        <f>SUM('Jan 1-15'!AC17,'Jan 16-31'!AC17,'Feb 1-15'!AC17,'Feb 16-29'!AC17,'Mar 1-15'!AC17,'Mar 16-31'!AC17,'Apr 1-15'!AC17,'Apr 16-30'!AC17,'May 1-15'!AC17,'May 16-31'!AC17,'Jun 1-15'!AC17,'Jun 16-30'!AC17)</f>
        <v>86.58</v>
      </c>
      <c r="AD17" s="77">
        <f>SUM('Jan 1-15'!AD17,'Jan 16-31'!AD17,'Feb 1-15'!AD17,'Feb 16-29'!AD17,'Mar 1-15'!AD17,'Mar 16-31'!AD17,'Apr 1-15'!AD17,'Apr 16-30'!AD17,'May 1-15'!AD17,'May 16-31'!AD17,'Jun 1-15'!AD17,'Jun 16-30'!AD17)</f>
        <v>0</v>
      </c>
      <c r="AE17" s="67" t="str">
        <f t="shared" si="31"/>
        <v>#DIV/0!</v>
      </c>
      <c r="AF17" s="75">
        <f>SUM('Jan 1-15'!AF17,'Jan 16-31'!AF17,'Feb 1-15'!AF17,'Feb 16-29'!AF17,'Mar 1-15'!AF17,'Mar 16-31'!AF17,'Apr 1-15'!AF17,'Apr 16-30'!AF17,'May 1-15'!AF17,'May 16-31'!AF17,'Jun 1-15'!AF17,'Jun 16-30'!AF17)</f>
        <v>0</v>
      </c>
      <c r="AG17" s="66">
        <f>SUM('Jan 1-15'!AG17,'Jan 16-31'!AG17,'Feb 1-15'!AG17,'Feb 16-29'!AG17,'Mar 1-15'!AG17,'Mar 16-31'!AG17,'Apr 1-15'!AG17,'Apr 16-30'!AG17,'May 1-15'!AG17,'May 16-31'!AG17,'Jun 1-15'!AG17,'Jun 16-30'!AG17)</f>
        <v>2.9</v>
      </c>
      <c r="AH17" s="67">
        <f t="shared" si="32"/>
        <v>3.2</v>
      </c>
      <c r="AI17" s="68">
        <f>SUM('Jan 1-15'!AI17,'Jan 16-31'!AI17,'Feb 1-15'!AI17,'Feb 16-29'!AI17,'Mar 1-15'!AI17,'Mar 16-31'!AI17,'Apr 1-15'!AI17,'Apr 16-30'!AI17,'May 1-15'!AI17,'May 16-31'!AI17,'Jun 1-15'!AI17,'Jun 16-30'!AI17)</f>
        <v>9.28</v>
      </c>
      <c r="AJ17" s="66">
        <f>SUM('Jan 1-15'!AJ17,'Jan 16-31'!AJ17,'Feb 1-15'!AJ17,'Feb 16-29'!AJ17,'Mar 1-15'!AJ17,'Mar 16-31'!AJ17,'Apr 1-15'!AJ17,'Apr 16-30'!AJ17,'May 1-15'!AJ17,'May 16-31'!AJ17,'Jun 1-15'!AJ17,'Jun 16-30'!AJ17)</f>
        <v>0</v>
      </c>
      <c r="AK17" s="67" t="str">
        <f t="shared" si="33"/>
        <v>#DIV/0!</v>
      </c>
      <c r="AL17" s="68">
        <f>SUM('Jan 1-15'!AL17,'Jan 16-31'!AL17,'Feb 1-15'!AL17,'Feb 16-29'!AL17,'Mar 1-15'!AL17,'Mar 16-31'!AL17,'Apr 1-15'!AL17,'Apr 16-30'!AL17,'May 1-15'!AL17,'May 16-31'!AL17,'Jun 1-15'!AL17,'Jun 16-30'!AL17)</f>
        <v>0</v>
      </c>
      <c r="AM17" s="66">
        <f>SUM('Jan 1-15'!AM17,'Jan 16-31'!AM17,'Feb 1-15'!AM17,'Feb 16-29'!AM17,'Mar 1-15'!AM17,'Mar 16-31'!AM17,'Apr 1-15'!AM17,'Apr 16-30'!AM17,'May 1-15'!AM17,'May 16-31'!AM17,'Jun 1-15'!AM17,'Jun 16-30'!AM17)</f>
        <v>0</v>
      </c>
      <c r="AN17" s="67" t="str">
        <f t="shared" si="34"/>
        <v>#DIV/0!</v>
      </c>
      <c r="AO17" s="68">
        <f>SUM('Jan 1-15'!AO17,'Jan 16-31'!AO17,'Feb 1-15'!AO17,'Feb 16-29'!AO17,'Mar 1-15'!AO17,'Mar 16-31'!AO17,'Apr 1-15'!AO17,'Apr 16-30'!AO17,'May 1-15'!AO17,'May 16-31'!AO17,'Jun 1-15'!AO17,'Jun 16-30'!AO17)</f>
        <v>0</v>
      </c>
      <c r="AP17" s="66">
        <f>SUM('Jan 1-15'!AP17,'Jan 16-31'!AP17,'Feb 1-15'!AP17,'Feb 16-29'!AP17,'Mar 1-15'!AP17,'Mar 16-31'!AP17,'Apr 1-15'!AP17,'Apr 16-30'!AP17,'May 1-15'!AP17,'May 16-31'!AP17,'Jun 1-15'!AP17,'Jun 16-30'!AP17)</f>
        <v>0</v>
      </c>
      <c r="AQ17" s="67" t="str">
        <f t="shared" si="35"/>
        <v>#DIV/0!</v>
      </c>
      <c r="AR17" s="68">
        <f>SUM('Jan 1-15'!AR17,'Jan 16-31'!AR17,'Feb 1-15'!AR17,'Feb 16-29'!AR17,'Mar 1-15'!AR17,'Mar 16-31'!AR17,'Apr 1-15'!AR17,'Apr 16-30'!AR17,'May 1-15'!AR17,'May 16-31'!AR17,'Jun 1-15'!AR17,'Jun 16-30'!AR17)</f>
        <v>0</v>
      </c>
      <c r="AS17" s="66">
        <f t="shared" si="46"/>
        <v>25.1</v>
      </c>
      <c r="AT17" s="67">
        <f t="shared" si="36"/>
        <v>3.819123506</v>
      </c>
      <c r="AU17" s="68">
        <f t="shared" si="47"/>
        <v>95.86</v>
      </c>
      <c r="AV17" s="66">
        <f t="shared" si="48"/>
        <v>7</v>
      </c>
      <c r="AW17" s="67">
        <f t="shared" si="37"/>
        <v>5</v>
      </c>
      <c r="AX17" s="71">
        <f t="shared" ref="AX17:AY17" si="63">E17+W17</f>
        <v>35</v>
      </c>
      <c r="AY17" s="66">
        <f t="shared" si="63"/>
        <v>0</v>
      </c>
      <c r="AZ17" s="67" t="str">
        <f t="shared" si="39"/>
        <v>#DIV/0!</v>
      </c>
      <c r="BA17" s="72">
        <f t="shared" si="50"/>
        <v>0</v>
      </c>
      <c r="BB17" s="73">
        <f t="shared" si="51"/>
        <v>41.1</v>
      </c>
      <c r="BC17" s="67">
        <f t="shared" si="40"/>
        <v>3.817761557</v>
      </c>
      <c r="BD17" s="71">
        <f t="shared" ref="BD17:BE17" si="64">AL17+AC17+K17</f>
        <v>156.91</v>
      </c>
      <c r="BE17" s="66">
        <f t="shared" si="64"/>
        <v>0</v>
      </c>
      <c r="BF17" s="67" t="str">
        <f t="shared" si="42"/>
        <v>#DIV/0!</v>
      </c>
      <c r="BG17" s="72">
        <f t="shared" ref="BG17:BH17" si="65">AO17+AF17+N17</f>
        <v>0</v>
      </c>
      <c r="BH17" s="66">
        <f t="shared" si="65"/>
        <v>8.9</v>
      </c>
      <c r="BI17" s="67">
        <f t="shared" si="44"/>
        <v>3.2</v>
      </c>
      <c r="BJ17" s="72">
        <f t="shared" si="54"/>
        <v>28.48</v>
      </c>
      <c r="BK17" s="73">
        <f t="shared" si="55"/>
        <v>57</v>
      </c>
      <c r="BL17" s="67">
        <f t="shared" si="45"/>
        <v>3.866491228</v>
      </c>
      <c r="BM17" s="68">
        <f t="shared" si="56"/>
        <v>220.39</v>
      </c>
      <c r="BN17" s="76"/>
    </row>
    <row r="18" ht="14.25" customHeight="1">
      <c r="A18" s="65" t="s">
        <v>28</v>
      </c>
      <c r="B18" s="65">
        <f>SUM('Jan 1-15'!B18,'Jan 16-31'!B18,'Feb 1-15'!B18,'Feb 16-29'!B18,'Mar 1-15'!B18,'Mar 16-31'!B18,'Apr 1-15'!B18,'Apr 16-30'!B18,'May 1-15'!B18,'May 16-31'!B18,'Jun 1-15'!B18,'Jun 16-30'!B18)</f>
        <v>171</v>
      </c>
      <c r="C18" s="66">
        <f>SUM('Jan 1-15'!C18,'Jan 16-31'!C18,'Feb 1-15'!C18,'Feb 16-29'!C18,'Mar 1-15'!C18,'Mar 16-31'!C18,'Apr 1-15'!C18,'Apr 16-30'!C18,'May 1-15'!C18,'May 16-31'!C18,'Jun 1-15'!C18,'Jun 16-30'!C18)</f>
        <v>11.3</v>
      </c>
      <c r="D18" s="67">
        <f t="shared" si="22"/>
        <v>4.991150442</v>
      </c>
      <c r="E18" s="68">
        <f>SUM('Jan 1-15'!E18,'Jan 16-31'!E18,'Feb 1-15'!E18,'Feb 16-29'!E18,'Mar 1-15'!E18,'Mar 16-31'!E18,'Apr 1-15'!E18,'Apr 16-30'!E18,'May 1-15'!E18,'May 16-31'!E18,'Jun 1-15'!E18,'Jun 16-30'!E18)</f>
        <v>56.4</v>
      </c>
      <c r="F18" s="66">
        <f>SUM('Jan 1-15'!F18,'Jan 16-31'!F18,'Feb 1-15'!F18,'Feb 16-29'!F18,'Mar 1-15'!F18,'Mar 16-31'!F18,'Apr 1-15'!F18,'Apr 16-30'!F18,'May 1-15'!F18,'May 16-31'!F18,'Jun 1-15'!F18,'Jun 16-30'!F18)</f>
        <v>0</v>
      </c>
      <c r="G18" s="67" t="str">
        <f t="shared" si="23"/>
        <v>#DIV/0!</v>
      </c>
      <c r="H18" s="68">
        <f>SUM('Jan 1-15'!H18,'Jan 16-31'!H18,'Feb 1-15'!H18,'Feb 16-29'!H18,'Mar 1-15'!H18,'Mar 16-31'!H18,'Apr 1-15'!H18,'Apr 16-30'!H18,'May 1-15'!H18,'May 16-31'!H18,'Jun 1-15'!H18,'Jun 16-30'!H18)</f>
        <v>0</v>
      </c>
      <c r="I18" s="66">
        <f>SUM('Jan 1-15'!I18,'Jan 16-31'!I18,'Feb 1-15'!I18,'Feb 16-29'!I18,'Mar 1-15'!I18,'Mar 16-31'!I18,'Apr 1-15'!I18,'Apr 16-30'!I18,'May 1-15'!I18,'May 16-31'!I18,'Jun 1-15'!I18,'Jun 16-30'!I18)</f>
        <v>134.2</v>
      </c>
      <c r="J18" s="67">
        <f t="shared" si="24"/>
        <v>3.967883756</v>
      </c>
      <c r="K18" s="68">
        <f>SUM('Jan 1-15'!K18,'Jan 16-31'!K18,'Feb 1-15'!K18,'Feb 16-29'!K18,'Mar 1-15'!K18,'Mar 16-31'!K18,'Apr 1-15'!K18,'Apr 16-30'!K18,'May 1-15'!K18,'May 16-31'!K18,'Jun 1-15'!K18,'Jun 16-30'!K18)</f>
        <v>532.49</v>
      </c>
      <c r="L18" s="66">
        <f>SUM('Jan 1-15'!L18,'Jan 16-31'!L18,'Feb 1-15'!L18,'Feb 16-29'!L18,'Mar 1-15'!L18,'Mar 16-31'!L18,'Apr 1-15'!L18,'Apr 16-30'!L18,'May 1-15'!L18,'May 16-31'!L18,'Jun 1-15'!L18,'Jun 16-30'!L18)</f>
        <v>0</v>
      </c>
      <c r="M18" s="67" t="str">
        <f t="shared" si="25"/>
        <v>#DIV/0!</v>
      </c>
      <c r="N18" s="68">
        <f>SUM('Jan 1-15'!N18,'Jan 16-31'!N18,'Feb 1-15'!N18,'Feb 16-29'!N18,'Mar 1-15'!N18,'Mar 16-31'!N18,'Apr 1-15'!N18,'Apr 16-30'!N18,'May 1-15'!N18,'May 16-31'!N18,'Jun 1-15'!N18,'Jun 16-30'!N18)</f>
        <v>0</v>
      </c>
      <c r="O18" s="66">
        <f>SUM('Jan 1-15'!O18,'Jan 16-31'!O18,'Feb 1-15'!O18,'Feb 16-29'!O18,'Mar 1-15'!O18,'Mar 16-31'!O18,'Apr 1-15'!O18,'Apr 16-30'!O18,'May 1-15'!O18,'May 16-31'!O18,'Jun 1-15'!O18,'Jun 16-30'!O18)</f>
        <v>38.5</v>
      </c>
      <c r="P18" s="67">
        <f t="shared" si="26"/>
        <v>3.071168831</v>
      </c>
      <c r="Q18" s="68">
        <f>SUM('Jan 1-15'!Q18,'Jan 16-31'!Q18,'Feb 1-15'!Q18,'Feb 16-29'!Q18,'Mar 1-15'!Q18,'Mar 16-31'!Q18,'Apr 1-15'!Q18,'Apr 16-30'!Q18,'May 1-15'!Q18,'May 16-31'!Q18,'Jun 1-15'!Q18,'Jun 16-30'!Q18)</f>
        <v>118.24</v>
      </c>
      <c r="R18" s="66">
        <f>SUM('Jan 1-15'!R18,'Jan 16-31'!R18,'Feb 1-15'!R18,'Feb 16-29'!R18,'Mar 1-15'!R18,'Mar 16-31'!R18,'Apr 1-15'!R18,'Apr 16-30'!R18,'May 1-15'!R18,'May 16-31'!R18,'Jun 1-15'!R18,'Jun 16-30'!R18)</f>
        <v>55.1</v>
      </c>
      <c r="S18" s="67">
        <f t="shared" si="27"/>
        <v>3.778402904</v>
      </c>
      <c r="T18" s="68">
        <f>SUM('Jan 1-15'!T18,'Jan 16-31'!T18,'Feb 1-15'!T18,'Feb 16-29'!T18,'Mar 1-15'!T18,'Mar 16-31'!T18,'Apr 1-15'!T18,'Apr 16-30'!T18,'May 1-15'!T18,'May 16-31'!T18,'Jun 1-15'!T18,'Jun 16-30'!T18)</f>
        <v>208.19</v>
      </c>
      <c r="U18" s="66">
        <f>SUM('Jan 1-15'!U18,'Jan 16-31'!U18,'Feb 1-15'!U18,'Feb 16-29'!U18,'Mar 1-15'!U18,'Mar 16-31'!U18,'Apr 1-15'!U18,'Apr 16-30'!U18,'May 1-15'!U18,'May 16-31'!U18,'Jun 1-15'!U18,'Jun 16-30'!U18)</f>
        <v>15</v>
      </c>
      <c r="V18" s="67">
        <f t="shared" si="28"/>
        <v>4.78</v>
      </c>
      <c r="W18" s="68">
        <f>SUM('Jan 1-15'!W18,'Jan 16-31'!W18,'Feb 1-15'!W18,'Feb 16-29'!W18,'Mar 1-15'!W18,'Mar 16-31'!W18,'Apr 1-15'!W18,'Apr 16-30'!W18,'May 1-15'!W18,'May 16-31'!W18,'Jun 1-15'!W18,'Jun 16-30'!W18)</f>
        <v>71.7</v>
      </c>
      <c r="X18" s="66">
        <f>SUM('Jan 1-15'!X18,'Jan 16-31'!X18,'Feb 1-15'!X18,'Feb 16-29'!X18,'Mar 1-15'!X18,'Mar 16-31'!X18,'Apr 1-15'!X18,'Apr 16-30'!X18,'May 1-15'!X18,'May 16-31'!X18,'Jun 1-15'!X18,'Jun 16-30'!X18)</f>
        <v>0</v>
      </c>
      <c r="Y18" s="67" t="str">
        <f t="shared" si="29"/>
        <v>#DIV/0!</v>
      </c>
      <c r="Z18" s="68">
        <f>SUM('Jan 1-15'!Z18,'Jan 16-31'!Z18,'Feb 1-15'!Z18,'Feb 16-29'!Z18,'Mar 1-15'!Z18,'Mar 16-31'!Z18,'Apr 1-15'!Z18,'Apr 16-30'!Z18,'May 1-15'!Z18,'May 16-31'!Z18,'Jun 1-15'!Z18,'Jun 16-30'!Z18)</f>
        <v>0</v>
      </c>
      <c r="AA18" s="69">
        <f>SUM('Jan 1-15'!AA18,'Jan 16-31'!AA18,'Feb 1-15'!AA18,'Feb 16-29'!AA18,'Mar 1-15'!AA18,'Mar 16-31'!AA18,'Apr 1-15'!AA18,'Apr 16-30'!AA18,'May 1-15'!AA18,'May 16-31'!AA18,'Jun 1-15'!AA18,'Jun 16-30'!AA18)</f>
        <v>47.5</v>
      </c>
      <c r="AB18" s="67">
        <f t="shared" si="30"/>
        <v>3.774526316</v>
      </c>
      <c r="AC18" s="75">
        <f>SUM('Jan 1-15'!AC18,'Jan 16-31'!AC18,'Feb 1-15'!AC18,'Feb 16-29'!AC18,'Mar 1-15'!AC18,'Mar 16-31'!AC18,'Apr 1-15'!AC18,'Apr 16-30'!AC18,'May 1-15'!AC18,'May 16-31'!AC18,'Jun 1-15'!AC18,'Jun 16-30'!AC18)</f>
        <v>179.29</v>
      </c>
      <c r="AD18" s="66">
        <f>SUM('Jan 1-15'!AD18,'Jan 16-31'!AD18,'Feb 1-15'!AD18,'Feb 16-29'!AD18,'Mar 1-15'!AD18,'Mar 16-31'!AD18,'Apr 1-15'!AD18,'Apr 16-30'!AD18,'May 1-15'!AD18,'May 16-31'!AD18,'Jun 1-15'!AD18,'Jun 16-30'!AD18)</f>
        <v>0</v>
      </c>
      <c r="AE18" s="67" t="str">
        <f t="shared" si="31"/>
        <v>#DIV/0!</v>
      </c>
      <c r="AF18" s="68">
        <f>SUM('Jan 1-15'!AF18,'Jan 16-31'!AF18,'Feb 1-15'!AF18,'Feb 16-29'!AF18,'Mar 1-15'!AF18,'Mar 16-31'!AF18,'Apr 1-15'!AF18,'Apr 16-30'!AF18,'May 1-15'!AF18,'May 16-31'!AF18,'Jun 1-15'!AF18,'Jun 16-30'!AF18)</f>
        <v>0</v>
      </c>
      <c r="AG18" s="66">
        <f>SUM('Jan 1-15'!AG18,'Jan 16-31'!AG18,'Feb 1-15'!AG18,'Feb 16-29'!AG18,'Mar 1-15'!AG18,'Mar 16-31'!AG18,'Apr 1-15'!AG18,'Apr 16-30'!AG18,'May 1-15'!AG18,'May 16-31'!AG18,'Jun 1-15'!AG18,'Jun 16-30'!AG18)</f>
        <v>35.5</v>
      </c>
      <c r="AH18" s="67">
        <f t="shared" si="32"/>
        <v>3.107605634</v>
      </c>
      <c r="AI18" s="68">
        <f>SUM('Jan 1-15'!AI18,'Jan 16-31'!AI18,'Feb 1-15'!AI18,'Feb 16-29'!AI18,'Mar 1-15'!AI18,'Mar 16-31'!AI18,'Apr 1-15'!AI18,'Apr 16-30'!AI18,'May 1-15'!AI18,'May 16-31'!AI18,'Jun 1-15'!AI18,'Jun 16-30'!AI18)</f>
        <v>110.32</v>
      </c>
      <c r="AJ18" s="66">
        <f>SUM('Jan 1-15'!AJ18,'Jan 16-31'!AJ18,'Feb 1-15'!AJ18,'Feb 16-29'!AJ18,'Mar 1-15'!AJ18,'Mar 16-31'!AJ18,'Apr 1-15'!AJ18,'Apr 16-30'!AJ18,'May 1-15'!AJ18,'May 16-31'!AJ18,'Jun 1-15'!AJ18,'Jun 16-30'!AJ18)</f>
        <v>0</v>
      </c>
      <c r="AK18" s="67" t="str">
        <f t="shared" si="33"/>
        <v>#DIV/0!</v>
      </c>
      <c r="AL18" s="68">
        <f>SUM('Jan 1-15'!AL18,'Jan 16-31'!AL18,'Feb 1-15'!AL18,'Feb 16-29'!AL18,'Mar 1-15'!AL18,'Mar 16-31'!AL18,'Apr 1-15'!AL18,'Apr 16-30'!AL18,'May 1-15'!AL18,'May 16-31'!AL18,'Jun 1-15'!AL18,'Jun 16-30'!AL18)</f>
        <v>0</v>
      </c>
      <c r="AM18" s="66">
        <f>SUM('Jan 1-15'!AM18,'Jan 16-31'!AM18,'Feb 1-15'!AM18,'Feb 16-29'!AM18,'Mar 1-15'!AM18,'Mar 16-31'!AM18,'Apr 1-15'!AM18,'Apr 16-30'!AM18,'May 1-15'!AM18,'May 16-31'!AM18,'Jun 1-15'!AM18,'Jun 16-30'!AM18)</f>
        <v>0</v>
      </c>
      <c r="AN18" s="67" t="str">
        <f t="shared" si="34"/>
        <v>#DIV/0!</v>
      </c>
      <c r="AO18" s="68">
        <f>SUM('Jan 1-15'!AO18,'Jan 16-31'!AO18,'Feb 1-15'!AO18,'Feb 16-29'!AO18,'Mar 1-15'!AO18,'Mar 16-31'!AO18,'Apr 1-15'!AO18,'Apr 16-30'!AO18,'May 1-15'!AO18,'May 16-31'!AO18,'Jun 1-15'!AO18,'Jun 16-30'!AO18)</f>
        <v>0</v>
      </c>
      <c r="AP18" s="66">
        <f>SUM('Jan 1-15'!AP18,'Jan 16-31'!AP18,'Feb 1-15'!AP18,'Feb 16-29'!AP18,'Mar 1-15'!AP18,'Mar 16-31'!AP18,'Apr 1-15'!AP18,'Apr 16-30'!AP18,'May 1-15'!AP18,'May 16-31'!AP18,'Jun 1-15'!AP18,'Jun 16-30'!AP18)</f>
        <v>0</v>
      </c>
      <c r="AQ18" s="67" t="str">
        <f t="shared" si="35"/>
        <v>#DIV/0!</v>
      </c>
      <c r="AR18" s="68">
        <f>SUM('Jan 1-15'!AR18,'Jan 16-31'!AR18,'Feb 1-15'!AR18,'Feb 16-29'!AR18,'Mar 1-15'!AR18,'Mar 16-31'!AR18,'Apr 1-15'!AR18,'Apr 16-30'!AR18,'May 1-15'!AR18,'May 16-31'!AR18,'Jun 1-15'!AR18,'Jun 16-30'!AR18)</f>
        <v>0</v>
      </c>
      <c r="AS18" s="66">
        <f t="shared" si="46"/>
        <v>98</v>
      </c>
      <c r="AT18" s="67">
        <f t="shared" si="36"/>
        <v>3.686836735</v>
      </c>
      <c r="AU18" s="68">
        <f t="shared" si="47"/>
        <v>361.31</v>
      </c>
      <c r="AV18" s="66">
        <f t="shared" si="48"/>
        <v>26.3</v>
      </c>
      <c r="AW18" s="67">
        <f t="shared" si="37"/>
        <v>4.870722433</v>
      </c>
      <c r="AX18" s="71">
        <f t="shared" ref="AX18:AY18" si="66">E18+W18</f>
        <v>128.1</v>
      </c>
      <c r="AY18" s="66">
        <f t="shared" si="66"/>
        <v>0</v>
      </c>
      <c r="AZ18" s="67" t="str">
        <f t="shared" si="39"/>
        <v>#DIV/0!</v>
      </c>
      <c r="BA18" s="72">
        <f t="shared" si="50"/>
        <v>0</v>
      </c>
      <c r="BB18" s="73">
        <f t="shared" si="51"/>
        <v>181.7</v>
      </c>
      <c r="BC18" s="67">
        <f t="shared" si="40"/>
        <v>3.917336269</v>
      </c>
      <c r="BD18" s="71">
        <f t="shared" ref="BD18:BE18" si="67">AL18+AC18+K18</f>
        <v>711.78</v>
      </c>
      <c r="BE18" s="66">
        <f t="shared" si="67"/>
        <v>0</v>
      </c>
      <c r="BF18" s="67" t="str">
        <f t="shared" si="42"/>
        <v>#DIV/0!</v>
      </c>
      <c r="BG18" s="72">
        <f t="shared" ref="BG18:BH18" si="68">AO18+AF18+N18</f>
        <v>0</v>
      </c>
      <c r="BH18" s="66">
        <f t="shared" si="68"/>
        <v>74</v>
      </c>
      <c r="BI18" s="67">
        <f t="shared" si="44"/>
        <v>3.088648649</v>
      </c>
      <c r="BJ18" s="72">
        <f t="shared" si="54"/>
        <v>228.56</v>
      </c>
      <c r="BK18" s="74">
        <f t="shared" si="55"/>
        <v>282</v>
      </c>
      <c r="BL18" s="67">
        <f t="shared" si="45"/>
        <v>3.788794326</v>
      </c>
      <c r="BM18" s="75">
        <f t="shared" si="56"/>
        <v>1068.44</v>
      </c>
      <c r="BN18" s="76"/>
    </row>
    <row r="19" ht="14.25" customHeight="1">
      <c r="A19" s="65" t="s">
        <v>29</v>
      </c>
      <c r="B19" s="65">
        <f>SUM('Jan 1-15'!B19,'Jan 16-31'!B19,'Feb 1-15'!B19,'Feb 16-29'!B19,'Mar 1-15'!B19,'Mar 16-31'!B19,'Apr 1-15'!B19,'Apr 16-30'!B19,'May 1-15'!B19,'May 16-31'!B19,'Jun 1-15'!B19,'Jun 16-30'!B19)</f>
        <v>27</v>
      </c>
      <c r="C19" s="66">
        <f>SUM('Jan 1-15'!C19,'Jan 16-31'!C19,'Feb 1-15'!C19,'Feb 16-29'!C19,'Mar 1-15'!C19,'Mar 16-31'!C19,'Apr 1-15'!C19,'Apr 16-30'!C19,'May 1-15'!C19,'May 16-31'!C19,'Jun 1-15'!C19,'Jun 16-30'!C19)</f>
        <v>0</v>
      </c>
      <c r="D19" s="67" t="str">
        <f t="shared" si="22"/>
        <v>#DIV/0!</v>
      </c>
      <c r="E19" s="68">
        <f>SUM('Jan 1-15'!E19,'Jan 16-31'!E19,'Feb 1-15'!E19,'Feb 16-29'!E19,'Mar 1-15'!E19,'Mar 16-31'!E19,'Apr 1-15'!E19,'Apr 16-30'!E19,'May 1-15'!E19,'May 16-31'!E19,'Jun 1-15'!E19,'Jun 16-30'!E19)</f>
        <v>0</v>
      </c>
      <c r="F19" s="66">
        <f>SUM('Jan 1-15'!F19,'Jan 16-31'!F19,'Feb 1-15'!F19,'Feb 16-29'!F19,'Mar 1-15'!F19,'Mar 16-31'!F19,'Apr 1-15'!F19,'Apr 16-30'!F19,'May 1-15'!F19,'May 16-31'!F19,'Jun 1-15'!F19,'Jun 16-30'!F19)</f>
        <v>0</v>
      </c>
      <c r="G19" s="67" t="str">
        <f t="shared" si="23"/>
        <v>#DIV/0!</v>
      </c>
      <c r="H19" s="68">
        <f>SUM('Jan 1-15'!H19,'Jan 16-31'!H19,'Feb 1-15'!H19,'Feb 16-29'!H19,'Mar 1-15'!H19,'Mar 16-31'!H19,'Apr 1-15'!H19,'Apr 16-30'!H19,'May 1-15'!H19,'May 16-31'!H19,'Jun 1-15'!H19,'Jun 16-30'!H19)</f>
        <v>0</v>
      </c>
      <c r="I19" s="66">
        <f>SUM('Jan 1-15'!I19,'Jan 16-31'!I19,'Feb 1-15'!I19,'Feb 16-29'!I19,'Mar 1-15'!I19,'Mar 16-31'!I19,'Apr 1-15'!I19,'Apr 16-30'!I19,'May 1-15'!I19,'May 16-31'!I19,'Jun 1-15'!I19,'Jun 16-30'!I19)</f>
        <v>0</v>
      </c>
      <c r="J19" s="67" t="str">
        <f t="shared" si="24"/>
        <v>#DIV/0!</v>
      </c>
      <c r="K19" s="68">
        <f>SUM('Jan 1-15'!K19,'Jan 16-31'!K19,'Feb 1-15'!K19,'Feb 16-29'!K19,'Mar 1-15'!K19,'Mar 16-31'!K19,'Apr 1-15'!K19,'Apr 16-30'!K19,'May 1-15'!K19,'May 16-31'!K19,'Jun 1-15'!K19,'Jun 16-30'!K19)</f>
        <v>0</v>
      </c>
      <c r="L19" s="66">
        <f>SUM('Jan 1-15'!L19,'Jan 16-31'!L19,'Feb 1-15'!L19,'Feb 16-29'!L19,'Mar 1-15'!L19,'Mar 16-31'!L19,'Apr 1-15'!L19,'Apr 16-30'!L19,'May 1-15'!L19,'May 16-31'!L19,'Jun 1-15'!L19,'Jun 16-30'!L19)</f>
        <v>0</v>
      </c>
      <c r="M19" s="67" t="str">
        <f t="shared" si="25"/>
        <v>#DIV/0!</v>
      </c>
      <c r="N19" s="68">
        <f>SUM('Jan 1-15'!N19,'Jan 16-31'!N19,'Feb 1-15'!N19,'Feb 16-29'!N19,'Mar 1-15'!N19,'Mar 16-31'!N19,'Apr 1-15'!N19,'Apr 16-30'!N19,'May 1-15'!N19,'May 16-31'!N19,'Jun 1-15'!N19,'Jun 16-30'!N19)</f>
        <v>0</v>
      </c>
      <c r="O19" s="66">
        <f>SUM('Jan 1-15'!O19,'Jan 16-31'!O19,'Feb 1-15'!O19,'Feb 16-29'!O19,'Mar 1-15'!O19,'Mar 16-31'!O19,'Apr 1-15'!O19,'Apr 16-30'!O19,'May 1-15'!O19,'May 16-31'!O19,'Jun 1-15'!O19,'Jun 16-30'!O19)</f>
        <v>0</v>
      </c>
      <c r="P19" s="67" t="str">
        <f t="shared" si="26"/>
        <v>#DIV/0!</v>
      </c>
      <c r="Q19" s="68">
        <f>SUM('Jan 1-15'!Q19,'Jan 16-31'!Q19,'Feb 1-15'!Q19,'Feb 16-29'!Q19,'Mar 1-15'!Q19,'Mar 16-31'!Q19,'Apr 1-15'!Q19,'Apr 16-30'!Q19,'May 1-15'!Q19,'May 16-31'!Q19,'Jun 1-15'!Q19,'Jun 16-30'!Q19)</f>
        <v>0</v>
      </c>
      <c r="R19" s="66">
        <f>SUM('Jan 1-15'!R19,'Jan 16-31'!R19,'Feb 1-15'!R19,'Feb 16-29'!R19,'Mar 1-15'!R19,'Mar 16-31'!R19,'Apr 1-15'!R19,'Apr 16-30'!R19,'May 1-15'!R19,'May 16-31'!R19,'Jun 1-15'!R19,'Jun 16-30'!R19)</f>
        <v>0</v>
      </c>
      <c r="S19" s="67" t="str">
        <f t="shared" si="27"/>
        <v>#DIV/0!</v>
      </c>
      <c r="T19" s="68">
        <f>SUM('Jan 1-15'!T19,'Jan 16-31'!T19,'Feb 1-15'!T19,'Feb 16-29'!T19,'Mar 1-15'!T19,'Mar 16-31'!T19,'Apr 1-15'!T19,'Apr 16-30'!T19,'May 1-15'!T19,'May 16-31'!T19,'Jun 1-15'!T19,'Jun 16-30'!T19)</f>
        <v>0</v>
      </c>
      <c r="U19" s="66">
        <f>SUM('Jan 1-15'!U19,'Jan 16-31'!U19,'Feb 1-15'!U19,'Feb 16-29'!U19,'Mar 1-15'!U19,'Mar 16-31'!U19,'Apr 1-15'!U19,'Apr 16-30'!U19,'May 1-15'!U19,'May 16-31'!U19,'Jun 1-15'!U19,'Jun 16-30'!U19)</f>
        <v>40.3</v>
      </c>
      <c r="V19" s="67">
        <f t="shared" si="28"/>
        <v>4.5</v>
      </c>
      <c r="W19" s="68">
        <f>SUM('Jan 1-15'!W19,'Jan 16-31'!W19,'Feb 1-15'!W19,'Feb 16-29'!W19,'Mar 1-15'!W19,'Mar 16-31'!W19,'Apr 1-15'!W19,'Apr 16-30'!W19,'May 1-15'!W19,'May 16-31'!W19,'Jun 1-15'!W19,'Jun 16-30'!W19)</f>
        <v>181.35</v>
      </c>
      <c r="X19" s="66">
        <f>SUM('Jan 1-15'!X19,'Jan 16-31'!X19,'Feb 1-15'!X19,'Feb 16-29'!X19,'Mar 1-15'!X19,'Mar 16-31'!X19,'Apr 1-15'!X19,'Apr 16-30'!X19,'May 1-15'!X19,'May 16-31'!X19,'Jun 1-15'!X19,'Jun 16-30'!X19)</f>
        <v>0</v>
      </c>
      <c r="Y19" s="67" t="str">
        <f t="shared" si="29"/>
        <v>#DIV/0!</v>
      </c>
      <c r="Z19" s="68">
        <f>SUM('Jan 1-15'!Z19,'Jan 16-31'!Z19,'Feb 1-15'!Z19,'Feb 16-29'!Z19,'Mar 1-15'!Z19,'Mar 16-31'!Z19,'Apr 1-15'!Z19,'Apr 16-30'!Z19,'May 1-15'!Z19,'May 16-31'!Z19,'Jun 1-15'!Z19,'Jun 16-30'!Z19)</f>
        <v>0</v>
      </c>
      <c r="AA19" s="69">
        <f>SUM('Jan 1-15'!AA19,'Jan 16-31'!AA19,'Feb 1-15'!AA19,'Feb 16-29'!AA19,'Mar 1-15'!AA19,'Mar 16-31'!AA19,'Apr 1-15'!AA19,'Apr 16-30'!AA19,'May 1-15'!AA19,'May 16-31'!AA19,'Jun 1-15'!AA19,'Jun 16-30'!AA19)</f>
        <v>0</v>
      </c>
      <c r="AB19" s="67" t="str">
        <f t="shared" si="30"/>
        <v>#DIV/0!</v>
      </c>
      <c r="AC19" s="75">
        <f>SUM('Jan 1-15'!AC19,'Jan 16-31'!AC19,'Feb 1-15'!AC19,'Feb 16-29'!AC19,'Mar 1-15'!AC19,'Mar 16-31'!AC19,'Apr 1-15'!AC19,'Apr 16-30'!AC19,'May 1-15'!AC19,'May 16-31'!AC19,'Jun 1-15'!AC19,'Jun 16-30'!AC19)</f>
        <v>0</v>
      </c>
      <c r="AD19" s="66">
        <f>SUM('Jan 1-15'!AD19,'Jan 16-31'!AD19,'Feb 1-15'!AD19,'Feb 16-29'!AD19,'Mar 1-15'!AD19,'Mar 16-31'!AD19,'Apr 1-15'!AD19,'Apr 16-30'!AD19,'May 1-15'!AD19,'May 16-31'!AD19,'Jun 1-15'!AD19,'Jun 16-30'!AD19)</f>
        <v>0</v>
      </c>
      <c r="AE19" s="67" t="str">
        <f t="shared" si="31"/>
        <v>#DIV/0!</v>
      </c>
      <c r="AF19" s="68">
        <f>SUM('Jan 1-15'!AF19,'Jan 16-31'!AF19,'Feb 1-15'!AF19,'Feb 16-29'!AF19,'Mar 1-15'!AF19,'Mar 16-31'!AF19,'Apr 1-15'!AF19,'Apr 16-30'!AF19,'May 1-15'!AF19,'May 16-31'!AF19,'Jun 1-15'!AF19,'Jun 16-30'!AF19)</f>
        <v>0</v>
      </c>
      <c r="AG19" s="66">
        <f>SUM('Jan 1-15'!AG19,'Jan 16-31'!AG19,'Feb 1-15'!AG19,'Feb 16-29'!AG19,'Mar 1-15'!AG19,'Mar 16-31'!AG19,'Apr 1-15'!AG19,'Apr 16-30'!AG19,'May 1-15'!AG19,'May 16-31'!AG19,'Jun 1-15'!AG19,'Jun 16-30'!AG19)</f>
        <v>0</v>
      </c>
      <c r="AH19" s="67" t="str">
        <f t="shared" si="32"/>
        <v>#DIV/0!</v>
      </c>
      <c r="AI19" s="68">
        <f>SUM('Jan 1-15'!AI19,'Jan 16-31'!AI19,'Feb 1-15'!AI19,'Feb 16-29'!AI19,'Mar 1-15'!AI19,'Mar 16-31'!AI19,'Apr 1-15'!AI19,'Apr 16-30'!AI19,'May 1-15'!AI19,'May 16-31'!AI19,'Jun 1-15'!AI19,'Jun 16-30'!AI19)</f>
        <v>0</v>
      </c>
      <c r="AJ19" s="66">
        <f>SUM('Jan 1-15'!AJ19,'Jan 16-31'!AJ19,'Feb 1-15'!AJ19,'Feb 16-29'!AJ19,'Mar 1-15'!AJ19,'Mar 16-31'!AJ19,'Apr 1-15'!AJ19,'Apr 16-30'!AJ19,'May 1-15'!AJ19,'May 16-31'!AJ19,'Jun 1-15'!AJ19,'Jun 16-30'!AJ19)</f>
        <v>0</v>
      </c>
      <c r="AK19" s="67" t="str">
        <f t="shared" si="33"/>
        <v>#DIV/0!</v>
      </c>
      <c r="AL19" s="68">
        <f>SUM('Jan 1-15'!AL19,'Jan 16-31'!AL19,'Feb 1-15'!AL19,'Feb 16-29'!AL19,'Mar 1-15'!AL19,'Mar 16-31'!AL19,'Apr 1-15'!AL19,'Apr 16-30'!AL19,'May 1-15'!AL19,'May 16-31'!AL19,'Jun 1-15'!AL19,'Jun 16-30'!AL19)</f>
        <v>0</v>
      </c>
      <c r="AM19" s="66">
        <f>SUM('Jan 1-15'!AM19,'Jan 16-31'!AM19,'Feb 1-15'!AM19,'Feb 16-29'!AM19,'Mar 1-15'!AM19,'Mar 16-31'!AM19,'Apr 1-15'!AM19,'Apr 16-30'!AM19,'May 1-15'!AM19,'May 16-31'!AM19,'Jun 1-15'!AM19,'Jun 16-30'!AM19)</f>
        <v>0</v>
      </c>
      <c r="AN19" s="67" t="str">
        <f t="shared" si="34"/>
        <v>#DIV/0!</v>
      </c>
      <c r="AO19" s="68">
        <f>SUM('Jan 1-15'!AO19,'Jan 16-31'!AO19,'Feb 1-15'!AO19,'Feb 16-29'!AO19,'Mar 1-15'!AO19,'Mar 16-31'!AO19,'Apr 1-15'!AO19,'Apr 16-30'!AO19,'May 1-15'!AO19,'May 16-31'!AO19,'Jun 1-15'!AO19,'Jun 16-30'!AO19)</f>
        <v>0</v>
      </c>
      <c r="AP19" s="66">
        <f>SUM('Jan 1-15'!AP19,'Jan 16-31'!AP19,'Feb 1-15'!AP19,'Feb 16-29'!AP19,'Mar 1-15'!AP19,'Mar 16-31'!AP19,'Apr 1-15'!AP19,'Apr 16-30'!AP19,'May 1-15'!AP19,'May 16-31'!AP19,'Jun 1-15'!AP19,'Jun 16-30'!AP19)</f>
        <v>0</v>
      </c>
      <c r="AQ19" s="67" t="str">
        <f t="shared" si="35"/>
        <v>#DIV/0!</v>
      </c>
      <c r="AR19" s="68">
        <f>SUM('Jan 1-15'!AR19,'Jan 16-31'!AR19,'Feb 1-15'!AR19,'Feb 16-29'!AR19,'Mar 1-15'!AR19,'Mar 16-31'!AR19,'Apr 1-15'!AR19,'Apr 16-30'!AR19,'May 1-15'!AR19,'May 16-31'!AR19,'Jun 1-15'!AR19,'Jun 16-30'!AR19)</f>
        <v>0</v>
      </c>
      <c r="AS19" s="66">
        <f t="shared" si="46"/>
        <v>40.3</v>
      </c>
      <c r="AT19" s="67">
        <f t="shared" si="36"/>
        <v>4.5</v>
      </c>
      <c r="AU19" s="68">
        <f t="shared" si="47"/>
        <v>181.35</v>
      </c>
      <c r="AV19" s="66">
        <f t="shared" si="48"/>
        <v>40.3</v>
      </c>
      <c r="AW19" s="67">
        <f t="shared" si="37"/>
        <v>4.5</v>
      </c>
      <c r="AX19" s="71">
        <f t="shared" ref="AX19:AY19" si="69">E19+W19</f>
        <v>181.35</v>
      </c>
      <c r="AY19" s="66">
        <f t="shared" si="69"/>
        <v>0</v>
      </c>
      <c r="AZ19" s="67" t="str">
        <f t="shared" si="39"/>
        <v>#DIV/0!</v>
      </c>
      <c r="BA19" s="72">
        <f t="shared" si="50"/>
        <v>0</v>
      </c>
      <c r="BB19" s="73">
        <f t="shared" si="51"/>
        <v>0</v>
      </c>
      <c r="BC19" s="67" t="str">
        <f t="shared" si="40"/>
        <v>#DIV/0!</v>
      </c>
      <c r="BD19" s="71">
        <f t="shared" ref="BD19:BE19" si="70">AL19+AC19+K19</f>
        <v>0</v>
      </c>
      <c r="BE19" s="66">
        <f t="shared" si="70"/>
        <v>0</v>
      </c>
      <c r="BF19" s="67" t="str">
        <f t="shared" si="42"/>
        <v>#DIV/0!</v>
      </c>
      <c r="BG19" s="72">
        <f t="shared" ref="BG19:BH19" si="71">AO19+AF19+N19</f>
        <v>0</v>
      </c>
      <c r="BH19" s="66">
        <f t="shared" si="71"/>
        <v>0</v>
      </c>
      <c r="BI19" s="67" t="str">
        <f t="shared" si="44"/>
        <v>#DIV/0!</v>
      </c>
      <c r="BJ19" s="72">
        <f t="shared" si="54"/>
        <v>0</v>
      </c>
      <c r="BK19" s="74">
        <f t="shared" si="55"/>
        <v>40.3</v>
      </c>
      <c r="BL19" s="67">
        <f t="shared" si="45"/>
        <v>4.5</v>
      </c>
      <c r="BM19" s="75">
        <f t="shared" si="56"/>
        <v>181.35</v>
      </c>
      <c r="BN19" s="76"/>
    </row>
    <row r="20" ht="14.25" customHeight="1">
      <c r="A20" s="65" t="s">
        <v>30</v>
      </c>
      <c r="B20" s="65">
        <f>SUM('Jan 1-15'!B20,'Jan 16-31'!B20,'Feb 1-15'!B20,'Feb 16-29'!B20,'Mar 1-15'!B20,'Mar 16-31'!B20,'Apr 1-15'!B20,'Apr 16-30'!B20,'May 1-15'!B20,'May 16-31'!B20,'Jun 1-15'!B20,'Jun 16-30'!B20)</f>
        <v>123</v>
      </c>
      <c r="C20" s="66">
        <f>SUM('Jan 1-15'!C20,'Jan 16-31'!C20,'Feb 1-15'!C20,'Feb 16-29'!C20,'Mar 1-15'!C20,'Mar 16-31'!C20,'Apr 1-15'!C20,'Apr 16-30'!C20,'May 1-15'!C20,'May 16-31'!C20,'Jun 1-15'!C20,'Jun 16-30'!C20)</f>
        <v>25.3</v>
      </c>
      <c r="D20" s="67">
        <f t="shared" si="22"/>
        <v>5.128063241</v>
      </c>
      <c r="E20" s="68">
        <f>SUM('Jan 1-15'!E20,'Jan 16-31'!E20,'Feb 1-15'!E20,'Feb 16-29'!E20,'Mar 1-15'!E20,'Mar 16-31'!E20,'Apr 1-15'!E20,'Apr 16-30'!E20,'May 1-15'!E20,'May 16-31'!E20,'Jun 1-15'!E20,'Jun 16-30'!E20)</f>
        <v>129.74</v>
      </c>
      <c r="F20" s="66">
        <f>SUM('Jan 1-15'!F20,'Jan 16-31'!F20,'Feb 1-15'!F20,'Feb 16-29'!F20,'Mar 1-15'!F20,'Mar 16-31'!F20,'Apr 1-15'!F20,'Apr 16-30'!F20,'May 1-15'!F20,'May 16-31'!F20,'Jun 1-15'!F20,'Jun 16-30'!F20)</f>
        <v>0</v>
      </c>
      <c r="G20" s="67" t="str">
        <f t="shared" si="23"/>
        <v>#DIV/0!</v>
      </c>
      <c r="H20" s="68">
        <f>SUM('Jan 1-15'!H20,'Jan 16-31'!H20,'Feb 1-15'!H20,'Feb 16-29'!H20,'Mar 1-15'!H20,'Mar 16-31'!H20,'Apr 1-15'!H20,'Apr 16-30'!H20,'May 1-15'!H20,'May 16-31'!H20,'Jun 1-15'!H20,'Jun 16-30'!H20)</f>
        <v>0</v>
      </c>
      <c r="I20" s="66">
        <f>SUM('Jan 1-15'!I20,'Jan 16-31'!I20,'Feb 1-15'!I20,'Feb 16-29'!I20,'Mar 1-15'!I20,'Mar 16-31'!I20,'Apr 1-15'!I20,'Apr 16-30'!I20,'May 1-15'!I20,'May 16-31'!I20,'Jun 1-15'!I20,'Jun 16-30'!I20)</f>
        <v>101.9</v>
      </c>
      <c r="J20" s="67">
        <f t="shared" si="24"/>
        <v>3.980372915</v>
      </c>
      <c r="K20" s="68">
        <f>SUM('Jan 1-15'!K20,'Jan 16-31'!K20,'Feb 1-15'!K20,'Feb 16-29'!K20,'Mar 1-15'!K20,'Mar 16-31'!K20,'Apr 1-15'!K20,'Apr 16-30'!K20,'May 1-15'!K20,'May 16-31'!K20,'Jun 1-15'!K20,'Jun 16-30'!K20)</f>
        <v>405.6</v>
      </c>
      <c r="L20" s="66">
        <f>SUM('Jan 1-15'!L20,'Jan 16-31'!L20,'Feb 1-15'!L20,'Feb 16-29'!L20,'Mar 1-15'!L20,'Mar 16-31'!L20,'Apr 1-15'!L20,'Apr 16-30'!L20,'May 1-15'!L20,'May 16-31'!L20,'Jun 1-15'!L20,'Jun 16-30'!L20)</f>
        <v>0</v>
      </c>
      <c r="M20" s="67" t="str">
        <f t="shared" si="25"/>
        <v>#DIV/0!</v>
      </c>
      <c r="N20" s="68">
        <f>SUM('Jan 1-15'!N20,'Jan 16-31'!N20,'Feb 1-15'!N20,'Feb 16-29'!N20,'Mar 1-15'!N20,'Mar 16-31'!N20,'Apr 1-15'!N20,'Apr 16-30'!N20,'May 1-15'!N20,'May 16-31'!N20,'Jun 1-15'!N20,'Jun 16-30'!N20)</f>
        <v>0</v>
      </c>
      <c r="O20" s="66">
        <f>SUM('Jan 1-15'!O20,'Jan 16-31'!O20,'Feb 1-15'!O20,'Feb 16-29'!O20,'Mar 1-15'!O20,'Mar 16-31'!O20,'Apr 1-15'!O20,'Apr 16-30'!O20,'May 1-15'!O20,'May 16-31'!O20,'Jun 1-15'!O20,'Jun 16-30'!O20)</f>
        <v>13.9</v>
      </c>
      <c r="P20" s="67">
        <f t="shared" si="26"/>
        <v>3.2</v>
      </c>
      <c r="Q20" s="68">
        <f>SUM('Jan 1-15'!Q20,'Jan 16-31'!Q20,'Feb 1-15'!Q20,'Feb 16-29'!Q20,'Mar 1-15'!Q20,'Mar 16-31'!Q20,'Apr 1-15'!Q20,'Apr 16-30'!Q20,'May 1-15'!Q20,'May 16-31'!Q20,'Jun 1-15'!Q20,'Jun 16-30'!Q20)</f>
        <v>44.48</v>
      </c>
      <c r="R20" s="66">
        <f>SUM('Jan 1-15'!R20,'Jan 16-31'!R20,'Feb 1-15'!R20,'Feb 16-29'!R20,'Mar 1-15'!R20,'Mar 16-31'!R20,'Apr 1-15'!R20,'Apr 16-30'!R20,'May 1-15'!R20,'May 16-31'!R20,'Jun 1-15'!R20,'Jun 16-30'!R20)</f>
        <v>26.2</v>
      </c>
      <c r="S20" s="67">
        <f t="shared" si="27"/>
        <v>3.816793893</v>
      </c>
      <c r="T20" s="68">
        <f>SUM('Jan 1-15'!T20,'Jan 16-31'!T20,'Feb 1-15'!T20,'Feb 16-29'!T20,'Mar 1-15'!T20,'Mar 16-31'!T20,'Apr 1-15'!T20,'Apr 16-30'!T20,'May 1-15'!T20,'May 16-31'!T20,'Jun 1-15'!T20,'Jun 16-30'!T20)</f>
        <v>100</v>
      </c>
      <c r="U20" s="66">
        <f>SUM('Jan 1-15'!U20,'Jan 16-31'!U20,'Feb 1-15'!U20,'Feb 16-29'!U20,'Mar 1-15'!U20,'Mar 16-31'!U20,'Apr 1-15'!U20,'Apr 16-30'!U20,'May 1-15'!U20,'May 16-31'!U20,'Jun 1-15'!U20,'Jun 16-30'!U20)</f>
        <v>22</v>
      </c>
      <c r="V20" s="67">
        <f t="shared" si="28"/>
        <v>5.090909091</v>
      </c>
      <c r="W20" s="68">
        <f>SUM('Jan 1-15'!W20,'Jan 16-31'!W20,'Feb 1-15'!W20,'Feb 16-29'!W20,'Mar 1-15'!W20,'Mar 16-31'!W20,'Apr 1-15'!W20,'Apr 16-30'!W20,'May 1-15'!W20,'May 16-31'!W20,'Jun 1-15'!W20,'Jun 16-30'!W20)</f>
        <v>112</v>
      </c>
      <c r="X20" s="66">
        <f>SUM('Jan 1-15'!X20,'Jan 16-31'!X20,'Feb 1-15'!X20,'Feb 16-29'!X20,'Mar 1-15'!X20,'Mar 16-31'!X20,'Apr 1-15'!X20,'Apr 16-30'!X20,'May 1-15'!X20,'May 16-31'!X20,'Jun 1-15'!X20,'Jun 16-30'!X20)</f>
        <v>0</v>
      </c>
      <c r="Y20" s="67" t="str">
        <f t="shared" si="29"/>
        <v>#DIV/0!</v>
      </c>
      <c r="Z20" s="68">
        <f>SUM('Jan 1-15'!Z20,'Jan 16-31'!Z20,'Feb 1-15'!Z20,'Feb 16-29'!Z20,'Mar 1-15'!Z20,'Mar 16-31'!Z20,'Apr 1-15'!Z20,'Apr 16-30'!Z20,'May 1-15'!Z20,'May 16-31'!Z20,'Jun 1-15'!Z20,'Jun 16-30'!Z20)</f>
        <v>0</v>
      </c>
      <c r="AA20" s="69">
        <f>SUM('Jan 1-15'!AA20,'Jan 16-31'!AA20,'Feb 1-15'!AA20,'Feb 16-29'!AA20,'Mar 1-15'!AA20,'Mar 16-31'!AA20,'Apr 1-15'!AA20,'Apr 16-30'!AA20,'May 1-15'!AA20,'May 16-31'!AA20,'Jun 1-15'!AA20,'Jun 16-30'!AA20)</f>
        <v>47.5</v>
      </c>
      <c r="AB20" s="67">
        <f t="shared" si="30"/>
        <v>3.929684211</v>
      </c>
      <c r="AC20" s="75">
        <f>SUM('Jan 1-15'!AC20,'Jan 16-31'!AC20,'Feb 1-15'!AC20,'Feb 16-29'!AC20,'Mar 1-15'!AC20,'Mar 16-31'!AC20,'Apr 1-15'!AC20,'Apr 16-30'!AC20,'May 1-15'!AC20,'May 16-31'!AC20,'Jun 1-15'!AC20,'Jun 16-30'!AC20)</f>
        <v>186.66</v>
      </c>
      <c r="AD20" s="69">
        <f>SUM('Jan 1-15'!AD20,'Jan 16-31'!AD20,'Feb 1-15'!AD20,'Feb 16-29'!AD20,'Mar 1-15'!AD20,'Mar 16-31'!AD20,'Apr 1-15'!AD20,'Apr 16-30'!AD20,'May 1-15'!AD20,'May 16-31'!AD20,'Jun 1-15'!AD20,'Jun 16-30'!AD20)</f>
        <v>0</v>
      </c>
      <c r="AE20" s="67" t="str">
        <f t="shared" si="31"/>
        <v>#DIV/0!</v>
      </c>
      <c r="AF20" s="75">
        <f>SUM('Jan 1-15'!AF20,'Jan 16-31'!AF20,'Feb 1-15'!AF20,'Feb 16-29'!AF20,'Mar 1-15'!AF20,'Mar 16-31'!AF20,'Apr 1-15'!AF20,'Apr 16-30'!AF20,'May 1-15'!AF20,'May 16-31'!AF20,'Jun 1-15'!AF20,'Jun 16-30'!AF20)</f>
        <v>0</v>
      </c>
      <c r="AG20" s="66">
        <f>SUM('Jan 1-15'!AG20,'Jan 16-31'!AG20,'Feb 1-15'!AG20,'Feb 16-29'!AG20,'Mar 1-15'!AG20,'Mar 16-31'!AG20,'Apr 1-15'!AG20,'Apr 16-30'!AG20,'May 1-15'!AG20,'May 16-31'!AG20,'Jun 1-15'!AG20,'Jun 16-30'!AG20)</f>
        <v>8.5</v>
      </c>
      <c r="AH20" s="67">
        <f t="shared" si="32"/>
        <v>3.2</v>
      </c>
      <c r="AI20" s="68">
        <f>SUM('Jan 1-15'!AI20,'Jan 16-31'!AI20,'Feb 1-15'!AI20,'Feb 16-29'!AI20,'Mar 1-15'!AI20,'Mar 16-31'!AI20,'Apr 1-15'!AI20,'Apr 16-30'!AI20,'May 1-15'!AI20,'May 16-31'!AI20,'Jun 1-15'!AI20,'Jun 16-30'!AI20)</f>
        <v>27.2</v>
      </c>
      <c r="AJ20" s="66">
        <f>SUM('Jan 1-15'!AJ20,'Jan 16-31'!AJ20,'Feb 1-15'!AJ20,'Feb 16-29'!AJ20,'Mar 1-15'!AJ20,'Mar 16-31'!AJ20,'Apr 1-15'!AJ20,'Apr 16-30'!AJ20,'May 1-15'!AJ20,'May 16-31'!AJ20,'Jun 1-15'!AJ20,'Jun 16-30'!AJ20)</f>
        <v>0</v>
      </c>
      <c r="AK20" s="67" t="str">
        <f t="shared" si="33"/>
        <v>#DIV/0!</v>
      </c>
      <c r="AL20" s="68">
        <f>SUM('Jan 1-15'!AL20,'Jan 16-31'!AL20,'Feb 1-15'!AL20,'Feb 16-29'!AL20,'Mar 1-15'!AL20,'Mar 16-31'!AL20,'Apr 1-15'!AL20,'Apr 16-30'!AL20,'May 1-15'!AL20,'May 16-31'!AL20,'Jun 1-15'!AL20,'Jun 16-30'!AL20)</f>
        <v>0</v>
      </c>
      <c r="AM20" s="66">
        <f>SUM('Jan 1-15'!AM20,'Jan 16-31'!AM20,'Feb 1-15'!AM20,'Feb 16-29'!AM20,'Mar 1-15'!AM20,'Mar 16-31'!AM20,'Apr 1-15'!AM20,'Apr 16-30'!AM20,'May 1-15'!AM20,'May 16-31'!AM20,'Jun 1-15'!AM20,'Jun 16-30'!AM20)</f>
        <v>0</v>
      </c>
      <c r="AN20" s="67" t="str">
        <f t="shared" si="34"/>
        <v>#DIV/0!</v>
      </c>
      <c r="AO20" s="68">
        <f>SUM('Jan 1-15'!AO20,'Jan 16-31'!AO20,'Feb 1-15'!AO20,'Feb 16-29'!AO20,'Mar 1-15'!AO20,'Mar 16-31'!AO20,'Apr 1-15'!AO20,'Apr 16-30'!AO20,'May 1-15'!AO20,'May 16-31'!AO20,'Jun 1-15'!AO20,'Jun 16-30'!AO20)</f>
        <v>0</v>
      </c>
      <c r="AP20" s="66">
        <f>SUM('Jan 1-15'!AP20,'Jan 16-31'!AP20,'Feb 1-15'!AP20,'Feb 16-29'!AP20,'Mar 1-15'!AP20,'Mar 16-31'!AP20,'Apr 1-15'!AP20,'Apr 16-30'!AP20,'May 1-15'!AP20,'May 16-31'!AP20,'Jun 1-15'!AP20,'Jun 16-30'!AP20)</f>
        <v>0</v>
      </c>
      <c r="AQ20" s="67" t="str">
        <f t="shared" si="35"/>
        <v>#DIV/0!</v>
      </c>
      <c r="AR20" s="68">
        <f>SUM('Jan 1-15'!AR20,'Jan 16-31'!AR20,'Feb 1-15'!AR20,'Feb 16-29'!AR20,'Mar 1-15'!AR20,'Mar 16-31'!AR20,'Apr 1-15'!AR20,'Apr 16-30'!AR20,'May 1-15'!AR20,'May 16-31'!AR20,'Jun 1-15'!AR20,'Jun 16-30'!AR20)</f>
        <v>0</v>
      </c>
      <c r="AS20" s="66">
        <f t="shared" si="46"/>
        <v>78</v>
      </c>
      <c r="AT20" s="67">
        <f t="shared" si="36"/>
        <v>4.177692308</v>
      </c>
      <c r="AU20" s="68">
        <f t="shared" si="47"/>
        <v>325.86</v>
      </c>
      <c r="AV20" s="66">
        <f t="shared" si="48"/>
        <v>47.3</v>
      </c>
      <c r="AW20" s="67">
        <f t="shared" si="37"/>
        <v>5.110782241</v>
      </c>
      <c r="AX20" s="71">
        <f t="shared" ref="AX20:AY20" si="72">E20+W20</f>
        <v>241.74</v>
      </c>
      <c r="AY20" s="66">
        <f t="shared" si="72"/>
        <v>0</v>
      </c>
      <c r="AZ20" s="67" t="str">
        <f t="shared" si="39"/>
        <v>#DIV/0!</v>
      </c>
      <c r="BA20" s="72">
        <f t="shared" si="50"/>
        <v>0</v>
      </c>
      <c r="BB20" s="73">
        <f t="shared" si="51"/>
        <v>149.4</v>
      </c>
      <c r="BC20" s="67">
        <f t="shared" si="40"/>
        <v>3.964257028</v>
      </c>
      <c r="BD20" s="71">
        <f t="shared" ref="BD20:BE20" si="73">AL20+AC20+K20</f>
        <v>592.26</v>
      </c>
      <c r="BE20" s="66">
        <f t="shared" si="73"/>
        <v>0</v>
      </c>
      <c r="BF20" s="67" t="str">
        <f t="shared" si="42"/>
        <v>#DIV/0!</v>
      </c>
      <c r="BG20" s="72">
        <f t="shared" ref="BG20:BH20" si="74">AO20+AF20+N20</f>
        <v>0</v>
      </c>
      <c r="BH20" s="66">
        <f t="shared" si="74"/>
        <v>22.4</v>
      </c>
      <c r="BI20" s="67">
        <f t="shared" si="44"/>
        <v>3.2</v>
      </c>
      <c r="BJ20" s="72">
        <f t="shared" si="54"/>
        <v>71.68</v>
      </c>
      <c r="BK20" s="74">
        <f t="shared" si="55"/>
        <v>219.1</v>
      </c>
      <c r="BL20" s="67">
        <f t="shared" si="45"/>
        <v>4.133637608</v>
      </c>
      <c r="BM20" s="75">
        <f t="shared" si="56"/>
        <v>905.68</v>
      </c>
      <c r="BN20" s="76"/>
    </row>
    <row r="21" ht="14.25" customHeight="1">
      <c r="A21" s="65" t="s">
        <v>31</v>
      </c>
      <c r="B21" s="65">
        <f>SUM('Jan 1-15'!B21,'Jan 16-31'!B21,'Feb 1-15'!B21,'Feb 16-29'!B21,'Mar 1-15'!B21,'Mar 16-31'!B21,'Apr 1-15'!B21,'Apr 16-30'!B21,'May 1-15'!B21,'May 16-31'!B21,'Jun 1-15'!B21,'Jun 16-30'!B21)</f>
        <v>160</v>
      </c>
      <c r="C21" s="66">
        <f>SUM('Jan 1-15'!C21,'Jan 16-31'!C21,'Feb 1-15'!C21,'Feb 16-29'!C21,'Mar 1-15'!C21,'Mar 16-31'!C21,'Apr 1-15'!C21,'Apr 16-30'!C21,'May 1-15'!C21,'May 16-31'!C21,'Jun 1-15'!C21,'Jun 16-30'!C21)</f>
        <v>236.1</v>
      </c>
      <c r="D21" s="67">
        <f t="shared" si="22"/>
        <v>5.48043202</v>
      </c>
      <c r="E21" s="68">
        <f>SUM('Jan 1-15'!E21,'Jan 16-31'!E21,'Feb 1-15'!E21,'Feb 16-29'!E21,'Mar 1-15'!E21,'Mar 16-31'!E21,'Apr 1-15'!E21,'Apr 16-30'!E21,'May 1-15'!E21,'May 16-31'!E21,'Jun 1-15'!E21,'Jun 16-30'!E21)</f>
        <v>1293.93</v>
      </c>
      <c r="F21" s="66">
        <f>SUM('Jan 1-15'!F21,'Jan 16-31'!F21,'Feb 1-15'!F21,'Feb 16-29'!F21,'Mar 1-15'!F21,'Mar 16-31'!F21,'Apr 1-15'!F21,'Apr 16-30'!F21,'May 1-15'!F21,'May 16-31'!F21,'Jun 1-15'!F21,'Jun 16-30'!F21)</f>
        <v>0</v>
      </c>
      <c r="G21" s="67" t="str">
        <f t="shared" si="23"/>
        <v>#DIV/0!</v>
      </c>
      <c r="H21" s="68">
        <f>SUM('Jan 1-15'!H21,'Jan 16-31'!H21,'Feb 1-15'!H21,'Feb 16-29'!H21,'Mar 1-15'!H21,'Mar 16-31'!H21,'Apr 1-15'!H21,'Apr 16-30'!H21,'May 1-15'!H21,'May 16-31'!H21,'Jun 1-15'!H21,'Jun 16-30'!H21)</f>
        <v>0</v>
      </c>
      <c r="I21" s="66">
        <f>SUM('Jan 1-15'!I21,'Jan 16-31'!I21,'Feb 1-15'!I21,'Feb 16-29'!I21,'Mar 1-15'!I21,'Mar 16-31'!I21,'Apr 1-15'!I21,'Apr 16-30'!I21,'May 1-15'!I21,'May 16-31'!I21,'Jun 1-15'!I21,'Jun 16-30'!I21)</f>
        <v>153.7</v>
      </c>
      <c r="J21" s="67">
        <f t="shared" si="24"/>
        <v>3.8</v>
      </c>
      <c r="K21" s="68">
        <f>SUM('Jan 1-15'!K21,'Jan 16-31'!K21,'Feb 1-15'!K21,'Feb 16-29'!K21,'Mar 1-15'!K21,'Mar 16-31'!K21,'Apr 1-15'!K21,'Apr 16-30'!K21,'May 1-15'!K21,'May 16-31'!K21,'Jun 1-15'!K21,'Jun 16-30'!K21)</f>
        <v>584.06</v>
      </c>
      <c r="L21" s="66">
        <f>SUM('Jan 1-15'!L21,'Jan 16-31'!L21,'Feb 1-15'!L21,'Feb 16-29'!L21,'Mar 1-15'!L21,'Mar 16-31'!L21,'Apr 1-15'!L21,'Apr 16-30'!L21,'May 1-15'!L21,'May 16-31'!L21,'Jun 1-15'!L21,'Jun 16-30'!L21)</f>
        <v>0</v>
      </c>
      <c r="M21" s="67" t="str">
        <f t="shared" si="25"/>
        <v>#DIV/0!</v>
      </c>
      <c r="N21" s="68">
        <f>SUM('Jan 1-15'!N21,'Jan 16-31'!N21,'Feb 1-15'!N21,'Feb 16-29'!N21,'Mar 1-15'!N21,'Mar 16-31'!N21,'Apr 1-15'!N21,'Apr 16-30'!N21,'May 1-15'!N21,'May 16-31'!N21,'Jun 1-15'!N21,'Jun 16-30'!N21)</f>
        <v>0</v>
      </c>
      <c r="O21" s="66">
        <f>SUM('Jan 1-15'!O21,'Jan 16-31'!O21,'Feb 1-15'!O21,'Feb 16-29'!O21,'Mar 1-15'!O21,'Mar 16-31'!O21,'Apr 1-15'!O21,'Apr 16-30'!O21,'May 1-15'!O21,'May 16-31'!O21,'Jun 1-15'!O21,'Jun 16-30'!O21)</f>
        <v>9.3</v>
      </c>
      <c r="P21" s="67">
        <f t="shared" si="26"/>
        <v>2.886021505</v>
      </c>
      <c r="Q21" s="68">
        <f>SUM('Jan 1-15'!Q21,'Jan 16-31'!Q21,'Feb 1-15'!Q21,'Feb 16-29'!Q21,'Mar 1-15'!Q21,'Mar 16-31'!Q21,'Apr 1-15'!Q21,'Apr 16-30'!Q21,'May 1-15'!Q21,'May 16-31'!Q21,'Jun 1-15'!Q21,'Jun 16-30'!Q21)</f>
        <v>26.84</v>
      </c>
      <c r="R21" s="66">
        <f>SUM('Jan 1-15'!R21,'Jan 16-31'!R21,'Feb 1-15'!R21,'Feb 16-29'!R21,'Mar 1-15'!R21,'Mar 16-31'!R21,'Apr 1-15'!R21,'Apr 16-30'!R21,'May 1-15'!R21,'May 16-31'!R21,'Jun 1-15'!R21,'Jun 16-30'!R21)</f>
        <v>45.8</v>
      </c>
      <c r="S21" s="67">
        <f t="shared" si="27"/>
        <v>3.799344978</v>
      </c>
      <c r="T21" s="68">
        <f>SUM('Jan 1-15'!T21,'Jan 16-31'!T21,'Feb 1-15'!T21,'Feb 16-29'!T21,'Mar 1-15'!T21,'Mar 16-31'!T21,'Apr 1-15'!T21,'Apr 16-30'!T21,'May 1-15'!T21,'May 16-31'!T21,'Jun 1-15'!T21,'Jun 16-30'!T21)</f>
        <v>174.01</v>
      </c>
      <c r="U21" s="66">
        <f>SUM('Jan 1-15'!U21,'Jan 16-31'!U21,'Feb 1-15'!U21,'Feb 16-29'!U21,'Mar 1-15'!U21,'Mar 16-31'!U21,'Apr 1-15'!U21,'Apr 16-30'!U21,'May 1-15'!U21,'May 16-31'!U21,'Jun 1-15'!U21,'Jun 16-30'!U21)</f>
        <v>9.5</v>
      </c>
      <c r="V21" s="67">
        <f t="shared" si="28"/>
        <v>4.9</v>
      </c>
      <c r="W21" s="68">
        <f>SUM('Jan 1-15'!W21,'Jan 16-31'!W21,'Feb 1-15'!W21,'Feb 16-29'!W21,'Mar 1-15'!W21,'Mar 16-31'!W21,'Apr 1-15'!W21,'Apr 16-30'!W21,'May 1-15'!W21,'May 16-31'!W21,'Jun 1-15'!W21,'Jun 16-30'!W21)</f>
        <v>46.55</v>
      </c>
      <c r="X21" s="66">
        <f>SUM('Jan 1-15'!X21,'Jan 16-31'!X21,'Feb 1-15'!X21,'Feb 16-29'!X21,'Mar 1-15'!X21,'Mar 16-31'!X21,'Apr 1-15'!X21,'Apr 16-30'!X21,'May 1-15'!X21,'May 16-31'!X21,'Jun 1-15'!X21,'Jun 16-30'!X21)</f>
        <v>0</v>
      </c>
      <c r="Y21" s="67" t="str">
        <f t="shared" si="29"/>
        <v>#DIV/0!</v>
      </c>
      <c r="Z21" s="68">
        <f>SUM('Jan 1-15'!Z21,'Jan 16-31'!Z21,'Feb 1-15'!Z21,'Feb 16-29'!Z21,'Mar 1-15'!Z21,'Mar 16-31'!Z21,'Apr 1-15'!Z21,'Apr 16-30'!Z21,'May 1-15'!Z21,'May 16-31'!Z21,'Jun 1-15'!Z21,'Jun 16-30'!Z21)</f>
        <v>0</v>
      </c>
      <c r="AA21" s="69">
        <f>SUM('Jan 1-15'!AA21,'Jan 16-31'!AA21,'Feb 1-15'!AA21,'Feb 16-29'!AA21,'Mar 1-15'!AA21,'Mar 16-31'!AA21,'Apr 1-15'!AA21,'Apr 16-30'!AA21,'May 1-15'!AA21,'May 16-31'!AA21,'Jun 1-15'!AA21,'Jun 16-30'!AA21)</f>
        <v>16.7</v>
      </c>
      <c r="AB21" s="67">
        <f t="shared" si="30"/>
        <v>3.9</v>
      </c>
      <c r="AC21" s="75">
        <f>SUM('Jan 1-15'!AC21,'Jan 16-31'!AC21,'Feb 1-15'!AC21,'Feb 16-29'!AC21,'Mar 1-15'!AC21,'Mar 16-31'!AC21,'Apr 1-15'!AC21,'Apr 16-30'!AC21,'May 1-15'!AC21,'May 16-31'!AC21,'Jun 1-15'!AC21,'Jun 16-30'!AC21)</f>
        <v>65.13</v>
      </c>
      <c r="AD21" s="69">
        <f>SUM('Jan 1-15'!AD21,'Jan 16-31'!AD21,'Feb 1-15'!AD21,'Feb 16-29'!AD21,'Mar 1-15'!AD21,'Mar 16-31'!AD21,'Apr 1-15'!AD21,'Apr 16-30'!AD21,'May 1-15'!AD21,'May 16-31'!AD21,'Jun 1-15'!AD21,'Jun 16-30'!AD21)</f>
        <v>0</v>
      </c>
      <c r="AE21" s="67" t="str">
        <f t="shared" si="31"/>
        <v>#DIV/0!</v>
      </c>
      <c r="AF21" s="75">
        <f>SUM('Jan 1-15'!AF21,'Jan 16-31'!AF21,'Feb 1-15'!AF21,'Feb 16-29'!AF21,'Mar 1-15'!AF21,'Mar 16-31'!AF21,'Apr 1-15'!AF21,'Apr 16-30'!AF21,'May 1-15'!AF21,'May 16-31'!AF21,'Jun 1-15'!AF21,'Jun 16-30'!AF21)</f>
        <v>0</v>
      </c>
      <c r="AG21" s="66">
        <f>SUM('Jan 1-15'!AG21,'Jan 16-31'!AG21,'Feb 1-15'!AG21,'Feb 16-29'!AG21,'Mar 1-15'!AG21,'Mar 16-31'!AG21,'Apr 1-15'!AG21,'Apr 16-30'!AG21,'May 1-15'!AG21,'May 16-31'!AG21,'Jun 1-15'!AG21,'Jun 16-30'!AG21)</f>
        <v>0</v>
      </c>
      <c r="AH21" s="67" t="str">
        <f t="shared" si="32"/>
        <v>#DIV/0!</v>
      </c>
      <c r="AI21" s="68">
        <f>SUM('Jan 1-15'!AI21,'Jan 16-31'!AI21,'Feb 1-15'!AI21,'Feb 16-29'!AI21,'Mar 1-15'!AI21,'Mar 16-31'!AI21,'Apr 1-15'!AI21,'Apr 16-30'!AI21,'May 1-15'!AI21,'May 16-31'!AI21,'Jun 1-15'!AI21,'Jun 16-30'!AI21)</f>
        <v>0</v>
      </c>
      <c r="AJ21" s="66">
        <f>SUM('Jan 1-15'!AJ21,'Jan 16-31'!AJ21,'Feb 1-15'!AJ21,'Feb 16-29'!AJ21,'Mar 1-15'!AJ21,'Mar 16-31'!AJ21,'Apr 1-15'!AJ21,'Apr 16-30'!AJ21,'May 1-15'!AJ21,'May 16-31'!AJ21,'Jun 1-15'!AJ21,'Jun 16-30'!AJ21)</f>
        <v>0</v>
      </c>
      <c r="AK21" s="67" t="str">
        <f t="shared" si="33"/>
        <v>#DIV/0!</v>
      </c>
      <c r="AL21" s="68">
        <f>SUM('Jan 1-15'!AL21,'Jan 16-31'!AL21,'Feb 1-15'!AL21,'Feb 16-29'!AL21,'Mar 1-15'!AL21,'Mar 16-31'!AL21,'Apr 1-15'!AL21,'Apr 16-30'!AL21,'May 1-15'!AL21,'May 16-31'!AL21,'Jun 1-15'!AL21,'Jun 16-30'!AL21)</f>
        <v>0</v>
      </c>
      <c r="AM21" s="66">
        <f>SUM('Jan 1-15'!AM21,'Jan 16-31'!AM21,'Feb 1-15'!AM21,'Feb 16-29'!AM21,'Mar 1-15'!AM21,'Mar 16-31'!AM21,'Apr 1-15'!AM21,'Apr 16-30'!AM21,'May 1-15'!AM21,'May 16-31'!AM21,'Jun 1-15'!AM21,'Jun 16-30'!AM21)</f>
        <v>0</v>
      </c>
      <c r="AN21" s="67" t="str">
        <f t="shared" si="34"/>
        <v>#DIV/0!</v>
      </c>
      <c r="AO21" s="68">
        <f>SUM('Jan 1-15'!AO21,'Jan 16-31'!AO21,'Feb 1-15'!AO21,'Feb 16-29'!AO21,'Mar 1-15'!AO21,'Mar 16-31'!AO21,'Apr 1-15'!AO21,'Apr 16-30'!AO21,'May 1-15'!AO21,'May 16-31'!AO21,'Jun 1-15'!AO21,'Jun 16-30'!AO21)</f>
        <v>0</v>
      </c>
      <c r="AP21" s="66">
        <f>SUM('Jan 1-15'!AP21,'Jan 16-31'!AP21,'Feb 1-15'!AP21,'Feb 16-29'!AP21,'Mar 1-15'!AP21,'Mar 16-31'!AP21,'Apr 1-15'!AP21,'Apr 16-30'!AP21,'May 1-15'!AP21,'May 16-31'!AP21,'Jun 1-15'!AP21,'Jun 16-30'!AP21)</f>
        <v>0</v>
      </c>
      <c r="AQ21" s="67" t="str">
        <f t="shared" si="35"/>
        <v>#DIV/0!</v>
      </c>
      <c r="AR21" s="68">
        <f>SUM('Jan 1-15'!AR21,'Jan 16-31'!AR21,'Feb 1-15'!AR21,'Feb 16-29'!AR21,'Mar 1-15'!AR21,'Mar 16-31'!AR21,'Apr 1-15'!AR21,'Apr 16-30'!AR21,'May 1-15'!AR21,'May 16-31'!AR21,'Jun 1-15'!AR21,'Jun 16-30'!AR21)</f>
        <v>0</v>
      </c>
      <c r="AS21" s="66">
        <f t="shared" si="46"/>
        <v>26.2</v>
      </c>
      <c r="AT21" s="67">
        <f t="shared" si="36"/>
        <v>4.26259542</v>
      </c>
      <c r="AU21" s="68">
        <f t="shared" si="47"/>
        <v>111.68</v>
      </c>
      <c r="AV21" s="66">
        <f t="shared" si="48"/>
        <v>245.6</v>
      </c>
      <c r="AW21" s="67">
        <f t="shared" si="37"/>
        <v>5.457980456</v>
      </c>
      <c r="AX21" s="71">
        <f t="shared" ref="AX21:AY21" si="75">E21+W21</f>
        <v>1340.48</v>
      </c>
      <c r="AY21" s="66">
        <f t="shared" si="75"/>
        <v>0</v>
      </c>
      <c r="AZ21" s="67" t="str">
        <f t="shared" si="39"/>
        <v>#DIV/0!</v>
      </c>
      <c r="BA21" s="72">
        <f t="shared" si="50"/>
        <v>0</v>
      </c>
      <c r="BB21" s="73">
        <f t="shared" si="51"/>
        <v>170.4</v>
      </c>
      <c r="BC21" s="67">
        <f t="shared" si="40"/>
        <v>3.809800469</v>
      </c>
      <c r="BD21" s="71">
        <f t="shared" ref="BD21:BE21" si="76">AL21+AC21+K21</f>
        <v>649.19</v>
      </c>
      <c r="BE21" s="66">
        <f t="shared" si="76"/>
        <v>0</v>
      </c>
      <c r="BF21" s="67" t="str">
        <f t="shared" si="42"/>
        <v>#DIV/0!</v>
      </c>
      <c r="BG21" s="72">
        <f t="shared" ref="BG21:BH21" si="77">AO21+AF21+N21</f>
        <v>0</v>
      </c>
      <c r="BH21" s="66">
        <f t="shared" si="77"/>
        <v>9.3</v>
      </c>
      <c r="BI21" s="67">
        <f t="shared" si="44"/>
        <v>2.886021505</v>
      </c>
      <c r="BJ21" s="72">
        <f t="shared" si="54"/>
        <v>26.84</v>
      </c>
      <c r="BK21" s="74">
        <f t="shared" si="55"/>
        <v>425.3</v>
      </c>
      <c r="BL21" s="67">
        <f t="shared" si="45"/>
        <v>4.741382553</v>
      </c>
      <c r="BM21" s="75">
        <f t="shared" si="56"/>
        <v>2016.51</v>
      </c>
      <c r="BN21" s="76"/>
    </row>
    <row r="22" ht="14.25" customHeight="1">
      <c r="A22" s="65" t="s">
        <v>32</v>
      </c>
      <c r="B22" s="65">
        <f>SUM('Jan 1-15'!B22,'Jan 16-31'!B22,'Feb 1-15'!B22,'Feb 16-29'!B22,'Mar 1-15'!B22,'Mar 16-31'!B22,'Apr 1-15'!B22,'Apr 16-30'!B22,'May 1-15'!B22,'May 16-31'!B22,'Jun 1-15'!B22,'Jun 16-30'!B22)</f>
        <v>35</v>
      </c>
      <c r="C22" s="66">
        <f>SUM('Jan 1-15'!C22,'Jan 16-31'!C22,'Feb 1-15'!C22,'Feb 16-29'!C22,'Mar 1-15'!C22,'Mar 16-31'!C22,'Apr 1-15'!C22,'Apr 16-30'!C22,'May 1-15'!C22,'May 16-31'!C22,'Jun 1-15'!C22,'Jun 16-30'!C22)</f>
        <v>4.8</v>
      </c>
      <c r="D22" s="67">
        <f t="shared" si="22"/>
        <v>4.5</v>
      </c>
      <c r="E22" s="68">
        <f>SUM('Jan 1-15'!E22,'Jan 16-31'!E22,'Feb 1-15'!E22,'Feb 16-29'!E22,'Mar 1-15'!E22,'Mar 16-31'!E22,'Apr 1-15'!E22,'Apr 16-30'!E22,'May 1-15'!E22,'May 16-31'!E22,'Jun 1-15'!E22,'Jun 16-30'!E22)</f>
        <v>21.6</v>
      </c>
      <c r="F22" s="66">
        <f>SUM('Jan 1-15'!F22,'Jan 16-31'!F22,'Feb 1-15'!F22,'Feb 16-29'!F22,'Mar 1-15'!F22,'Mar 16-31'!F22,'Apr 1-15'!F22,'Apr 16-30'!F22,'May 1-15'!F22,'May 16-31'!F22,'Jun 1-15'!F22,'Jun 16-30'!F22)</f>
        <v>0</v>
      </c>
      <c r="G22" s="67" t="str">
        <f t="shared" si="23"/>
        <v>#DIV/0!</v>
      </c>
      <c r="H22" s="68">
        <f>SUM('Jan 1-15'!H22,'Jan 16-31'!H22,'Feb 1-15'!H22,'Feb 16-29'!H22,'Mar 1-15'!H22,'Mar 16-31'!H22,'Apr 1-15'!H22,'Apr 16-30'!H22,'May 1-15'!H22,'May 16-31'!H22,'Jun 1-15'!H22,'Jun 16-30'!H22)</f>
        <v>0</v>
      </c>
      <c r="I22" s="66">
        <f>SUM('Jan 1-15'!I22,'Jan 16-31'!I22,'Feb 1-15'!I22,'Feb 16-29'!I22,'Mar 1-15'!I22,'Mar 16-31'!I22,'Apr 1-15'!I22,'Apr 16-30'!I22,'May 1-15'!I22,'May 16-31'!I22,'Jun 1-15'!I22,'Jun 16-30'!I22)</f>
        <v>13.4</v>
      </c>
      <c r="J22" s="67">
        <f t="shared" si="24"/>
        <v>3.9</v>
      </c>
      <c r="K22" s="68">
        <f>SUM('Jan 1-15'!K22,'Jan 16-31'!K22,'Feb 1-15'!K22,'Feb 16-29'!K22,'Mar 1-15'!K22,'Mar 16-31'!K22,'Apr 1-15'!K22,'Apr 16-30'!K22,'May 1-15'!K22,'May 16-31'!K22,'Jun 1-15'!K22,'Jun 16-30'!K22)</f>
        <v>52.26</v>
      </c>
      <c r="L22" s="66">
        <f>SUM('Jan 1-15'!L22,'Jan 16-31'!L22,'Feb 1-15'!L22,'Feb 16-29'!L22,'Mar 1-15'!L22,'Mar 16-31'!L22,'Apr 1-15'!L22,'Apr 16-30'!L22,'May 1-15'!L22,'May 16-31'!L22,'Jun 1-15'!L22,'Jun 16-30'!L22)</f>
        <v>0</v>
      </c>
      <c r="M22" s="67" t="str">
        <f t="shared" si="25"/>
        <v>#DIV/0!</v>
      </c>
      <c r="N22" s="68">
        <f>SUM('Jan 1-15'!N22,'Jan 16-31'!N22,'Feb 1-15'!N22,'Feb 16-29'!N22,'Mar 1-15'!N22,'Mar 16-31'!N22,'Apr 1-15'!N22,'Apr 16-30'!N22,'May 1-15'!N22,'May 16-31'!N22,'Jun 1-15'!N22,'Jun 16-30'!N22)</f>
        <v>0</v>
      </c>
      <c r="O22" s="66">
        <f>SUM('Jan 1-15'!O22,'Jan 16-31'!O22,'Feb 1-15'!O22,'Feb 16-29'!O22,'Mar 1-15'!O22,'Mar 16-31'!O22,'Apr 1-15'!O22,'Apr 16-30'!O22,'May 1-15'!O22,'May 16-31'!O22,'Jun 1-15'!O22,'Jun 16-30'!O22)</f>
        <v>5.4</v>
      </c>
      <c r="P22" s="67">
        <f t="shared" si="26"/>
        <v>3.2</v>
      </c>
      <c r="Q22" s="68">
        <f>SUM('Jan 1-15'!Q22,'Jan 16-31'!Q22,'Feb 1-15'!Q22,'Feb 16-29'!Q22,'Mar 1-15'!Q22,'Mar 16-31'!Q22,'Apr 1-15'!Q22,'Apr 16-30'!Q22,'May 1-15'!Q22,'May 16-31'!Q22,'Jun 1-15'!Q22,'Jun 16-30'!Q22)</f>
        <v>17.28</v>
      </c>
      <c r="R22" s="66">
        <f>SUM('Jan 1-15'!R22,'Jan 16-31'!R22,'Feb 1-15'!R22,'Feb 16-29'!R22,'Mar 1-15'!R22,'Mar 16-31'!R22,'Apr 1-15'!R22,'Apr 16-30'!R22,'May 1-15'!R22,'May 16-31'!R22,'Jun 1-15'!R22,'Jun 16-30'!R22)</f>
        <v>21.6</v>
      </c>
      <c r="S22" s="67">
        <f t="shared" si="27"/>
        <v>3.858333333</v>
      </c>
      <c r="T22" s="68">
        <f>SUM('Jan 1-15'!T22,'Jan 16-31'!T22,'Feb 1-15'!T22,'Feb 16-29'!T22,'Mar 1-15'!T22,'Mar 16-31'!T22,'Apr 1-15'!T22,'Apr 16-30'!T22,'May 1-15'!T22,'May 16-31'!T22,'Jun 1-15'!T22,'Jun 16-30'!T22)</f>
        <v>83.34</v>
      </c>
      <c r="U22" s="66">
        <f>SUM('Jan 1-15'!U22,'Jan 16-31'!U22,'Feb 1-15'!U22,'Feb 16-29'!U22,'Mar 1-15'!U22,'Mar 16-31'!U22,'Apr 1-15'!U22,'Apr 16-30'!U22,'May 1-15'!U22,'May 16-31'!U22,'Jun 1-15'!U22,'Jun 16-30'!U22)</f>
        <v>12</v>
      </c>
      <c r="V22" s="67">
        <f t="shared" si="28"/>
        <v>4.9</v>
      </c>
      <c r="W22" s="68">
        <f>SUM('Jan 1-15'!W22,'Jan 16-31'!W22,'Feb 1-15'!W22,'Feb 16-29'!W22,'Mar 1-15'!W22,'Mar 16-31'!W22,'Apr 1-15'!W22,'Apr 16-30'!W22,'May 1-15'!W22,'May 16-31'!W22,'Jun 1-15'!W22,'Jun 16-30'!W22)</f>
        <v>58.8</v>
      </c>
      <c r="X22" s="66">
        <f>SUM('Jan 1-15'!X22,'Jan 16-31'!X22,'Feb 1-15'!X22,'Feb 16-29'!X22,'Mar 1-15'!X22,'Mar 16-31'!X22,'Apr 1-15'!X22,'Apr 16-30'!X22,'May 1-15'!X22,'May 16-31'!X22,'Jun 1-15'!X22,'Jun 16-30'!X22)</f>
        <v>0</v>
      </c>
      <c r="Y22" s="67" t="str">
        <f t="shared" si="29"/>
        <v>#DIV/0!</v>
      </c>
      <c r="Z22" s="68">
        <f>SUM('Jan 1-15'!Z22,'Jan 16-31'!Z22,'Feb 1-15'!Z22,'Feb 16-29'!Z22,'Mar 1-15'!Z22,'Mar 16-31'!Z22,'Apr 1-15'!Z22,'Apr 16-30'!Z22,'May 1-15'!Z22,'May 16-31'!Z22,'Jun 1-15'!Z22,'Jun 16-30'!Z22)</f>
        <v>0</v>
      </c>
      <c r="AA22" s="66">
        <f>SUM('Jan 1-15'!AA22,'Jan 16-31'!AA22,'Feb 1-15'!AA22,'Feb 16-29'!AA22,'Mar 1-15'!AA22,'Mar 16-31'!AA22,'Apr 1-15'!AA22,'Apr 16-30'!AA22,'May 1-15'!AA22,'May 16-31'!AA22,'Jun 1-15'!AA22,'Jun 16-30'!AA22)</f>
        <v>40.6</v>
      </c>
      <c r="AB22" s="67">
        <f t="shared" si="30"/>
        <v>3.9</v>
      </c>
      <c r="AC22" s="68">
        <f>SUM('Jan 1-15'!AC22,'Jan 16-31'!AC22,'Feb 1-15'!AC22,'Feb 16-29'!AC22,'Mar 1-15'!AC22,'Mar 16-31'!AC22,'Apr 1-15'!AC22,'Apr 16-30'!AC22,'May 1-15'!AC22,'May 16-31'!AC22,'Jun 1-15'!AC22,'Jun 16-30'!AC22)</f>
        <v>158.34</v>
      </c>
      <c r="AD22" s="69">
        <f>SUM('Jan 1-15'!AD22,'Jan 16-31'!AD22,'Feb 1-15'!AD22,'Feb 16-29'!AD22,'Mar 1-15'!AD22,'Mar 16-31'!AD22,'Apr 1-15'!AD22,'Apr 16-30'!AD22,'May 1-15'!AD22,'May 16-31'!AD22,'Jun 1-15'!AD22,'Jun 16-30'!AD22)</f>
        <v>0</v>
      </c>
      <c r="AE22" s="67" t="str">
        <f t="shared" si="31"/>
        <v>#DIV/0!</v>
      </c>
      <c r="AF22" s="75">
        <f>SUM('Jan 1-15'!AF22,'Jan 16-31'!AF22,'Feb 1-15'!AF22,'Feb 16-29'!AF22,'Mar 1-15'!AF22,'Mar 16-31'!AF22,'Apr 1-15'!AF22,'Apr 16-30'!AF22,'May 1-15'!AF22,'May 16-31'!AF22,'Jun 1-15'!AF22,'Jun 16-30'!AF22)</f>
        <v>0</v>
      </c>
      <c r="AG22" s="66">
        <f>SUM('Jan 1-15'!AG22,'Jan 16-31'!AG22,'Feb 1-15'!AG22,'Feb 16-29'!AG22,'Mar 1-15'!AG22,'Mar 16-31'!AG22,'Apr 1-15'!AG22,'Apr 16-30'!AG22,'May 1-15'!AG22,'May 16-31'!AG22,'Jun 1-15'!AG22,'Jun 16-30'!AG22)</f>
        <v>0</v>
      </c>
      <c r="AH22" s="67" t="str">
        <f t="shared" si="32"/>
        <v>#DIV/0!</v>
      </c>
      <c r="AI22" s="68">
        <f>SUM('Jan 1-15'!AI22,'Jan 16-31'!AI22,'Feb 1-15'!AI22,'Feb 16-29'!AI22,'Mar 1-15'!AI22,'Mar 16-31'!AI22,'Apr 1-15'!AI22,'Apr 16-30'!AI22,'May 1-15'!AI22,'May 16-31'!AI22,'Jun 1-15'!AI22,'Jun 16-30'!AI22)</f>
        <v>0</v>
      </c>
      <c r="AJ22" s="66">
        <f>SUM('Jan 1-15'!AJ22,'Jan 16-31'!AJ22,'Feb 1-15'!AJ22,'Feb 16-29'!AJ22,'Mar 1-15'!AJ22,'Mar 16-31'!AJ22,'Apr 1-15'!AJ22,'Apr 16-30'!AJ22,'May 1-15'!AJ22,'May 16-31'!AJ22,'Jun 1-15'!AJ22,'Jun 16-30'!AJ22)</f>
        <v>0</v>
      </c>
      <c r="AK22" s="67" t="str">
        <f t="shared" si="33"/>
        <v>#DIV/0!</v>
      </c>
      <c r="AL22" s="68">
        <f>SUM('Jan 1-15'!AL22,'Jan 16-31'!AL22,'Feb 1-15'!AL22,'Feb 16-29'!AL22,'Mar 1-15'!AL22,'Mar 16-31'!AL22,'Apr 1-15'!AL22,'Apr 16-30'!AL22,'May 1-15'!AL22,'May 16-31'!AL22,'Jun 1-15'!AL22,'Jun 16-30'!AL22)</f>
        <v>0</v>
      </c>
      <c r="AM22" s="66">
        <f>SUM('Jan 1-15'!AM22,'Jan 16-31'!AM22,'Feb 1-15'!AM22,'Feb 16-29'!AM22,'Mar 1-15'!AM22,'Mar 16-31'!AM22,'Apr 1-15'!AM22,'Apr 16-30'!AM22,'May 1-15'!AM22,'May 16-31'!AM22,'Jun 1-15'!AM22,'Jun 16-30'!AM22)</f>
        <v>0</v>
      </c>
      <c r="AN22" s="67" t="str">
        <f t="shared" si="34"/>
        <v>#DIV/0!</v>
      </c>
      <c r="AO22" s="68">
        <f>SUM('Jan 1-15'!AO22,'Jan 16-31'!AO22,'Feb 1-15'!AO22,'Feb 16-29'!AO22,'Mar 1-15'!AO22,'Mar 16-31'!AO22,'Apr 1-15'!AO22,'Apr 16-30'!AO22,'May 1-15'!AO22,'May 16-31'!AO22,'Jun 1-15'!AO22,'Jun 16-30'!AO22)</f>
        <v>0</v>
      </c>
      <c r="AP22" s="66">
        <f>SUM('Jan 1-15'!AP22,'Jan 16-31'!AP22,'Feb 1-15'!AP22,'Feb 16-29'!AP22,'Mar 1-15'!AP22,'Mar 16-31'!AP22,'Apr 1-15'!AP22,'Apr 16-30'!AP22,'May 1-15'!AP22,'May 16-31'!AP22,'Jun 1-15'!AP22,'Jun 16-30'!AP22)</f>
        <v>0</v>
      </c>
      <c r="AQ22" s="67" t="str">
        <f t="shared" si="35"/>
        <v>#DIV/0!</v>
      </c>
      <c r="AR22" s="68">
        <f>SUM('Jan 1-15'!AR22,'Jan 16-31'!AR22,'Feb 1-15'!AR22,'Feb 16-29'!AR22,'Mar 1-15'!AR22,'Mar 16-31'!AR22,'Apr 1-15'!AR22,'Apr 16-30'!AR22,'May 1-15'!AR22,'May 16-31'!AR22,'Jun 1-15'!AR22,'Jun 16-30'!AR22)</f>
        <v>0</v>
      </c>
      <c r="AS22" s="66">
        <f t="shared" si="46"/>
        <v>52.6</v>
      </c>
      <c r="AT22" s="67">
        <f t="shared" si="36"/>
        <v>4.128136882</v>
      </c>
      <c r="AU22" s="68">
        <f t="shared" si="47"/>
        <v>217.14</v>
      </c>
      <c r="AV22" s="66">
        <f t="shared" si="48"/>
        <v>16.8</v>
      </c>
      <c r="AW22" s="67">
        <f t="shared" si="37"/>
        <v>4.785714286</v>
      </c>
      <c r="AX22" s="71">
        <f t="shared" ref="AX22:AY22" si="78">E22+W22</f>
        <v>80.4</v>
      </c>
      <c r="AY22" s="66">
        <f t="shared" si="78"/>
        <v>0</v>
      </c>
      <c r="AZ22" s="67" t="str">
        <f t="shared" si="39"/>
        <v>#DIV/0!</v>
      </c>
      <c r="BA22" s="72">
        <f t="shared" si="50"/>
        <v>0</v>
      </c>
      <c r="BB22" s="73">
        <f t="shared" si="51"/>
        <v>54</v>
      </c>
      <c r="BC22" s="67">
        <f t="shared" si="40"/>
        <v>3.9</v>
      </c>
      <c r="BD22" s="71">
        <f t="shared" ref="BD22:BE22" si="79">AL22+AC22+K22</f>
        <v>210.6</v>
      </c>
      <c r="BE22" s="66">
        <f t="shared" si="79"/>
        <v>0</v>
      </c>
      <c r="BF22" s="67" t="str">
        <f t="shared" si="42"/>
        <v>#DIV/0!</v>
      </c>
      <c r="BG22" s="72">
        <f t="shared" ref="BG22:BH22" si="80">AO22+AF22+N22</f>
        <v>0</v>
      </c>
      <c r="BH22" s="66">
        <f t="shared" si="80"/>
        <v>5.4</v>
      </c>
      <c r="BI22" s="67">
        <f t="shared" si="44"/>
        <v>3.2</v>
      </c>
      <c r="BJ22" s="72">
        <f t="shared" si="54"/>
        <v>17.28</v>
      </c>
      <c r="BK22" s="73">
        <f t="shared" si="55"/>
        <v>76.2</v>
      </c>
      <c r="BL22" s="67">
        <f t="shared" si="45"/>
        <v>4.045669291</v>
      </c>
      <c r="BM22" s="68">
        <f t="shared" si="56"/>
        <v>308.28</v>
      </c>
      <c r="BN22" s="76"/>
    </row>
    <row r="23" ht="14.25" customHeight="1">
      <c r="A23" s="65" t="s">
        <v>33</v>
      </c>
      <c r="B23" s="65">
        <f>SUM('Jan 1-15'!B23,'Jan 16-31'!B23,'Feb 1-15'!B23,'Feb 16-29'!B23,'Mar 1-15'!B23,'Mar 16-31'!B23,'Apr 1-15'!B23,'Apr 16-30'!B23,'May 1-15'!B23,'May 16-31'!B23,'Jun 1-15'!B23,'Jun 16-30'!B23)</f>
        <v>175</v>
      </c>
      <c r="C23" s="66">
        <f>SUM('Jan 1-15'!C23,'Jan 16-31'!C23,'Feb 1-15'!C23,'Feb 16-29'!C23,'Mar 1-15'!C23,'Mar 16-31'!C23,'Apr 1-15'!C23,'Apr 16-30'!C23,'May 1-15'!C23,'May 16-31'!C23,'Jun 1-15'!C23,'Jun 16-30'!C23)</f>
        <v>13</v>
      </c>
      <c r="D23" s="67">
        <f t="shared" si="22"/>
        <v>5</v>
      </c>
      <c r="E23" s="68">
        <f>SUM('Jan 1-15'!E23,'Jan 16-31'!E23,'Feb 1-15'!E23,'Feb 16-29'!E23,'Mar 1-15'!E23,'Mar 16-31'!E23,'Apr 1-15'!E23,'Apr 16-30'!E23,'May 1-15'!E23,'May 16-31'!E23,'Jun 1-15'!E23,'Jun 16-30'!E23)</f>
        <v>65</v>
      </c>
      <c r="F23" s="66">
        <f>SUM('Jan 1-15'!F23,'Jan 16-31'!F23,'Feb 1-15'!F23,'Feb 16-29'!F23,'Mar 1-15'!F23,'Mar 16-31'!F23,'Apr 1-15'!F23,'Apr 16-30'!F23,'May 1-15'!F23,'May 16-31'!F23,'Jun 1-15'!F23,'Jun 16-30'!F23)</f>
        <v>0</v>
      </c>
      <c r="G23" s="67" t="str">
        <f t="shared" si="23"/>
        <v>#DIV/0!</v>
      </c>
      <c r="H23" s="68">
        <f>SUM('Jan 1-15'!H23,'Jan 16-31'!H23,'Feb 1-15'!H23,'Feb 16-29'!H23,'Mar 1-15'!H23,'Mar 16-31'!H23,'Apr 1-15'!H23,'Apr 16-30'!H23,'May 1-15'!H23,'May 16-31'!H23,'Jun 1-15'!H23,'Jun 16-30'!H23)</f>
        <v>0</v>
      </c>
      <c r="I23" s="66">
        <f>SUM('Jan 1-15'!I23,'Jan 16-31'!I23,'Feb 1-15'!I23,'Feb 16-29'!I23,'Mar 1-15'!I23,'Mar 16-31'!I23,'Apr 1-15'!I23,'Apr 16-30'!I23,'May 1-15'!I23,'May 16-31'!I23,'Jun 1-15'!I23,'Jun 16-30'!I23)</f>
        <v>47.3</v>
      </c>
      <c r="J23" s="67">
        <f t="shared" si="24"/>
        <v>3.9</v>
      </c>
      <c r="K23" s="68">
        <f>SUM('Jan 1-15'!K23,'Jan 16-31'!K23,'Feb 1-15'!K23,'Feb 16-29'!K23,'Mar 1-15'!K23,'Mar 16-31'!K23,'Apr 1-15'!K23,'Apr 16-30'!K23,'May 1-15'!K23,'May 16-31'!K23,'Jun 1-15'!K23,'Jun 16-30'!K23)</f>
        <v>184.47</v>
      </c>
      <c r="L23" s="66">
        <f>SUM('Jan 1-15'!L23,'Jan 16-31'!L23,'Feb 1-15'!L23,'Feb 16-29'!L23,'Mar 1-15'!L23,'Mar 16-31'!L23,'Apr 1-15'!L23,'Apr 16-30'!L23,'May 1-15'!L23,'May 16-31'!L23,'Jun 1-15'!L23,'Jun 16-30'!L23)</f>
        <v>0</v>
      </c>
      <c r="M23" s="67" t="str">
        <f t="shared" si="25"/>
        <v>#DIV/0!</v>
      </c>
      <c r="N23" s="68">
        <f>SUM('Jan 1-15'!N23,'Jan 16-31'!N23,'Feb 1-15'!N23,'Feb 16-29'!N23,'Mar 1-15'!N23,'Mar 16-31'!N23,'Apr 1-15'!N23,'Apr 16-30'!N23,'May 1-15'!N23,'May 16-31'!N23,'Jun 1-15'!N23,'Jun 16-30'!N23)</f>
        <v>0</v>
      </c>
      <c r="O23" s="66">
        <f>SUM('Jan 1-15'!O23,'Jan 16-31'!O23,'Feb 1-15'!O23,'Feb 16-29'!O23,'Mar 1-15'!O23,'Mar 16-31'!O23,'Apr 1-15'!O23,'Apr 16-30'!O23,'May 1-15'!O23,'May 16-31'!O23,'Jun 1-15'!O23,'Jun 16-30'!O23)</f>
        <v>0</v>
      </c>
      <c r="P23" s="67" t="str">
        <f t="shared" si="26"/>
        <v>#DIV/0!</v>
      </c>
      <c r="Q23" s="68">
        <f>SUM('Jan 1-15'!Q23,'Jan 16-31'!Q23,'Feb 1-15'!Q23,'Feb 16-29'!Q23,'Mar 1-15'!Q23,'Mar 16-31'!Q23,'Apr 1-15'!Q23,'Apr 16-30'!Q23,'May 1-15'!Q23,'May 16-31'!Q23,'Jun 1-15'!Q23,'Jun 16-30'!Q23)</f>
        <v>0</v>
      </c>
      <c r="R23" s="66">
        <f>SUM('Jan 1-15'!R23,'Jan 16-31'!R23,'Feb 1-15'!R23,'Feb 16-29'!R23,'Mar 1-15'!R23,'Mar 16-31'!R23,'Apr 1-15'!R23,'Apr 16-30'!R23,'May 1-15'!R23,'May 16-31'!R23,'Jun 1-15'!R23,'Jun 16-30'!R23)</f>
        <v>0.8</v>
      </c>
      <c r="S23" s="67">
        <f t="shared" si="27"/>
        <v>3.9</v>
      </c>
      <c r="T23" s="68">
        <f>SUM('Jan 1-15'!T23,'Jan 16-31'!T23,'Feb 1-15'!T23,'Feb 16-29'!T23,'Mar 1-15'!T23,'Mar 16-31'!T23,'Apr 1-15'!T23,'Apr 16-30'!T23,'May 1-15'!T23,'May 16-31'!T23,'Jun 1-15'!T23,'Jun 16-30'!T23)</f>
        <v>3.12</v>
      </c>
      <c r="U23" s="66">
        <f>SUM('Jan 1-15'!U23,'Jan 16-31'!U23,'Feb 1-15'!U23,'Feb 16-29'!U23,'Mar 1-15'!U23,'Mar 16-31'!U23,'Apr 1-15'!U23,'Apr 16-30'!U23,'May 1-15'!U23,'May 16-31'!U23,'Jun 1-15'!U23,'Jun 16-30'!U23)</f>
        <v>106.5</v>
      </c>
      <c r="V23" s="67">
        <f t="shared" si="28"/>
        <v>4.7</v>
      </c>
      <c r="W23" s="68">
        <f>SUM('Jan 1-15'!W23,'Jan 16-31'!W23,'Feb 1-15'!W23,'Feb 16-29'!W23,'Mar 1-15'!W23,'Mar 16-31'!W23,'Apr 1-15'!W23,'Apr 16-30'!W23,'May 1-15'!W23,'May 16-31'!W23,'Jun 1-15'!W23,'Jun 16-30'!W23)</f>
        <v>500.55</v>
      </c>
      <c r="X23" s="66">
        <f>SUM('Jan 1-15'!X23,'Jan 16-31'!X23,'Feb 1-15'!X23,'Feb 16-29'!X23,'Mar 1-15'!X23,'Mar 16-31'!X23,'Apr 1-15'!X23,'Apr 16-30'!X23,'May 1-15'!X23,'May 16-31'!X23,'Jun 1-15'!X23,'Jun 16-30'!X23)</f>
        <v>0</v>
      </c>
      <c r="Y23" s="67" t="str">
        <f t="shared" si="29"/>
        <v>#DIV/0!</v>
      </c>
      <c r="Z23" s="68">
        <f>SUM('Jan 1-15'!Z23,'Jan 16-31'!Z23,'Feb 1-15'!Z23,'Feb 16-29'!Z23,'Mar 1-15'!Z23,'Mar 16-31'!Z23,'Apr 1-15'!Z23,'Apr 16-30'!Z23,'May 1-15'!Z23,'May 16-31'!Z23,'Jun 1-15'!Z23,'Jun 16-30'!Z23)</f>
        <v>0</v>
      </c>
      <c r="AA23" s="66">
        <f>SUM('Jan 1-15'!AA23,'Jan 16-31'!AA23,'Feb 1-15'!AA23,'Feb 16-29'!AA23,'Mar 1-15'!AA23,'Mar 16-31'!AA23,'Apr 1-15'!AA23,'Apr 16-30'!AA23,'May 1-15'!AA23,'May 16-31'!AA23,'Jun 1-15'!AA23,'Jun 16-30'!AA23)</f>
        <v>76.5</v>
      </c>
      <c r="AB23" s="67">
        <f t="shared" si="30"/>
        <v>3.9</v>
      </c>
      <c r="AC23" s="68">
        <f>SUM('Jan 1-15'!AC23,'Jan 16-31'!AC23,'Feb 1-15'!AC23,'Feb 16-29'!AC23,'Mar 1-15'!AC23,'Mar 16-31'!AC23,'Apr 1-15'!AC23,'Apr 16-30'!AC23,'May 1-15'!AC23,'May 16-31'!AC23,'Jun 1-15'!AC23,'Jun 16-30'!AC23)</f>
        <v>298.35</v>
      </c>
      <c r="AD23" s="66">
        <f>SUM('Jan 1-15'!AD23,'Jan 16-31'!AD23,'Feb 1-15'!AD23,'Feb 16-29'!AD23,'Mar 1-15'!AD23,'Mar 16-31'!AD23,'Apr 1-15'!AD23,'Apr 16-30'!AD23,'May 1-15'!AD23,'May 16-31'!AD23,'Jun 1-15'!AD23,'Jun 16-30'!AD23)</f>
        <v>0</v>
      </c>
      <c r="AE23" s="67" t="str">
        <f t="shared" si="31"/>
        <v>#DIV/0!</v>
      </c>
      <c r="AF23" s="68">
        <f>SUM('Jan 1-15'!AF23,'Jan 16-31'!AF23,'Feb 1-15'!AF23,'Feb 16-29'!AF23,'Mar 1-15'!AF23,'Mar 16-31'!AF23,'Apr 1-15'!AF23,'Apr 16-30'!AF23,'May 1-15'!AF23,'May 16-31'!AF23,'Jun 1-15'!AF23,'Jun 16-30'!AF23)</f>
        <v>0</v>
      </c>
      <c r="AG23" s="66">
        <f>SUM('Jan 1-15'!AG23,'Jan 16-31'!AG23,'Feb 1-15'!AG23,'Feb 16-29'!AG23,'Mar 1-15'!AG23,'Mar 16-31'!AG23,'Apr 1-15'!AG23,'Apr 16-30'!AG23,'May 1-15'!AG23,'May 16-31'!AG23,'Jun 1-15'!AG23,'Jun 16-30'!AG23)</f>
        <v>0</v>
      </c>
      <c r="AH23" s="67" t="str">
        <f t="shared" si="32"/>
        <v>#DIV/0!</v>
      </c>
      <c r="AI23" s="68">
        <f>SUM('Jan 1-15'!AI23,'Jan 16-31'!AI23,'Feb 1-15'!AI23,'Feb 16-29'!AI23,'Mar 1-15'!AI23,'Mar 16-31'!AI23,'Apr 1-15'!AI23,'Apr 16-30'!AI23,'May 1-15'!AI23,'May 16-31'!AI23,'Jun 1-15'!AI23,'Jun 16-30'!AI23)</f>
        <v>0</v>
      </c>
      <c r="AJ23" s="66">
        <f>SUM('Jan 1-15'!AJ23,'Jan 16-31'!AJ23,'Feb 1-15'!AJ23,'Feb 16-29'!AJ23,'Mar 1-15'!AJ23,'Mar 16-31'!AJ23,'Apr 1-15'!AJ23,'Apr 16-30'!AJ23,'May 1-15'!AJ23,'May 16-31'!AJ23,'Jun 1-15'!AJ23,'Jun 16-30'!AJ23)</f>
        <v>0</v>
      </c>
      <c r="AK23" s="67" t="str">
        <f t="shared" si="33"/>
        <v>#DIV/0!</v>
      </c>
      <c r="AL23" s="68">
        <f>SUM('Jan 1-15'!AL23,'Jan 16-31'!AL23,'Feb 1-15'!AL23,'Feb 16-29'!AL23,'Mar 1-15'!AL23,'Mar 16-31'!AL23,'Apr 1-15'!AL23,'Apr 16-30'!AL23,'May 1-15'!AL23,'May 16-31'!AL23,'Jun 1-15'!AL23,'Jun 16-30'!AL23)</f>
        <v>0</v>
      </c>
      <c r="AM23" s="66">
        <f>SUM('Jan 1-15'!AM23,'Jan 16-31'!AM23,'Feb 1-15'!AM23,'Feb 16-29'!AM23,'Mar 1-15'!AM23,'Mar 16-31'!AM23,'Apr 1-15'!AM23,'Apr 16-30'!AM23,'May 1-15'!AM23,'May 16-31'!AM23,'Jun 1-15'!AM23,'Jun 16-30'!AM23)</f>
        <v>0</v>
      </c>
      <c r="AN23" s="67" t="str">
        <f t="shared" si="34"/>
        <v>#DIV/0!</v>
      </c>
      <c r="AO23" s="68">
        <f>SUM('Jan 1-15'!AO23,'Jan 16-31'!AO23,'Feb 1-15'!AO23,'Feb 16-29'!AO23,'Mar 1-15'!AO23,'Mar 16-31'!AO23,'Apr 1-15'!AO23,'Apr 16-30'!AO23,'May 1-15'!AO23,'May 16-31'!AO23,'Jun 1-15'!AO23,'Jun 16-30'!AO23)</f>
        <v>0</v>
      </c>
      <c r="AP23" s="66">
        <f>SUM('Jan 1-15'!AP23,'Jan 16-31'!AP23,'Feb 1-15'!AP23,'Feb 16-29'!AP23,'Mar 1-15'!AP23,'Mar 16-31'!AP23,'Apr 1-15'!AP23,'Apr 16-30'!AP23,'May 1-15'!AP23,'May 16-31'!AP23,'Jun 1-15'!AP23,'Jun 16-30'!AP23)</f>
        <v>0</v>
      </c>
      <c r="AQ23" s="67" t="str">
        <f t="shared" si="35"/>
        <v>#DIV/0!</v>
      </c>
      <c r="AR23" s="68">
        <f>SUM('Jan 1-15'!AR23,'Jan 16-31'!AR23,'Feb 1-15'!AR23,'Feb 16-29'!AR23,'Mar 1-15'!AR23,'Mar 16-31'!AR23,'Apr 1-15'!AR23,'Apr 16-30'!AR23,'May 1-15'!AR23,'May 16-31'!AR23,'Jun 1-15'!AR23,'Jun 16-30'!AR23)</f>
        <v>0</v>
      </c>
      <c r="AS23" s="66">
        <f t="shared" si="46"/>
        <v>183</v>
      </c>
      <c r="AT23" s="67">
        <f t="shared" si="36"/>
        <v>4.36557377</v>
      </c>
      <c r="AU23" s="68">
        <f t="shared" si="47"/>
        <v>798.9</v>
      </c>
      <c r="AV23" s="66">
        <f t="shared" si="48"/>
        <v>119.5</v>
      </c>
      <c r="AW23" s="67">
        <f t="shared" si="37"/>
        <v>4.732635983</v>
      </c>
      <c r="AX23" s="71">
        <f t="shared" ref="AX23:AY23" si="81">E23+W23</f>
        <v>565.55</v>
      </c>
      <c r="AY23" s="66">
        <f t="shared" si="81"/>
        <v>0</v>
      </c>
      <c r="AZ23" s="67" t="str">
        <f t="shared" si="39"/>
        <v>#DIV/0!</v>
      </c>
      <c r="BA23" s="72">
        <f t="shared" si="50"/>
        <v>0</v>
      </c>
      <c r="BB23" s="73">
        <f t="shared" si="51"/>
        <v>123.8</v>
      </c>
      <c r="BC23" s="67">
        <f t="shared" si="40"/>
        <v>3.9</v>
      </c>
      <c r="BD23" s="71">
        <f t="shared" ref="BD23:BE23" si="82">AL23+AC23+K23</f>
        <v>482.82</v>
      </c>
      <c r="BE23" s="66">
        <f t="shared" si="82"/>
        <v>0</v>
      </c>
      <c r="BF23" s="67" t="str">
        <f t="shared" si="42"/>
        <v>#DIV/0!</v>
      </c>
      <c r="BG23" s="72">
        <f t="shared" ref="BG23:BH23" si="83">AO23+AF23+N23</f>
        <v>0</v>
      </c>
      <c r="BH23" s="66">
        <f t="shared" si="83"/>
        <v>0</v>
      </c>
      <c r="BI23" s="67" t="str">
        <f t="shared" si="44"/>
        <v>#DIV/0!</v>
      </c>
      <c r="BJ23" s="72">
        <f t="shared" si="54"/>
        <v>0</v>
      </c>
      <c r="BK23" s="73">
        <f t="shared" si="55"/>
        <v>243.3</v>
      </c>
      <c r="BL23" s="67">
        <f t="shared" si="45"/>
        <v>4.308960132</v>
      </c>
      <c r="BM23" s="68">
        <f t="shared" si="56"/>
        <v>1048.37</v>
      </c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79"/>
      <c r="S24" s="80"/>
      <c r="T24" s="81"/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/>
      <c r="AT24" s="80"/>
      <c r="AU24" s="81"/>
      <c r="AV24" s="79"/>
      <c r="AW24" s="80"/>
      <c r="AX24" s="82"/>
      <c r="AY24" s="79"/>
      <c r="AZ24" s="80"/>
      <c r="BA24" s="83"/>
      <c r="BB24" s="84"/>
      <c r="BC24" s="80"/>
      <c r="BD24" s="82"/>
      <c r="BE24" s="79"/>
      <c r="BF24" s="80"/>
      <c r="BG24" s="83"/>
      <c r="BH24" s="79"/>
      <c r="BI24" s="80"/>
      <c r="BJ24" s="83"/>
      <c r="BK24" s="84"/>
      <c r="BL24" s="80"/>
      <c r="BM24" s="81"/>
      <c r="BN24" s="85"/>
    </row>
    <row r="25" ht="14.25" customHeight="1">
      <c r="A25" s="86" t="s">
        <v>34</v>
      </c>
      <c r="B25" s="86"/>
    </row>
    <row r="26" ht="14.25" customHeight="1">
      <c r="A26" s="87" t="s">
        <v>35</v>
      </c>
      <c r="B26" s="87"/>
    </row>
    <row r="27" ht="14.25" customHeight="1">
      <c r="A27" s="88"/>
      <c r="B27" s="88"/>
    </row>
    <row r="28" ht="14.25" customHeight="1"/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paperSize="14" scale="4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14.25" customHeight="1">
      <c r="A6" s="90" t="s">
        <v>37</v>
      </c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91" t="s">
        <v>38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45</v>
      </c>
      <c r="C12" s="56">
        <f t="shared" si="1"/>
        <v>2.6</v>
      </c>
      <c r="D12" s="57">
        <f t="shared" ref="D12:D23" si="22">E12/C12</f>
        <v>4.5</v>
      </c>
      <c r="E12" s="58">
        <f t="shared" ref="E12:F12" si="2">SUM(E13:E24)</f>
        <v>11.7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56">
        <f t="shared" si="3"/>
        <v>30.2</v>
      </c>
      <c r="J12" s="57">
        <f t="shared" ref="J12:J23" si="24">K12/I12</f>
        <v>3.848013245</v>
      </c>
      <c r="K12" s="58">
        <f t="shared" ref="K12:L12" si="4">SUM(K13:K24)</f>
        <v>116.21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56">
        <f t="shared" si="5"/>
        <v>10.1</v>
      </c>
      <c r="P12" s="57">
        <f t="shared" ref="P12:P23" si="26">Q12/O12</f>
        <v>3.2</v>
      </c>
      <c r="Q12" s="58">
        <f t="shared" ref="Q12:R12" si="6">SUM(Q13:Q24)</f>
        <v>32.32</v>
      </c>
      <c r="R12" s="56">
        <f t="shared" si="6"/>
        <v>42.9</v>
      </c>
      <c r="S12" s="57">
        <f t="shared" ref="S12:S23" si="27">T12/R12</f>
        <v>3.734965035</v>
      </c>
      <c r="T12" s="58">
        <f t="shared" ref="T12:U12" si="7">SUM(T13:T24)</f>
        <v>160.23</v>
      </c>
      <c r="U12" s="56">
        <f t="shared" si="7"/>
        <v>1</v>
      </c>
      <c r="V12" s="57">
        <f t="shared" ref="V12:V23" si="28">W12/U12</f>
        <v>4.5</v>
      </c>
      <c r="W12" s="58">
        <f t="shared" ref="W12:X12" si="8">SUM(W13:W24)</f>
        <v>4.5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92">
        <f t="shared" si="9"/>
        <v>23.1</v>
      </c>
      <c r="AB12" s="57">
        <f t="shared" ref="AB12:AB23" si="30">AC12/AA12</f>
        <v>3.9</v>
      </c>
      <c r="AC12" s="63">
        <f t="shared" ref="AC12:AD12" si="10">SUM(AC13:AC24)</f>
        <v>90.09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56">
        <f t="shared" si="11"/>
        <v>6</v>
      </c>
      <c r="AH12" s="57">
        <f t="shared" ref="AH12:AH23" si="32">AI12/AG12</f>
        <v>3.2</v>
      </c>
      <c r="AI12" s="58">
        <f t="shared" ref="AI12:AJ12" si="12">SUM(AI13:AI24)</f>
        <v>19.2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56">
        <f t="shared" si="15"/>
        <v>30.1</v>
      </c>
      <c r="AT12" s="57">
        <f t="shared" ref="AT12:AT23" si="36">AU12/AS12</f>
        <v>3.780398671</v>
      </c>
      <c r="AU12" s="58">
        <f t="shared" ref="AU12:AV12" si="16">SUM(AU13:AU24)</f>
        <v>113.79</v>
      </c>
      <c r="AV12" s="56">
        <f t="shared" si="16"/>
        <v>3.6</v>
      </c>
      <c r="AW12" s="57">
        <f t="shared" ref="AW12:AW24" si="37">AX12/AV12</f>
        <v>4.5</v>
      </c>
      <c r="AX12" s="59">
        <f t="shared" ref="AX12:AY12" si="17">SUM(AX13:AX24)</f>
        <v>16.2</v>
      </c>
      <c r="AY12" s="56">
        <f t="shared" si="17"/>
        <v>0</v>
      </c>
      <c r="AZ12" s="57" t="str">
        <f t="shared" ref="AZ12:AZ24" si="39">BA12/AY12</f>
        <v>#DIV/0!</v>
      </c>
      <c r="BA12" s="60">
        <f t="shared" ref="BA12:BB12" si="18">SUM(BA13:BA24)</f>
        <v>0</v>
      </c>
      <c r="BB12" s="61">
        <f t="shared" si="18"/>
        <v>53.3</v>
      </c>
      <c r="BC12" s="57">
        <f t="shared" ref="BC12:BC24" si="40">BD12/BB12</f>
        <v>3.87054409</v>
      </c>
      <c r="BD12" s="59">
        <f t="shared" ref="BD12:BE12" si="19">SUM(BD13:BD24)</f>
        <v>206.3</v>
      </c>
      <c r="BE12" s="56">
        <f t="shared" si="19"/>
        <v>0</v>
      </c>
      <c r="BF12" s="57" t="str">
        <f t="shared" ref="BF12:BF24" si="42">BG12/BE12</f>
        <v>#DIV/0!</v>
      </c>
      <c r="BG12" s="60">
        <f t="shared" ref="BG12:BH12" si="20">SUM(BG13:BG24)</f>
        <v>0</v>
      </c>
      <c r="BH12" s="56">
        <f t="shared" si="20"/>
        <v>16.1</v>
      </c>
      <c r="BI12" s="57">
        <f t="shared" ref="BI12:BI24" si="44">BJ12/BH12</f>
        <v>3.2</v>
      </c>
      <c r="BJ12" s="60">
        <f t="shared" ref="BJ12:BK12" si="21">SUM(BJ13:BJ24)</f>
        <v>51.52</v>
      </c>
      <c r="BK12" s="62">
        <f t="shared" si="21"/>
        <v>73</v>
      </c>
      <c r="BL12" s="57">
        <f t="shared" ref="BL12:BL24" si="45">BM12/BK12</f>
        <v>3.75369863</v>
      </c>
      <c r="BM12" s="63">
        <f>SUM(BM13:BM24)</f>
        <v>274.02</v>
      </c>
      <c r="BN12" s="64"/>
    </row>
    <row r="13" ht="14.25" customHeight="1">
      <c r="A13" s="65" t="s">
        <v>23</v>
      </c>
      <c r="B13" s="93">
        <v>0.0</v>
      </c>
      <c r="C13" s="66"/>
      <c r="D13" s="67" t="str">
        <f t="shared" si="22"/>
        <v>#DIV/0!</v>
      </c>
      <c r="E13" s="94">
        <v>0.0</v>
      </c>
      <c r="F13" s="66"/>
      <c r="G13" s="67" t="str">
        <f t="shared" si="23"/>
        <v>#DIV/0!</v>
      </c>
      <c r="H13" s="68"/>
      <c r="I13" s="66"/>
      <c r="J13" s="67" t="str">
        <f t="shared" si="24"/>
        <v>#DIV/0!</v>
      </c>
      <c r="K13" s="94">
        <v>0.0</v>
      </c>
      <c r="L13" s="66"/>
      <c r="M13" s="67" t="str">
        <f t="shared" si="25"/>
        <v>#DIV/0!</v>
      </c>
      <c r="N13" s="68"/>
      <c r="O13" s="66"/>
      <c r="P13" s="67" t="str">
        <f t="shared" si="26"/>
        <v>#DIV/0!</v>
      </c>
      <c r="Q13" s="94">
        <v>0.0</v>
      </c>
      <c r="R13" s="66">
        <f t="shared" ref="R13:R24" si="46">C13+F13+I13+L13+O13</f>
        <v>0</v>
      </c>
      <c r="S13" s="67" t="str">
        <f t="shared" si="27"/>
        <v>#DIV/0!</v>
      </c>
      <c r="T13" s="68">
        <f t="shared" ref="T13:T24" si="47">E13+H13+K13+N13+Q13</f>
        <v>0</v>
      </c>
      <c r="U13" s="66"/>
      <c r="V13" s="67" t="str">
        <f t="shared" si="28"/>
        <v>#DIV/0!</v>
      </c>
      <c r="W13" s="94">
        <v>0.0</v>
      </c>
      <c r="X13" s="66"/>
      <c r="Y13" s="67" t="str">
        <f t="shared" si="29"/>
        <v>#DIV/0!</v>
      </c>
      <c r="Z13" s="68"/>
      <c r="AA13" s="77"/>
      <c r="AB13" s="67" t="str">
        <f t="shared" si="30"/>
        <v>#DIV/0!</v>
      </c>
      <c r="AC13" s="95">
        <v>0.0</v>
      </c>
      <c r="AD13" s="66"/>
      <c r="AE13" s="67" t="str">
        <f t="shared" si="31"/>
        <v>#DIV/0!</v>
      </c>
      <c r="AF13" s="68"/>
      <c r="AG13" s="66"/>
      <c r="AH13" s="67" t="str">
        <f t="shared" si="32"/>
        <v>#DIV/0!</v>
      </c>
      <c r="AI13" s="94">
        <v>0.0</v>
      </c>
      <c r="AJ13" s="66"/>
      <c r="AK13" s="67" t="str">
        <f t="shared" si="33"/>
        <v>#DIV/0!</v>
      </c>
      <c r="AL13" s="68"/>
      <c r="AM13" s="66"/>
      <c r="AN13" s="67" t="str">
        <f t="shared" si="34"/>
        <v>#DIV/0!</v>
      </c>
      <c r="AO13" s="68"/>
      <c r="AP13" s="66"/>
      <c r="AQ13" s="67" t="str">
        <f t="shared" si="35"/>
        <v>#DIV/0!</v>
      </c>
      <c r="AR13" s="68"/>
      <c r="AS13" s="66">
        <f t="shared" ref="AS13:AS24" si="48">U13+X13+AA13+AD13+AG13+AJ13+AM13+AP13</f>
        <v>0</v>
      </c>
      <c r="AT13" s="67" t="str">
        <f t="shared" si="36"/>
        <v>#DIV/0!</v>
      </c>
      <c r="AU13" s="68">
        <f t="shared" ref="AU13:AU24" si="49">W13+Z13+AC13+AF13+AI13+AL13+AO13+AR13</f>
        <v>0</v>
      </c>
      <c r="AV13" s="66">
        <f t="shared" ref="AV13:AV24" si="50">C13+U13</f>
        <v>0</v>
      </c>
      <c r="AW13" s="67" t="str">
        <f t="shared" si="37"/>
        <v>#DIV/0!</v>
      </c>
      <c r="AX13" s="71">
        <f t="shared" ref="AX13:AY13" si="38">E13+W13</f>
        <v>0</v>
      </c>
      <c r="AY13" s="66">
        <f t="shared" si="38"/>
        <v>0</v>
      </c>
      <c r="AZ13" s="67" t="str">
        <f t="shared" si="39"/>
        <v>#DIV/0!</v>
      </c>
      <c r="BA13" s="72">
        <f t="shared" ref="BA13:BA24" si="52">H13+Z13</f>
        <v>0</v>
      </c>
      <c r="BB13" s="73">
        <f t="shared" ref="BB13:BB24" si="53">AJ13+AA13+I13</f>
        <v>0</v>
      </c>
      <c r="BC13" s="67" t="str">
        <f t="shared" si="40"/>
        <v>#DIV/0!</v>
      </c>
      <c r="BD13" s="71">
        <f t="shared" ref="BD13:BE13" si="41">AL13+AC13+K13</f>
        <v>0</v>
      </c>
      <c r="BE13" s="66">
        <f t="shared" si="41"/>
        <v>0</v>
      </c>
      <c r="BF13" s="67" t="str">
        <f t="shared" si="42"/>
        <v>#DIV/0!</v>
      </c>
      <c r="BG13" s="72">
        <f t="shared" ref="BG13:BH13" si="43">AO13+AF13+N13</f>
        <v>0</v>
      </c>
      <c r="BH13" s="66">
        <f t="shared" si="43"/>
        <v>0</v>
      </c>
      <c r="BI13" s="67" t="str">
        <f t="shared" si="44"/>
        <v>#DIV/0!</v>
      </c>
      <c r="BJ13" s="72">
        <f t="shared" ref="BJ13:BJ24" si="56">AR13+AI13+Q13</f>
        <v>0</v>
      </c>
      <c r="BK13" s="74">
        <f t="shared" ref="BK13:BK24" si="57">AV13+AY13+BB13+BE13+BH13</f>
        <v>0</v>
      </c>
      <c r="BL13" s="67" t="str">
        <f t="shared" si="45"/>
        <v>#DIV/0!</v>
      </c>
      <c r="BM13" s="75">
        <f t="shared" ref="BM13:BM24" si="58">AX13+BA13+BD13+BG13+BJ13</f>
        <v>0</v>
      </c>
      <c r="BN13" s="76"/>
    </row>
    <row r="14" ht="14.25" customHeight="1">
      <c r="A14" s="65" t="s">
        <v>24</v>
      </c>
      <c r="B14" s="93">
        <v>7.0</v>
      </c>
      <c r="C14" s="66"/>
      <c r="D14" s="67" t="str">
        <f t="shared" si="22"/>
        <v>#DIV/0!</v>
      </c>
      <c r="E14" s="94">
        <v>0.0</v>
      </c>
      <c r="F14" s="66"/>
      <c r="G14" s="67" t="str">
        <f t="shared" si="23"/>
        <v>#DIV/0!</v>
      </c>
      <c r="H14" s="68"/>
      <c r="I14" s="96">
        <v>8.0</v>
      </c>
      <c r="J14" s="67">
        <f t="shared" si="24"/>
        <v>3.9</v>
      </c>
      <c r="K14" s="94">
        <v>31.2</v>
      </c>
      <c r="L14" s="66"/>
      <c r="M14" s="67" t="str">
        <f t="shared" si="25"/>
        <v>#DIV/0!</v>
      </c>
      <c r="N14" s="68"/>
      <c r="O14" s="66"/>
      <c r="P14" s="67" t="str">
        <f t="shared" si="26"/>
        <v>#DIV/0!</v>
      </c>
      <c r="Q14" s="94">
        <v>0.0</v>
      </c>
      <c r="R14" s="66">
        <f t="shared" si="46"/>
        <v>8</v>
      </c>
      <c r="S14" s="67">
        <f t="shared" si="27"/>
        <v>3.9</v>
      </c>
      <c r="T14" s="68">
        <f t="shared" si="47"/>
        <v>31.2</v>
      </c>
      <c r="U14" s="66"/>
      <c r="V14" s="67" t="str">
        <f t="shared" si="28"/>
        <v>#DIV/0!</v>
      </c>
      <c r="W14" s="94">
        <v>0.0</v>
      </c>
      <c r="X14" s="66"/>
      <c r="Y14" s="67" t="str">
        <f t="shared" si="29"/>
        <v>#DIV/0!</v>
      </c>
      <c r="Z14" s="68"/>
      <c r="AA14" s="97">
        <v>1.5</v>
      </c>
      <c r="AB14" s="67">
        <f t="shared" si="30"/>
        <v>3.9</v>
      </c>
      <c r="AC14" s="95">
        <v>5.85</v>
      </c>
      <c r="AD14" s="66"/>
      <c r="AE14" s="67" t="str">
        <f t="shared" si="31"/>
        <v>#DIV/0!</v>
      </c>
      <c r="AF14" s="68"/>
      <c r="AG14" s="66"/>
      <c r="AH14" s="67" t="str">
        <f t="shared" si="32"/>
        <v>#DIV/0!</v>
      </c>
      <c r="AI14" s="94">
        <v>0.0</v>
      </c>
      <c r="AJ14" s="66"/>
      <c r="AK14" s="67" t="str">
        <f t="shared" si="33"/>
        <v>#DIV/0!</v>
      </c>
      <c r="AL14" s="68"/>
      <c r="AM14" s="66"/>
      <c r="AN14" s="67" t="str">
        <f t="shared" si="34"/>
        <v>#DIV/0!</v>
      </c>
      <c r="AO14" s="68"/>
      <c r="AP14" s="66"/>
      <c r="AQ14" s="67" t="str">
        <f t="shared" si="35"/>
        <v>#DIV/0!</v>
      </c>
      <c r="AR14" s="68"/>
      <c r="AS14" s="66">
        <f t="shared" si="48"/>
        <v>1.5</v>
      </c>
      <c r="AT14" s="67">
        <f t="shared" si="36"/>
        <v>3.9</v>
      </c>
      <c r="AU14" s="68">
        <f t="shared" si="49"/>
        <v>5.85</v>
      </c>
      <c r="AV14" s="66">
        <f t="shared" si="50"/>
        <v>0</v>
      </c>
      <c r="AW14" s="67" t="str">
        <f t="shared" si="37"/>
        <v>#DIV/0!</v>
      </c>
      <c r="AX14" s="71">
        <f t="shared" ref="AX14:AY14" si="51">E14+W14</f>
        <v>0</v>
      </c>
      <c r="AY14" s="66">
        <f t="shared" si="51"/>
        <v>0</v>
      </c>
      <c r="AZ14" s="67" t="str">
        <f t="shared" si="39"/>
        <v>#DIV/0!</v>
      </c>
      <c r="BA14" s="72">
        <f t="shared" si="52"/>
        <v>0</v>
      </c>
      <c r="BB14" s="73">
        <f t="shared" si="53"/>
        <v>9.5</v>
      </c>
      <c r="BC14" s="67">
        <f t="shared" si="40"/>
        <v>3.9</v>
      </c>
      <c r="BD14" s="71">
        <f t="shared" ref="BD14:BE14" si="54">AL14+AC14+K14</f>
        <v>37.05</v>
      </c>
      <c r="BE14" s="66">
        <f t="shared" si="54"/>
        <v>0</v>
      </c>
      <c r="BF14" s="67" t="str">
        <f t="shared" si="42"/>
        <v>#DIV/0!</v>
      </c>
      <c r="BG14" s="72">
        <f t="shared" ref="BG14:BH14" si="55">AO14+AF14+N14</f>
        <v>0</v>
      </c>
      <c r="BH14" s="66">
        <f t="shared" si="55"/>
        <v>0</v>
      </c>
      <c r="BI14" s="67" t="str">
        <f t="shared" si="44"/>
        <v>#DIV/0!</v>
      </c>
      <c r="BJ14" s="72">
        <f t="shared" si="56"/>
        <v>0</v>
      </c>
      <c r="BK14" s="74">
        <f t="shared" si="57"/>
        <v>9.5</v>
      </c>
      <c r="BL14" s="67">
        <f t="shared" si="45"/>
        <v>3.9</v>
      </c>
      <c r="BM14" s="75">
        <f t="shared" si="58"/>
        <v>37.05</v>
      </c>
      <c r="BN14" s="76"/>
    </row>
    <row r="15" ht="14.25" customHeight="1">
      <c r="A15" s="65" t="s">
        <v>25</v>
      </c>
      <c r="B15" s="93">
        <v>0.0</v>
      </c>
      <c r="C15" s="66"/>
      <c r="D15" s="67" t="str">
        <f t="shared" si="22"/>
        <v>#DIV/0!</v>
      </c>
      <c r="E15" s="94">
        <v>0.0</v>
      </c>
      <c r="F15" s="66"/>
      <c r="G15" s="67" t="str">
        <f t="shared" si="23"/>
        <v>#DIV/0!</v>
      </c>
      <c r="H15" s="68"/>
      <c r="I15" s="66"/>
      <c r="J15" s="67" t="str">
        <f t="shared" si="24"/>
        <v>#DIV/0!</v>
      </c>
      <c r="K15" s="94">
        <v>0.0</v>
      </c>
      <c r="L15" s="66"/>
      <c r="M15" s="67" t="str">
        <f t="shared" si="25"/>
        <v>#DIV/0!</v>
      </c>
      <c r="N15" s="68"/>
      <c r="O15" s="66"/>
      <c r="P15" s="67" t="str">
        <f t="shared" si="26"/>
        <v>#DIV/0!</v>
      </c>
      <c r="Q15" s="94">
        <v>0.0</v>
      </c>
      <c r="R15" s="66">
        <f t="shared" si="46"/>
        <v>0</v>
      </c>
      <c r="S15" s="67" t="str">
        <f t="shared" si="27"/>
        <v>#DIV/0!</v>
      </c>
      <c r="T15" s="68">
        <f t="shared" si="47"/>
        <v>0</v>
      </c>
      <c r="U15" s="66"/>
      <c r="V15" s="67" t="str">
        <f t="shared" si="28"/>
        <v>#DIV/0!</v>
      </c>
      <c r="W15" s="94">
        <v>0.0</v>
      </c>
      <c r="X15" s="66"/>
      <c r="Y15" s="67" t="str">
        <f t="shared" si="29"/>
        <v>#DIV/0!</v>
      </c>
      <c r="Z15" s="68"/>
      <c r="AA15" s="66"/>
      <c r="AB15" s="67" t="str">
        <f t="shared" si="30"/>
        <v>#DIV/0!</v>
      </c>
      <c r="AC15" s="94">
        <v>0.0</v>
      </c>
      <c r="AD15" s="66"/>
      <c r="AE15" s="67" t="str">
        <f t="shared" si="31"/>
        <v>#DIV/0!</v>
      </c>
      <c r="AF15" s="68"/>
      <c r="AG15" s="66"/>
      <c r="AH15" s="67" t="str">
        <f t="shared" si="32"/>
        <v>#DIV/0!</v>
      </c>
      <c r="AI15" s="94">
        <v>0.0</v>
      </c>
      <c r="AJ15" s="66"/>
      <c r="AK15" s="67" t="str">
        <f t="shared" si="33"/>
        <v>#DIV/0!</v>
      </c>
      <c r="AL15" s="68"/>
      <c r="AM15" s="66"/>
      <c r="AN15" s="67" t="str">
        <f t="shared" si="34"/>
        <v>#DIV/0!</v>
      </c>
      <c r="AO15" s="68"/>
      <c r="AP15" s="66"/>
      <c r="AQ15" s="67" t="str">
        <f t="shared" si="35"/>
        <v>#DIV/0!</v>
      </c>
      <c r="AR15" s="68"/>
      <c r="AS15" s="66">
        <f t="shared" si="48"/>
        <v>0</v>
      </c>
      <c r="AT15" s="67" t="str">
        <f t="shared" si="36"/>
        <v>#DIV/0!</v>
      </c>
      <c r="AU15" s="68">
        <f t="shared" si="49"/>
        <v>0</v>
      </c>
      <c r="AV15" s="66">
        <f t="shared" si="50"/>
        <v>0</v>
      </c>
      <c r="AW15" s="67" t="str">
        <f t="shared" si="37"/>
        <v>#DIV/0!</v>
      </c>
      <c r="AX15" s="71">
        <f t="shared" ref="AX15:AY15" si="59">E15+W15</f>
        <v>0</v>
      </c>
      <c r="AY15" s="66">
        <f t="shared" si="59"/>
        <v>0</v>
      </c>
      <c r="AZ15" s="67" t="str">
        <f t="shared" si="39"/>
        <v>#DIV/0!</v>
      </c>
      <c r="BA15" s="72">
        <f t="shared" si="52"/>
        <v>0</v>
      </c>
      <c r="BB15" s="73">
        <f t="shared" si="53"/>
        <v>0</v>
      </c>
      <c r="BC15" s="67" t="str">
        <f t="shared" si="40"/>
        <v>#DIV/0!</v>
      </c>
      <c r="BD15" s="71">
        <f t="shared" ref="BD15:BE15" si="60">AL15+AC15+K15</f>
        <v>0</v>
      </c>
      <c r="BE15" s="66">
        <f t="shared" si="60"/>
        <v>0</v>
      </c>
      <c r="BF15" s="67" t="str">
        <f t="shared" si="42"/>
        <v>#DIV/0!</v>
      </c>
      <c r="BG15" s="72">
        <f t="shared" ref="BG15:BH15" si="61">AO15+AF15+N15</f>
        <v>0</v>
      </c>
      <c r="BH15" s="66">
        <f t="shared" si="61"/>
        <v>0</v>
      </c>
      <c r="BI15" s="67" t="str">
        <f t="shared" si="44"/>
        <v>#DIV/0!</v>
      </c>
      <c r="BJ15" s="72">
        <f t="shared" si="56"/>
        <v>0</v>
      </c>
      <c r="BK15" s="73">
        <f t="shared" si="57"/>
        <v>0</v>
      </c>
      <c r="BL15" s="67" t="str">
        <f t="shared" si="45"/>
        <v>#DIV/0!</v>
      </c>
      <c r="BM15" s="68">
        <f t="shared" si="58"/>
        <v>0</v>
      </c>
      <c r="BN15" s="76"/>
    </row>
    <row r="16" ht="14.25" customHeight="1">
      <c r="A16" s="65" t="s">
        <v>26</v>
      </c>
      <c r="B16" s="93">
        <v>20.0</v>
      </c>
      <c r="C16" s="66"/>
      <c r="D16" s="67" t="str">
        <f t="shared" si="22"/>
        <v>#DIV/0!</v>
      </c>
      <c r="E16" s="94">
        <v>0.0</v>
      </c>
      <c r="F16" s="66"/>
      <c r="G16" s="67" t="str">
        <f t="shared" si="23"/>
        <v>#DIV/0!</v>
      </c>
      <c r="H16" s="68"/>
      <c r="I16" s="96">
        <v>5.5</v>
      </c>
      <c r="J16" s="67">
        <f t="shared" si="24"/>
        <v>3.9</v>
      </c>
      <c r="K16" s="94">
        <v>21.45</v>
      </c>
      <c r="L16" s="66"/>
      <c r="M16" s="67" t="str">
        <f t="shared" si="25"/>
        <v>#DIV/0!</v>
      </c>
      <c r="N16" s="68"/>
      <c r="O16" s="66"/>
      <c r="P16" s="67" t="str">
        <f t="shared" si="26"/>
        <v>#DIV/0!</v>
      </c>
      <c r="Q16" s="94">
        <v>0.0</v>
      </c>
      <c r="R16" s="66">
        <f t="shared" si="46"/>
        <v>5.5</v>
      </c>
      <c r="S16" s="67">
        <f t="shared" si="27"/>
        <v>3.9</v>
      </c>
      <c r="T16" s="68">
        <f t="shared" si="47"/>
        <v>21.45</v>
      </c>
      <c r="U16" s="66"/>
      <c r="V16" s="67" t="str">
        <f t="shared" si="28"/>
        <v>#DIV/0!</v>
      </c>
      <c r="W16" s="94">
        <v>0.0</v>
      </c>
      <c r="X16" s="66"/>
      <c r="Y16" s="67" t="str">
        <f t="shared" si="29"/>
        <v>#DIV/0!</v>
      </c>
      <c r="Z16" s="68"/>
      <c r="AA16" s="97">
        <v>20.3</v>
      </c>
      <c r="AB16" s="67">
        <f t="shared" si="30"/>
        <v>3.9</v>
      </c>
      <c r="AC16" s="95">
        <v>79.17</v>
      </c>
      <c r="AD16" s="66"/>
      <c r="AE16" s="67" t="str">
        <f t="shared" si="31"/>
        <v>#DIV/0!</v>
      </c>
      <c r="AF16" s="68"/>
      <c r="AG16" s="96">
        <v>3.5</v>
      </c>
      <c r="AH16" s="67">
        <f t="shared" si="32"/>
        <v>3.2</v>
      </c>
      <c r="AI16" s="94">
        <v>11.2</v>
      </c>
      <c r="AJ16" s="66"/>
      <c r="AK16" s="67" t="str">
        <f t="shared" si="33"/>
        <v>#DIV/0!</v>
      </c>
      <c r="AL16" s="68"/>
      <c r="AM16" s="66"/>
      <c r="AN16" s="67" t="str">
        <f t="shared" si="34"/>
        <v>#DIV/0!</v>
      </c>
      <c r="AO16" s="68"/>
      <c r="AP16" s="66"/>
      <c r="AQ16" s="67" t="str">
        <f t="shared" si="35"/>
        <v>#DIV/0!</v>
      </c>
      <c r="AR16" s="68"/>
      <c r="AS16" s="66">
        <f t="shared" si="48"/>
        <v>23.8</v>
      </c>
      <c r="AT16" s="67">
        <f t="shared" si="36"/>
        <v>3.797058824</v>
      </c>
      <c r="AU16" s="68">
        <f t="shared" si="49"/>
        <v>90.37</v>
      </c>
      <c r="AV16" s="66">
        <f t="shared" si="50"/>
        <v>0</v>
      </c>
      <c r="AW16" s="67" t="str">
        <f t="shared" si="37"/>
        <v>#DIV/0!</v>
      </c>
      <c r="AX16" s="71">
        <f t="shared" ref="AX16:AY16" si="62">E16+W16</f>
        <v>0</v>
      </c>
      <c r="AY16" s="66">
        <f t="shared" si="62"/>
        <v>0</v>
      </c>
      <c r="AZ16" s="67" t="str">
        <f t="shared" si="39"/>
        <v>#DIV/0!</v>
      </c>
      <c r="BA16" s="72">
        <f t="shared" si="52"/>
        <v>0</v>
      </c>
      <c r="BB16" s="73">
        <f t="shared" si="53"/>
        <v>25.8</v>
      </c>
      <c r="BC16" s="67">
        <f t="shared" si="40"/>
        <v>3.9</v>
      </c>
      <c r="BD16" s="71">
        <f t="shared" ref="BD16:BE16" si="63">AL16+AC16+K16</f>
        <v>100.62</v>
      </c>
      <c r="BE16" s="66">
        <f t="shared" si="63"/>
        <v>0</v>
      </c>
      <c r="BF16" s="67" t="str">
        <f t="shared" si="42"/>
        <v>#DIV/0!</v>
      </c>
      <c r="BG16" s="72">
        <f t="shared" ref="BG16:BH16" si="64">AO16+AF16+N16</f>
        <v>0</v>
      </c>
      <c r="BH16" s="66">
        <f t="shared" si="64"/>
        <v>3.5</v>
      </c>
      <c r="BI16" s="67">
        <f t="shared" si="44"/>
        <v>3.2</v>
      </c>
      <c r="BJ16" s="72">
        <f t="shared" si="56"/>
        <v>11.2</v>
      </c>
      <c r="BK16" s="74">
        <f t="shared" si="57"/>
        <v>29.3</v>
      </c>
      <c r="BL16" s="67">
        <f t="shared" si="45"/>
        <v>3.816382253</v>
      </c>
      <c r="BM16" s="75">
        <f t="shared" si="58"/>
        <v>111.82</v>
      </c>
      <c r="BN16" s="76"/>
    </row>
    <row r="17" ht="14.25" customHeight="1">
      <c r="A17" s="65" t="s">
        <v>27</v>
      </c>
      <c r="B17" s="93">
        <v>0.0</v>
      </c>
      <c r="C17" s="66"/>
      <c r="D17" s="67" t="str">
        <f t="shared" si="22"/>
        <v>#DIV/0!</v>
      </c>
      <c r="E17" s="94">
        <v>0.0</v>
      </c>
      <c r="F17" s="66"/>
      <c r="G17" s="67" t="str">
        <f t="shared" si="23"/>
        <v>#DIV/0!</v>
      </c>
      <c r="H17" s="68"/>
      <c r="I17" s="66"/>
      <c r="J17" s="67" t="str">
        <f t="shared" si="24"/>
        <v>#DIV/0!</v>
      </c>
      <c r="K17" s="94">
        <v>0.0</v>
      </c>
      <c r="L17" s="66"/>
      <c r="M17" s="67" t="str">
        <f t="shared" si="25"/>
        <v>#DIV/0!</v>
      </c>
      <c r="N17" s="68"/>
      <c r="O17" s="66"/>
      <c r="P17" s="67" t="str">
        <f t="shared" si="26"/>
        <v>#DIV/0!</v>
      </c>
      <c r="Q17" s="94">
        <v>0.0</v>
      </c>
      <c r="R17" s="66">
        <f t="shared" si="46"/>
        <v>0</v>
      </c>
      <c r="S17" s="67" t="str">
        <f t="shared" si="27"/>
        <v>#DIV/0!</v>
      </c>
      <c r="T17" s="68">
        <f t="shared" si="47"/>
        <v>0</v>
      </c>
      <c r="U17" s="66"/>
      <c r="V17" s="67" t="str">
        <f t="shared" si="28"/>
        <v>#DIV/0!</v>
      </c>
      <c r="W17" s="94">
        <v>0.0</v>
      </c>
      <c r="X17" s="66"/>
      <c r="Y17" s="67" t="str">
        <f t="shared" si="29"/>
        <v>#DIV/0!</v>
      </c>
      <c r="Z17" s="68"/>
      <c r="AA17" s="66"/>
      <c r="AB17" s="67" t="str">
        <f t="shared" si="30"/>
        <v>#DIV/0!</v>
      </c>
      <c r="AC17" s="94">
        <v>0.0</v>
      </c>
      <c r="AD17" s="66"/>
      <c r="AE17" s="67" t="str">
        <f t="shared" si="31"/>
        <v>#DIV/0!</v>
      </c>
      <c r="AF17" s="68"/>
      <c r="AG17" s="66"/>
      <c r="AH17" s="67" t="str">
        <f t="shared" si="32"/>
        <v>#DIV/0!</v>
      </c>
      <c r="AI17" s="94">
        <v>0.0</v>
      </c>
      <c r="AJ17" s="66"/>
      <c r="AK17" s="67" t="str">
        <f t="shared" si="33"/>
        <v>#DIV/0!</v>
      </c>
      <c r="AL17" s="68"/>
      <c r="AM17" s="66"/>
      <c r="AN17" s="67" t="str">
        <f t="shared" si="34"/>
        <v>#DIV/0!</v>
      </c>
      <c r="AO17" s="68"/>
      <c r="AP17" s="66"/>
      <c r="AQ17" s="67" t="str">
        <f t="shared" si="35"/>
        <v>#DIV/0!</v>
      </c>
      <c r="AR17" s="68"/>
      <c r="AS17" s="66">
        <f t="shared" si="48"/>
        <v>0</v>
      </c>
      <c r="AT17" s="67" t="str">
        <f t="shared" si="36"/>
        <v>#DIV/0!</v>
      </c>
      <c r="AU17" s="68">
        <f t="shared" si="49"/>
        <v>0</v>
      </c>
      <c r="AV17" s="66">
        <f t="shared" si="50"/>
        <v>0</v>
      </c>
      <c r="AW17" s="67" t="str">
        <f t="shared" si="37"/>
        <v>#DIV/0!</v>
      </c>
      <c r="AX17" s="71">
        <f t="shared" ref="AX17:AY17" si="65">E17+W17</f>
        <v>0</v>
      </c>
      <c r="AY17" s="66">
        <f t="shared" si="65"/>
        <v>0</v>
      </c>
      <c r="AZ17" s="67" t="str">
        <f t="shared" si="39"/>
        <v>#DIV/0!</v>
      </c>
      <c r="BA17" s="72">
        <f t="shared" si="52"/>
        <v>0</v>
      </c>
      <c r="BB17" s="73">
        <f t="shared" si="53"/>
        <v>0</v>
      </c>
      <c r="BC17" s="67" t="str">
        <f t="shared" si="40"/>
        <v>#DIV/0!</v>
      </c>
      <c r="BD17" s="71">
        <f t="shared" ref="BD17:BE17" si="66">AL17+AC17+K17</f>
        <v>0</v>
      </c>
      <c r="BE17" s="66">
        <f t="shared" si="66"/>
        <v>0</v>
      </c>
      <c r="BF17" s="67" t="str">
        <f t="shared" si="42"/>
        <v>#DIV/0!</v>
      </c>
      <c r="BG17" s="72">
        <f t="shared" ref="BG17:BH17" si="67">AO17+AF17+N17</f>
        <v>0</v>
      </c>
      <c r="BH17" s="66">
        <f t="shared" si="67"/>
        <v>0</v>
      </c>
      <c r="BI17" s="67" t="str">
        <f t="shared" si="44"/>
        <v>#DIV/0!</v>
      </c>
      <c r="BJ17" s="72">
        <f t="shared" si="56"/>
        <v>0</v>
      </c>
      <c r="BK17" s="73">
        <f t="shared" si="57"/>
        <v>0</v>
      </c>
      <c r="BL17" s="67" t="str">
        <f t="shared" si="45"/>
        <v>#DIV/0!</v>
      </c>
      <c r="BM17" s="68">
        <f t="shared" si="58"/>
        <v>0</v>
      </c>
      <c r="BN17" s="76"/>
    </row>
    <row r="18" ht="14.25" customHeight="1">
      <c r="A18" s="65" t="s">
        <v>28</v>
      </c>
      <c r="B18" s="93">
        <v>6.0</v>
      </c>
      <c r="C18" s="66"/>
      <c r="D18" s="67" t="str">
        <f t="shared" si="22"/>
        <v>#DIV/0!</v>
      </c>
      <c r="E18" s="94">
        <v>0.0</v>
      </c>
      <c r="F18" s="66"/>
      <c r="G18" s="67" t="str">
        <f t="shared" si="23"/>
        <v>#DIV/0!</v>
      </c>
      <c r="H18" s="68"/>
      <c r="I18" s="66"/>
      <c r="J18" s="67" t="str">
        <f t="shared" si="24"/>
        <v>#DIV/0!</v>
      </c>
      <c r="K18" s="94">
        <v>0.0</v>
      </c>
      <c r="L18" s="66"/>
      <c r="M18" s="67" t="str">
        <f t="shared" si="25"/>
        <v>#DIV/0!</v>
      </c>
      <c r="N18" s="68"/>
      <c r="O18" s="96">
        <v>3.6</v>
      </c>
      <c r="P18" s="67">
        <f t="shared" si="26"/>
        <v>3.2</v>
      </c>
      <c r="Q18" s="94">
        <v>11.52</v>
      </c>
      <c r="R18" s="66">
        <f t="shared" si="46"/>
        <v>3.6</v>
      </c>
      <c r="S18" s="67">
        <f t="shared" si="27"/>
        <v>3.2</v>
      </c>
      <c r="T18" s="68">
        <f t="shared" si="47"/>
        <v>11.52</v>
      </c>
      <c r="U18" s="96">
        <v>1.0</v>
      </c>
      <c r="V18" s="67">
        <f t="shared" si="28"/>
        <v>4.5</v>
      </c>
      <c r="W18" s="94">
        <v>4.5</v>
      </c>
      <c r="X18" s="66"/>
      <c r="Y18" s="67" t="str">
        <f t="shared" si="29"/>
        <v>#DIV/0!</v>
      </c>
      <c r="Z18" s="68"/>
      <c r="AA18" s="69"/>
      <c r="AB18" s="67" t="str">
        <f t="shared" si="30"/>
        <v>#DIV/0!</v>
      </c>
      <c r="AC18" s="95">
        <v>0.0</v>
      </c>
      <c r="AD18" s="66"/>
      <c r="AE18" s="67" t="str">
        <f t="shared" si="31"/>
        <v>#DIV/0!</v>
      </c>
      <c r="AF18" s="68"/>
      <c r="AG18" s="96">
        <v>2.5</v>
      </c>
      <c r="AH18" s="67">
        <f t="shared" si="32"/>
        <v>3.2</v>
      </c>
      <c r="AI18" s="94">
        <v>8.0</v>
      </c>
      <c r="AJ18" s="66"/>
      <c r="AK18" s="67" t="str">
        <f t="shared" si="33"/>
        <v>#DIV/0!</v>
      </c>
      <c r="AL18" s="68"/>
      <c r="AM18" s="66"/>
      <c r="AN18" s="67" t="str">
        <f t="shared" si="34"/>
        <v>#DIV/0!</v>
      </c>
      <c r="AO18" s="68"/>
      <c r="AP18" s="66"/>
      <c r="AQ18" s="67" t="str">
        <f t="shared" si="35"/>
        <v>#DIV/0!</v>
      </c>
      <c r="AR18" s="68"/>
      <c r="AS18" s="66">
        <f t="shared" si="48"/>
        <v>3.5</v>
      </c>
      <c r="AT18" s="67">
        <f t="shared" si="36"/>
        <v>3.571428571</v>
      </c>
      <c r="AU18" s="68">
        <f t="shared" si="49"/>
        <v>12.5</v>
      </c>
      <c r="AV18" s="66">
        <f t="shared" si="50"/>
        <v>1</v>
      </c>
      <c r="AW18" s="67">
        <f t="shared" si="37"/>
        <v>4.5</v>
      </c>
      <c r="AX18" s="71">
        <f t="shared" ref="AX18:AY18" si="68">E18+W18</f>
        <v>4.5</v>
      </c>
      <c r="AY18" s="66">
        <f t="shared" si="68"/>
        <v>0</v>
      </c>
      <c r="AZ18" s="67" t="str">
        <f t="shared" si="39"/>
        <v>#DIV/0!</v>
      </c>
      <c r="BA18" s="72">
        <f t="shared" si="52"/>
        <v>0</v>
      </c>
      <c r="BB18" s="73">
        <f t="shared" si="53"/>
        <v>0</v>
      </c>
      <c r="BC18" s="67" t="str">
        <f t="shared" si="40"/>
        <v>#DIV/0!</v>
      </c>
      <c r="BD18" s="71">
        <f t="shared" ref="BD18:BE18" si="69">AL18+AC18+K18</f>
        <v>0</v>
      </c>
      <c r="BE18" s="66">
        <f t="shared" si="69"/>
        <v>0</v>
      </c>
      <c r="BF18" s="67" t="str">
        <f t="shared" si="42"/>
        <v>#DIV/0!</v>
      </c>
      <c r="BG18" s="72">
        <f t="shared" ref="BG18:BH18" si="70">AO18+AF18+N18</f>
        <v>0</v>
      </c>
      <c r="BH18" s="66">
        <f t="shared" si="70"/>
        <v>6.1</v>
      </c>
      <c r="BI18" s="67">
        <f t="shared" si="44"/>
        <v>3.2</v>
      </c>
      <c r="BJ18" s="72">
        <f t="shared" si="56"/>
        <v>19.52</v>
      </c>
      <c r="BK18" s="74">
        <f t="shared" si="57"/>
        <v>7.1</v>
      </c>
      <c r="BL18" s="67">
        <f t="shared" si="45"/>
        <v>3.383098592</v>
      </c>
      <c r="BM18" s="75">
        <f t="shared" si="58"/>
        <v>24.02</v>
      </c>
      <c r="BN18" s="76"/>
    </row>
    <row r="19" ht="14.25" customHeight="1">
      <c r="A19" s="65" t="s">
        <v>29</v>
      </c>
      <c r="B19" s="93">
        <v>0.0</v>
      </c>
      <c r="C19" s="66"/>
      <c r="D19" s="67" t="str">
        <f t="shared" si="22"/>
        <v>#DIV/0!</v>
      </c>
      <c r="E19" s="94">
        <v>0.0</v>
      </c>
      <c r="F19" s="66"/>
      <c r="G19" s="67" t="str">
        <f t="shared" si="23"/>
        <v>#DIV/0!</v>
      </c>
      <c r="H19" s="68"/>
      <c r="I19" s="66"/>
      <c r="J19" s="67" t="str">
        <f t="shared" si="24"/>
        <v>#DIV/0!</v>
      </c>
      <c r="K19" s="94">
        <v>0.0</v>
      </c>
      <c r="L19" s="66"/>
      <c r="M19" s="67" t="str">
        <f t="shared" si="25"/>
        <v>#DIV/0!</v>
      </c>
      <c r="N19" s="68"/>
      <c r="O19" s="66"/>
      <c r="P19" s="67" t="str">
        <f t="shared" si="26"/>
        <v>#DIV/0!</v>
      </c>
      <c r="Q19" s="94">
        <v>0.0</v>
      </c>
      <c r="R19" s="66">
        <f t="shared" si="46"/>
        <v>0</v>
      </c>
      <c r="S19" s="67" t="str">
        <f t="shared" si="27"/>
        <v>#DIV/0!</v>
      </c>
      <c r="T19" s="68">
        <f t="shared" si="47"/>
        <v>0</v>
      </c>
      <c r="U19" s="66"/>
      <c r="V19" s="67" t="str">
        <f t="shared" si="28"/>
        <v>#DIV/0!</v>
      </c>
      <c r="W19" s="94">
        <v>0.0</v>
      </c>
      <c r="X19" s="66"/>
      <c r="Y19" s="67" t="str">
        <f t="shared" si="29"/>
        <v>#DIV/0!</v>
      </c>
      <c r="Z19" s="68"/>
      <c r="AA19" s="69"/>
      <c r="AB19" s="67" t="str">
        <f t="shared" si="30"/>
        <v>#DIV/0!</v>
      </c>
      <c r="AC19" s="95">
        <v>0.0</v>
      </c>
      <c r="AD19" s="66"/>
      <c r="AE19" s="67" t="str">
        <f t="shared" si="31"/>
        <v>#DIV/0!</v>
      </c>
      <c r="AF19" s="68"/>
      <c r="AG19" s="66"/>
      <c r="AH19" s="67" t="str">
        <f t="shared" si="32"/>
        <v>#DIV/0!</v>
      </c>
      <c r="AI19" s="94">
        <v>0.0</v>
      </c>
      <c r="AJ19" s="66"/>
      <c r="AK19" s="67" t="str">
        <f t="shared" si="33"/>
        <v>#DIV/0!</v>
      </c>
      <c r="AL19" s="68"/>
      <c r="AM19" s="66"/>
      <c r="AN19" s="67" t="str">
        <f t="shared" si="34"/>
        <v>#DIV/0!</v>
      </c>
      <c r="AO19" s="68"/>
      <c r="AP19" s="66"/>
      <c r="AQ19" s="67" t="str">
        <f t="shared" si="35"/>
        <v>#DIV/0!</v>
      </c>
      <c r="AR19" s="68"/>
      <c r="AS19" s="66">
        <f t="shared" si="48"/>
        <v>0</v>
      </c>
      <c r="AT19" s="67" t="str">
        <f t="shared" si="36"/>
        <v>#DIV/0!</v>
      </c>
      <c r="AU19" s="68">
        <f t="shared" si="49"/>
        <v>0</v>
      </c>
      <c r="AV19" s="66">
        <f t="shared" si="50"/>
        <v>0</v>
      </c>
      <c r="AW19" s="67" t="str">
        <f t="shared" si="37"/>
        <v>#DIV/0!</v>
      </c>
      <c r="AX19" s="71">
        <f t="shared" ref="AX19:AY19" si="71">E19+W19</f>
        <v>0</v>
      </c>
      <c r="AY19" s="66">
        <f t="shared" si="71"/>
        <v>0</v>
      </c>
      <c r="AZ19" s="67" t="str">
        <f t="shared" si="39"/>
        <v>#DIV/0!</v>
      </c>
      <c r="BA19" s="72">
        <f t="shared" si="52"/>
        <v>0</v>
      </c>
      <c r="BB19" s="73">
        <f t="shared" si="53"/>
        <v>0</v>
      </c>
      <c r="BC19" s="67" t="str">
        <f t="shared" si="40"/>
        <v>#DIV/0!</v>
      </c>
      <c r="BD19" s="71">
        <f t="shared" ref="BD19:BE19" si="72">AL19+AC19+K19</f>
        <v>0</v>
      </c>
      <c r="BE19" s="66">
        <f t="shared" si="72"/>
        <v>0</v>
      </c>
      <c r="BF19" s="67" t="str">
        <f t="shared" si="42"/>
        <v>#DIV/0!</v>
      </c>
      <c r="BG19" s="72">
        <f t="shared" ref="BG19:BH19" si="73">AO19+AF19+N19</f>
        <v>0</v>
      </c>
      <c r="BH19" s="66">
        <f t="shared" si="73"/>
        <v>0</v>
      </c>
      <c r="BI19" s="67" t="str">
        <f t="shared" si="44"/>
        <v>#DIV/0!</v>
      </c>
      <c r="BJ19" s="72">
        <f t="shared" si="56"/>
        <v>0</v>
      </c>
      <c r="BK19" s="74">
        <f t="shared" si="57"/>
        <v>0</v>
      </c>
      <c r="BL19" s="67" t="str">
        <f t="shared" si="45"/>
        <v>#DIV/0!</v>
      </c>
      <c r="BM19" s="75">
        <f t="shared" si="58"/>
        <v>0</v>
      </c>
      <c r="BN19" s="76"/>
    </row>
    <row r="20" ht="14.25" customHeight="1">
      <c r="A20" s="65" t="s">
        <v>30</v>
      </c>
      <c r="B20" s="93">
        <v>0.0</v>
      </c>
      <c r="C20" s="66"/>
      <c r="D20" s="67" t="str">
        <f t="shared" si="22"/>
        <v>#DIV/0!</v>
      </c>
      <c r="E20" s="94">
        <v>0.0</v>
      </c>
      <c r="F20" s="66"/>
      <c r="G20" s="67" t="str">
        <f t="shared" si="23"/>
        <v>#DIV/0!</v>
      </c>
      <c r="H20" s="68"/>
      <c r="I20" s="66"/>
      <c r="J20" s="67" t="str">
        <f t="shared" si="24"/>
        <v>#DIV/0!</v>
      </c>
      <c r="K20" s="94">
        <v>0.0</v>
      </c>
      <c r="L20" s="66"/>
      <c r="M20" s="67" t="str">
        <f t="shared" si="25"/>
        <v>#DIV/0!</v>
      </c>
      <c r="N20" s="68"/>
      <c r="O20" s="66"/>
      <c r="P20" s="67" t="str">
        <f t="shared" si="26"/>
        <v>#DIV/0!</v>
      </c>
      <c r="Q20" s="94">
        <v>0.0</v>
      </c>
      <c r="R20" s="66">
        <f t="shared" si="46"/>
        <v>0</v>
      </c>
      <c r="S20" s="67" t="str">
        <f t="shared" si="27"/>
        <v>#DIV/0!</v>
      </c>
      <c r="T20" s="68">
        <f t="shared" si="47"/>
        <v>0</v>
      </c>
      <c r="U20" s="66"/>
      <c r="V20" s="67" t="str">
        <f t="shared" si="28"/>
        <v>#DIV/0!</v>
      </c>
      <c r="W20" s="94">
        <v>0.0</v>
      </c>
      <c r="X20" s="66"/>
      <c r="Y20" s="67" t="str">
        <f t="shared" si="29"/>
        <v>#DIV/0!</v>
      </c>
      <c r="Z20" s="68"/>
      <c r="AA20" s="69"/>
      <c r="AB20" s="67" t="str">
        <f t="shared" si="30"/>
        <v>#DIV/0!</v>
      </c>
      <c r="AC20" s="98">
        <v>0.0</v>
      </c>
      <c r="AD20" s="66"/>
      <c r="AE20" s="67" t="str">
        <f t="shared" si="31"/>
        <v>#DIV/0!</v>
      </c>
      <c r="AF20" s="68"/>
      <c r="AG20" s="66"/>
      <c r="AH20" s="67" t="str">
        <f t="shared" si="32"/>
        <v>#DIV/0!</v>
      </c>
      <c r="AI20" s="94">
        <v>0.0</v>
      </c>
      <c r="AJ20" s="66"/>
      <c r="AK20" s="67" t="str">
        <f t="shared" si="33"/>
        <v>#DIV/0!</v>
      </c>
      <c r="AL20" s="68"/>
      <c r="AM20" s="66"/>
      <c r="AN20" s="67" t="str">
        <f t="shared" si="34"/>
        <v>#DIV/0!</v>
      </c>
      <c r="AO20" s="68"/>
      <c r="AP20" s="66"/>
      <c r="AQ20" s="67" t="str">
        <f t="shared" si="35"/>
        <v>#DIV/0!</v>
      </c>
      <c r="AR20" s="68"/>
      <c r="AS20" s="66">
        <f t="shared" si="48"/>
        <v>0</v>
      </c>
      <c r="AT20" s="67" t="str">
        <f t="shared" si="36"/>
        <v>#DIV/0!</v>
      </c>
      <c r="AU20" s="68">
        <f t="shared" si="49"/>
        <v>0</v>
      </c>
      <c r="AV20" s="66">
        <f t="shared" si="50"/>
        <v>0</v>
      </c>
      <c r="AW20" s="67" t="str">
        <f t="shared" si="37"/>
        <v>#DIV/0!</v>
      </c>
      <c r="AX20" s="71">
        <f t="shared" ref="AX20:AY20" si="74">E20+W20</f>
        <v>0</v>
      </c>
      <c r="AY20" s="66">
        <f t="shared" si="74"/>
        <v>0</v>
      </c>
      <c r="AZ20" s="67" t="str">
        <f t="shared" si="39"/>
        <v>#DIV/0!</v>
      </c>
      <c r="BA20" s="72">
        <f t="shared" si="52"/>
        <v>0</v>
      </c>
      <c r="BB20" s="73">
        <f t="shared" si="53"/>
        <v>0</v>
      </c>
      <c r="BC20" s="67" t="str">
        <f t="shared" si="40"/>
        <v>#DIV/0!</v>
      </c>
      <c r="BD20" s="71">
        <f t="shared" ref="BD20:BE20" si="75">AL20+AC20+K20</f>
        <v>0</v>
      </c>
      <c r="BE20" s="66">
        <f t="shared" si="75"/>
        <v>0</v>
      </c>
      <c r="BF20" s="67" t="str">
        <f t="shared" si="42"/>
        <v>#DIV/0!</v>
      </c>
      <c r="BG20" s="72">
        <f t="shared" ref="BG20:BH20" si="76">AO20+AF20+N20</f>
        <v>0</v>
      </c>
      <c r="BH20" s="66">
        <f t="shared" si="76"/>
        <v>0</v>
      </c>
      <c r="BI20" s="67" t="str">
        <f t="shared" si="44"/>
        <v>#DIV/0!</v>
      </c>
      <c r="BJ20" s="72">
        <f t="shared" si="56"/>
        <v>0</v>
      </c>
      <c r="BK20" s="74">
        <f t="shared" si="57"/>
        <v>0</v>
      </c>
      <c r="BL20" s="67" t="str">
        <f t="shared" si="45"/>
        <v>#DIV/0!</v>
      </c>
      <c r="BM20" s="75">
        <f t="shared" si="58"/>
        <v>0</v>
      </c>
      <c r="BN20" s="76"/>
    </row>
    <row r="21" ht="14.25" customHeight="1">
      <c r="A21" s="65" t="s">
        <v>31</v>
      </c>
      <c r="B21" s="93">
        <v>8.0</v>
      </c>
      <c r="C21" s="66"/>
      <c r="D21" s="67" t="str">
        <f t="shared" si="22"/>
        <v>#DIV/0!</v>
      </c>
      <c r="E21" s="94">
        <v>0.0</v>
      </c>
      <c r="F21" s="66"/>
      <c r="G21" s="67" t="str">
        <f t="shared" si="23"/>
        <v>#DIV/0!</v>
      </c>
      <c r="H21" s="68"/>
      <c r="I21" s="96">
        <v>15.7</v>
      </c>
      <c r="J21" s="67">
        <f t="shared" si="24"/>
        <v>3.8</v>
      </c>
      <c r="K21" s="94">
        <v>59.66</v>
      </c>
      <c r="L21" s="66"/>
      <c r="M21" s="67" t="str">
        <f t="shared" si="25"/>
        <v>#DIV/0!</v>
      </c>
      <c r="N21" s="68"/>
      <c r="O21" s="96">
        <v>2.0</v>
      </c>
      <c r="P21" s="67">
        <f t="shared" si="26"/>
        <v>3.2</v>
      </c>
      <c r="Q21" s="94">
        <v>6.4</v>
      </c>
      <c r="R21" s="66">
        <f t="shared" si="46"/>
        <v>17.7</v>
      </c>
      <c r="S21" s="67">
        <f t="shared" si="27"/>
        <v>3.73220339</v>
      </c>
      <c r="T21" s="68">
        <f t="shared" si="47"/>
        <v>66.06</v>
      </c>
      <c r="U21" s="66"/>
      <c r="V21" s="67" t="str">
        <f t="shared" si="28"/>
        <v>#DIV/0!</v>
      </c>
      <c r="W21" s="94">
        <v>0.0</v>
      </c>
      <c r="X21" s="66"/>
      <c r="Y21" s="67" t="str">
        <f t="shared" si="29"/>
        <v>#DIV/0!</v>
      </c>
      <c r="Z21" s="68"/>
      <c r="AA21" s="69"/>
      <c r="AB21" s="67" t="str">
        <f t="shared" si="30"/>
        <v>#DIV/0!</v>
      </c>
      <c r="AC21" s="98">
        <v>0.0</v>
      </c>
      <c r="AD21" s="66"/>
      <c r="AE21" s="67" t="str">
        <f t="shared" si="31"/>
        <v>#DIV/0!</v>
      </c>
      <c r="AF21" s="68"/>
      <c r="AG21" s="66"/>
      <c r="AH21" s="67" t="str">
        <f t="shared" si="32"/>
        <v>#DIV/0!</v>
      </c>
      <c r="AI21" s="94">
        <v>0.0</v>
      </c>
      <c r="AJ21" s="66"/>
      <c r="AK21" s="67" t="str">
        <f t="shared" si="33"/>
        <v>#DIV/0!</v>
      </c>
      <c r="AL21" s="68"/>
      <c r="AM21" s="66"/>
      <c r="AN21" s="67" t="str">
        <f t="shared" si="34"/>
        <v>#DIV/0!</v>
      </c>
      <c r="AO21" s="68"/>
      <c r="AP21" s="66"/>
      <c r="AQ21" s="67" t="str">
        <f t="shared" si="35"/>
        <v>#DIV/0!</v>
      </c>
      <c r="AR21" s="68"/>
      <c r="AS21" s="66">
        <f t="shared" si="48"/>
        <v>0</v>
      </c>
      <c r="AT21" s="67" t="str">
        <f t="shared" si="36"/>
        <v>#DIV/0!</v>
      </c>
      <c r="AU21" s="68">
        <f t="shared" si="49"/>
        <v>0</v>
      </c>
      <c r="AV21" s="66">
        <f t="shared" si="50"/>
        <v>0</v>
      </c>
      <c r="AW21" s="67" t="str">
        <f t="shared" si="37"/>
        <v>#DIV/0!</v>
      </c>
      <c r="AX21" s="71">
        <f t="shared" ref="AX21:AY21" si="77">E21+W21</f>
        <v>0</v>
      </c>
      <c r="AY21" s="66">
        <f t="shared" si="77"/>
        <v>0</v>
      </c>
      <c r="AZ21" s="67" t="str">
        <f t="shared" si="39"/>
        <v>#DIV/0!</v>
      </c>
      <c r="BA21" s="72">
        <f t="shared" si="52"/>
        <v>0</v>
      </c>
      <c r="BB21" s="73">
        <f t="shared" si="53"/>
        <v>15.7</v>
      </c>
      <c r="BC21" s="67">
        <f t="shared" si="40"/>
        <v>3.8</v>
      </c>
      <c r="BD21" s="71">
        <f t="shared" ref="BD21:BE21" si="78">AL21+AC21+K21</f>
        <v>59.66</v>
      </c>
      <c r="BE21" s="66">
        <f t="shared" si="78"/>
        <v>0</v>
      </c>
      <c r="BF21" s="67" t="str">
        <f t="shared" si="42"/>
        <v>#DIV/0!</v>
      </c>
      <c r="BG21" s="72">
        <f t="shared" ref="BG21:BH21" si="79">AO21+AF21+N21</f>
        <v>0</v>
      </c>
      <c r="BH21" s="66">
        <f t="shared" si="79"/>
        <v>2</v>
      </c>
      <c r="BI21" s="67">
        <f t="shared" si="44"/>
        <v>3.2</v>
      </c>
      <c r="BJ21" s="72">
        <f t="shared" si="56"/>
        <v>6.4</v>
      </c>
      <c r="BK21" s="74">
        <f t="shared" si="57"/>
        <v>17.7</v>
      </c>
      <c r="BL21" s="67">
        <f t="shared" si="45"/>
        <v>3.73220339</v>
      </c>
      <c r="BM21" s="75">
        <f t="shared" si="58"/>
        <v>66.06</v>
      </c>
      <c r="BN21" s="76"/>
    </row>
    <row r="22" ht="14.25" customHeight="1">
      <c r="A22" s="65" t="s">
        <v>32</v>
      </c>
      <c r="B22" s="93">
        <v>4.0</v>
      </c>
      <c r="C22" s="96">
        <v>2.6</v>
      </c>
      <c r="D22" s="67">
        <f t="shared" si="22"/>
        <v>4.5</v>
      </c>
      <c r="E22" s="94">
        <v>11.7</v>
      </c>
      <c r="F22" s="66"/>
      <c r="G22" s="67" t="str">
        <f t="shared" si="23"/>
        <v>#DIV/0!</v>
      </c>
      <c r="H22" s="68"/>
      <c r="I22" s="96">
        <v>1.0</v>
      </c>
      <c r="J22" s="67">
        <f t="shared" si="24"/>
        <v>3.9</v>
      </c>
      <c r="K22" s="94">
        <v>3.9</v>
      </c>
      <c r="L22" s="66"/>
      <c r="M22" s="67" t="str">
        <f t="shared" si="25"/>
        <v>#DIV/0!</v>
      </c>
      <c r="N22" s="68"/>
      <c r="O22" s="96">
        <v>4.5</v>
      </c>
      <c r="P22" s="67">
        <f t="shared" si="26"/>
        <v>3.2</v>
      </c>
      <c r="Q22" s="94">
        <v>14.4</v>
      </c>
      <c r="R22" s="66">
        <f t="shared" si="46"/>
        <v>8.1</v>
      </c>
      <c r="S22" s="67">
        <f t="shared" si="27"/>
        <v>3.703703704</v>
      </c>
      <c r="T22" s="68">
        <f t="shared" si="47"/>
        <v>30</v>
      </c>
      <c r="U22" s="66"/>
      <c r="V22" s="67" t="str">
        <f t="shared" si="28"/>
        <v>#DIV/0!</v>
      </c>
      <c r="W22" s="94">
        <v>0.0</v>
      </c>
      <c r="X22" s="66"/>
      <c r="Y22" s="67" t="str">
        <f t="shared" si="29"/>
        <v>#DIV/0!</v>
      </c>
      <c r="Z22" s="68"/>
      <c r="AA22" s="96">
        <v>1.3</v>
      </c>
      <c r="AB22" s="67">
        <f t="shared" si="30"/>
        <v>3.9</v>
      </c>
      <c r="AC22" s="94">
        <v>5.07</v>
      </c>
      <c r="AD22" s="66"/>
      <c r="AE22" s="67" t="str">
        <f t="shared" si="31"/>
        <v>#DIV/0!</v>
      </c>
      <c r="AF22" s="68"/>
      <c r="AG22" s="66"/>
      <c r="AH22" s="67" t="str">
        <f t="shared" si="32"/>
        <v>#DIV/0!</v>
      </c>
      <c r="AI22" s="94">
        <v>0.0</v>
      </c>
      <c r="AJ22" s="66"/>
      <c r="AK22" s="67" t="str">
        <f t="shared" si="33"/>
        <v>#DIV/0!</v>
      </c>
      <c r="AL22" s="68"/>
      <c r="AM22" s="66"/>
      <c r="AN22" s="67" t="str">
        <f t="shared" si="34"/>
        <v>#DIV/0!</v>
      </c>
      <c r="AO22" s="68"/>
      <c r="AP22" s="66"/>
      <c r="AQ22" s="67" t="str">
        <f t="shared" si="35"/>
        <v>#DIV/0!</v>
      </c>
      <c r="AR22" s="68"/>
      <c r="AS22" s="66">
        <f t="shared" si="48"/>
        <v>1.3</v>
      </c>
      <c r="AT22" s="67">
        <f t="shared" si="36"/>
        <v>3.9</v>
      </c>
      <c r="AU22" s="68">
        <f t="shared" si="49"/>
        <v>5.07</v>
      </c>
      <c r="AV22" s="66">
        <f t="shared" si="50"/>
        <v>2.6</v>
      </c>
      <c r="AW22" s="67">
        <f t="shared" si="37"/>
        <v>4.5</v>
      </c>
      <c r="AX22" s="71">
        <f t="shared" ref="AX22:AY22" si="80">E22+W22</f>
        <v>11.7</v>
      </c>
      <c r="AY22" s="66">
        <f t="shared" si="80"/>
        <v>0</v>
      </c>
      <c r="AZ22" s="67" t="str">
        <f t="shared" si="39"/>
        <v>#DIV/0!</v>
      </c>
      <c r="BA22" s="72">
        <f t="shared" si="52"/>
        <v>0</v>
      </c>
      <c r="BB22" s="73">
        <f t="shared" si="53"/>
        <v>2.3</v>
      </c>
      <c r="BC22" s="67">
        <f t="shared" si="40"/>
        <v>3.9</v>
      </c>
      <c r="BD22" s="71">
        <f t="shared" ref="BD22:BE22" si="81">AL22+AC22+K22</f>
        <v>8.97</v>
      </c>
      <c r="BE22" s="66">
        <f t="shared" si="81"/>
        <v>0</v>
      </c>
      <c r="BF22" s="67" t="str">
        <f t="shared" si="42"/>
        <v>#DIV/0!</v>
      </c>
      <c r="BG22" s="72">
        <f t="shared" ref="BG22:BH22" si="82">AO22+AF22+N22</f>
        <v>0</v>
      </c>
      <c r="BH22" s="66">
        <f t="shared" si="82"/>
        <v>4.5</v>
      </c>
      <c r="BI22" s="67">
        <f t="shared" si="44"/>
        <v>3.2</v>
      </c>
      <c r="BJ22" s="72">
        <f t="shared" si="56"/>
        <v>14.4</v>
      </c>
      <c r="BK22" s="73">
        <f t="shared" si="57"/>
        <v>9.4</v>
      </c>
      <c r="BL22" s="67">
        <f t="shared" si="45"/>
        <v>3.730851064</v>
      </c>
      <c r="BM22" s="68">
        <f t="shared" si="58"/>
        <v>35.07</v>
      </c>
      <c r="BN22" s="76"/>
    </row>
    <row r="23" ht="14.25" customHeight="1">
      <c r="A23" s="65" t="s">
        <v>33</v>
      </c>
      <c r="B23" s="93">
        <v>0.0</v>
      </c>
      <c r="C23" s="66"/>
      <c r="D23" s="67" t="str">
        <f t="shared" si="22"/>
        <v>#DIV/0!</v>
      </c>
      <c r="E23" s="94">
        <v>0.0</v>
      </c>
      <c r="F23" s="66"/>
      <c r="G23" s="67" t="str">
        <f t="shared" si="23"/>
        <v>#DIV/0!</v>
      </c>
      <c r="H23" s="68"/>
      <c r="I23" s="66"/>
      <c r="J23" s="67" t="str">
        <f t="shared" si="24"/>
        <v>#DIV/0!</v>
      </c>
      <c r="K23" s="94">
        <v>0.0</v>
      </c>
      <c r="L23" s="66"/>
      <c r="M23" s="67" t="str">
        <f t="shared" si="25"/>
        <v>#DIV/0!</v>
      </c>
      <c r="N23" s="68"/>
      <c r="O23" s="66"/>
      <c r="P23" s="67" t="str">
        <f t="shared" si="26"/>
        <v>#DIV/0!</v>
      </c>
      <c r="Q23" s="94">
        <v>0.0</v>
      </c>
      <c r="R23" s="66">
        <f t="shared" si="46"/>
        <v>0</v>
      </c>
      <c r="S23" s="67" t="str">
        <f t="shared" si="27"/>
        <v>#DIV/0!</v>
      </c>
      <c r="T23" s="68">
        <f t="shared" si="47"/>
        <v>0</v>
      </c>
      <c r="U23" s="66"/>
      <c r="V23" s="67" t="str">
        <f t="shared" si="28"/>
        <v>#DIV/0!</v>
      </c>
      <c r="W23" s="94">
        <v>0.0</v>
      </c>
      <c r="X23" s="66"/>
      <c r="Y23" s="67" t="str">
        <f t="shared" si="29"/>
        <v>#DIV/0!</v>
      </c>
      <c r="Z23" s="68"/>
      <c r="AA23" s="66"/>
      <c r="AB23" s="67" t="str">
        <f t="shared" si="30"/>
        <v>#DIV/0!</v>
      </c>
      <c r="AC23" s="94">
        <v>0.0</v>
      </c>
      <c r="AD23" s="66"/>
      <c r="AE23" s="67" t="str">
        <f t="shared" si="31"/>
        <v>#DIV/0!</v>
      </c>
      <c r="AF23" s="68"/>
      <c r="AG23" s="66"/>
      <c r="AH23" s="67" t="str">
        <f t="shared" si="32"/>
        <v>#DIV/0!</v>
      </c>
      <c r="AI23" s="94">
        <v>0.0</v>
      </c>
      <c r="AJ23" s="66"/>
      <c r="AK23" s="67" t="str">
        <f t="shared" si="33"/>
        <v>#DIV/0!</v>
      </c>
      <c r="AL23" s="68"/>
      <c r="AM23" s="66"/>
      <c r="AN23" s="67" t="str">
        <f t="shared" si="34"/>
        <v>#DIV/0!</v>
      </c>
      <c r="AO23" s="68"/>
      <c r="AP23" s="66"/>
      <c r="AQ23" s="67" t="str">
        <f t="shared" si="35"/>
        <v>#DIV/0!</v>
      </c>
      <c r="AR23" s="68"/>
      <c r="AS23" s="66">
        <f t="shared" si="48"/>
        <v>0</v>
      </c>
      <c r="AT23" s="67" t="str">
        <f t="shared" si="36"/>
        <v>#DIV/0!</v>
      </c>
      <c r="AU23" s="68">
        <f t="shared" si="49"/>
        <v>0</v>
      </c>
      <c r="AV23" s="66">
        <f t="shared" si="50"/>
        <v>0</v>
      </c>
      <c r="AW23" s="67" t="str">
        <f t="shared" si="37"/>
        <v>#DIV/0!</v>
      </c>
      <c r="AX23" s="71">
        <f t="shared" ref="AX23:AY23" si="83">E23+W23</f>
        <v>0</v>
      </c>
      <c r="AY23" s="66">
        <f t="shared" si="83"/>
        <v>0</v>
      </c>
      <c r="AZ23" s="67" t="str">
        <f t="shared" si="39"/>
        <v>#DIV/0!</v>
      </c>
      <c r="BA23" s="72">
        <f t="shared" si="52"/>
        <v>0</v>
      </c>
      <c r="BB23" s="73">
        <f t="shared" si="53"/>
        <v>0</v>
      </c>
      <c r="BC23" s="67" t="str">
        <f t="shared" si="40"/>
        <v>#DIV/0!</v>
      </c>
      <c r="BD23" s="71">
        <f t="shared" ref="BD23:BE23" si="84">AL23+AC23+K23</f>
        <v>0</v>
      </c>
      <c r="BE23" s="66">
        <f t="shared" si="84"/>
        <v>0</v>
      </c>
      <c r="BF23" s="67" t="str">
        <f t="shared" si="42"/>
        <v>#DIV/0!</v>
      </c>
      <c r="BG23" s="72">
        <f t="shared" ref="BG23:BH23" si="85">AO23+AF23+N23</f>
        <v>0</v>
      </c>
      <c r="BH23" s="66">
        <f t="shared" si="85"/>
        <v>0</v>
      </c>
      <c r="BI23" s="67" t="str">
        <f t="shared" si="44"/>
        <v>#DIV/0!</v>
      </c>
      <c r="BJ23" s="72">
        <f t="shared" si="56"/>
        <v>0</v>
      </c>
      <c r="BK23" s="73">
        <f t="shared" si="57"/>
        <v>0</v>
      </c>
      <c r="BL23" s="67" t="str">
        <f t="shared" si="45"/>
        <v>#DIV/0!</v>
      </c>
      <c r="BM23" s="68">
        <f t="shared" si="58"/>
        <v>0</v>
      </c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79">
        <f t="shared" si="46"/>
        <v>0</v>
      </c>
      <c r="S24" s="80"/>
      <c r="T24" s="81">
        <f t="shared" si="47"/>
        <v>0</v>
      </c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>
        <f t="shared" si="48"/>
        <v>0</v>
      </c>
      <c r="AT24" s="80"/>
      <c r="AU24" s="81">
        <f t="shared" si="49"/>
        <v>0</v>
      </c>
      <c r="AV24" s="79">
        <f t="shared" si="50"/>
        <v>0</v>
      </c>
      <c r="AW24" s="80" t="str">
        <f t="shared" si="37"/>
        <v>#DIV/0!</v>
      </c>
      <c r="AX24" s="82">
        <f t="shared" ref="AX24:AY24" si="86">E24+W24</f>
        <v>0</v>
      </c>
      <c r="AY24" s="79">
        <f t="shared" si="86"/>
        <v>0</v>
      </c>
      <c r="AZ24" s="80" t="str">
        <f t="shared" si="39"/>
        <v>#DIV/0!</v>
      </c>
      <c r="BA24" s="83">
        <f t="shared" si="52"/>
        <v>0</v>
      </c>
      <c r="BB24" s="84">
        <f t="shared" si="53"/>
        <v>0</v>
      </c>
      <c r="BC24" s="80" t="str">
        <f t="shared" si="40"/>
        <v>#DIV/0!</v>
      </c>
      <c r="BD24" s="82">
        <f t="shared" ref="BD24:BE24" si="87">AL24+AC24+K24</f>
        <v>0</v>
      </c>
      <c r="BE24" s="79">
        <f t="shared" si="87"/>
        <v>0</v>
      </c>
      <c r="BF24" s="80" t="str">
        <f t="shared" si="42"/>
        <v>#DIV/0!</v>
      </c>
      <c r="BG24" s="83">
        <f t="shared" ref="BG24:BH24" si="88">AO24+AF24+N24</f>
        <v>0</v>
      </c>
      <c r="BH24" s="79">
        <f t="shared" si="88"/>
        <v>0</v>
      </c>
      <c r="BI24" s="80" t="str">
        <f t="shared" si="44"/>
        <v>#DIV/0!</v>
      </c>
      <c r="BJ24" s="83">
        <f t="shared" si="56"/>
        <v>0</v>
      </c>
      <c r="BK24" s="84">
        <f t="shared" si="57"/>
        <v>0</v>
      </c>
      <c r="BL24" s="80" t="str">
        <f t="shared" si="45"/>
        <v>#DIV/0!</v>
      </c>
      <c r="BM24" s="81">
        <f t="shared" si="58"/>
        <v>0</v>
      </c>
      <c r="BN24" s="85"/>
    </row>
    <row r="25" ht="14.25" customHeight="1">
      <c r="A25" s="86" t="s">
        <v>34</v>
      </c>
      <c r="B25" s="86"/>
    </row>
    <row r="26" ht="14.25" customHeight="1">
      <c r="A26" s="87" t="s">
        <v>39</v>
      </c>
      <c r="B26" s="87"/>
    </row>
    <row r="27" ht="14.25" customHeight="1">
      <c r="A27" s="88" t="s">
        <v>40</v>
      </c>
      <c r="B27" s="88"/>
    </row>
    <row r="28" ht="14.25" customHeight="1"/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scale="4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17.25" customHeight="1">
      <c r="A6" s="90" t="s">
        <v>41</v>
      </c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99" t="s">
        <v>42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80</v>
      </c>
      <c r="C12" s="56">
        <f t="shared" si="1"/>
        <v>24.7</v>
      </c>
      <c r="D12" s="57">
        <f t="shared" ref="D12:D23" si="22">E12/C12</f>
        <v>4.839271255</v>
      </c>
      <c r="E12" s="58">
        <f t="shared" ref="E12:F12" si="2">SUM(E13:E24)</f>
        <v>119.53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56">
        <f t="shared" si="3"/>
        <v>35.5</v>
      </c>
      <c r="J12" s="57">
        <f t="shared" ref="J12:J23" si="24">K12/I12</f>
        <v>3.894366197</v>
      </c>
      <c r="K12" s="58">
        <f t="shared" ref="K12:L12" si="4">SUM(K13:K24)</f>
        <v>138.25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56">
        <f t="shared" si="5"/>
        <v>5</v>
      </c>
      <c r="P12" s="57">
        <f t="shared" ref="P12:P23" si="26">Q12/O12</f>
        <v>3.024</v>
      </c>
      <c r="Q12" s="58">
        <f t="shared" ref="Q12:R12" si="6">SUM(Q13:Q24)</f>
        <v>15.12</v>
      </c>
      <c r="R12" s="56">
        <f t="shared" si="6"/>
        <v>65.2</v>
      </c>
      <c r="S12" s="57">
        <f t="shared" ref="S12:S23" si="27">T12/R12</f>
        <v>4.185582822</v>
      </c>
      <c r="T12" s="58">
        <f t="shared" ref="T12:U12" si="7">SUM(T13:T24)</f>
        <v>272.9</v>
      </c>
      <c r="U12" s="56">
        <f t="shared" si="7"/>
        <v>8.9</v>
      </c>
      <c r="V12" s="57">
        <f t="shared" ref="V12:V23" si="28">W12/U12</f>
        <v>4.643820225</v>
      </c>
      <c r="W12" s="58">
        <f t="shared" ref="W12:X12" si="8">SUM(W13:W24)</f>
        <v>41.33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56">
        <f t="shared" si="9"/>
        <v>42.1</v>
      </c>
      <c r="AB12" s="57">
        <f t="shared" ref="AB12:AB23" si="30">AC12/AA12</f>
        <v>3.882185273</v>
      </c>
      <c r="AC12" s="58">
        <f t="shared" ref="AC12:AD12" si="10">SUM(AC13:AC24)</f>
        <v>163.44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56">
        <f t="shared" si="11"/>
        <v>7.4</v>
      </c>
      <c r="AH12" s="57">
        <f t="shared" ref="AH12:AH23" si="32">AI12/AG12</f>
        <v>3.121621622</v>
      </c>
      <c r="AI12" s="58">
        <f t="shared" ref="AI12:AJ12" si="12">SUM(AI13:AI24)</f>
        <v>23.1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92">
        <f t="shared" si="15"/>
        <v>58.4</v>
      </c>
      <c r="AT12" s="57">
        <f t="shared" ref="AT12:AT23" si="36">AU12/AS12</f>
        <v>3.901883562</v>
      </c>
      <c r="AU12" s="63">
        <f t="shared" ref="AU12:AV12" si="16">SUM(AU13:AU24)</f>
        <v>227.87</v>
      </c>
      <c r="AV12" s="56">
        <f t="shared" si="16"/>
        <v>33.6</v>
      </c>
      <c r="AW12" s="57">
        <f t="shared" ref="AW12:AW24" si="37">AX12/AV12</f>
        <v>4.7875</v>
      </c>
      <c r="AX12" s="59">
        <f t="shared" ref="AX12:AY12" si="17">SUM(AX13:AX24)</f>
        <v>160.86</v>
      </c>
      <c r="AY12" s="56">
        <f t="shared" si="17"/>
        <v>0</v>
      </c>
      <c r="AZ12" s="57" t="str">
        <f t="shared" ref="AZ12:AZ24" si="39">BA12/AY12</f>
        <v>#DIV/0!</v>
      </c>
      <c r="BA12" s="60">
        <f t="shared" ref="BA12:BB12" si="18">SUM(BA13:BA24)</f>
        <v>0</v>
      </c>
      <c r="BB12" s="61">
        <f t="shared" si="18"/>
        <v>77.6</v>
      </c>
      <c r="BC12" s="57">
        <f t="shared" ref="BC12:BC24" si="40">BD12/BB12</f>
        <v>3.887757732</v>
      </c>
      <c r="BD12" s="59">
        <f t="shared" ref="BD12:BE12" si="19">SUM(BD13:BD24)</f>
        <v>301.69</v>
      </c>
      <c r="BE12" s="56">
        <f t="shared" si="19"/>
        <v>0</v>
      </c>
      <c r="BF12" s="57" t="str">
        <f t="shared" ref="BF12:BF24" si="42">BG12/BE12</f>
        <v>#DIV/0!</v>
      </c>
      <c r="BG12" s="60">
        <f t="shared" ref="BG12:BH12" si="20">SUM(BG13:BG24)</f>
        <v>0</v>
      </c>
      <c r="BH12" s="56">
        <f t="shared" si="20"/>
        <v>12.4</v>
      </c>
      <c r="BI12" s="57">
        <f t="shared" ref="BI12:BI24" si="44">BJ12/BH12</f>
        <v>3.082258065</v>
      </c>
      <c r="BJ12" s="60">
        <f t="shared" ref="BJ12:BK12" si="21">SUM(BJ13:BJ24)</f>
        <v>38.22</v>
      </c>
      <c r="BK12" s="62">
        <f t="shared" si="21"/>
        <v>123.6</v>
      </c>
      <c r="BL12" s="57">
        <f t="shared" ref="BL12:BL24" si="45">BM12/BK12</f>
        <v>4.051537217</v>
      </c>
      <c r="BM12" s="63">
        <f>SUM(BM13:BM24)</f>
        <v>500.77</v>
      </c>
      <c r="BN12" s="64"/>
    </row>
    <row r="13" ht="14.25" customHeight="1">
      <c r="A13" s="65" t="s">
        <v>23</v>
      </c>
      <c r="B13" s="93">
        <v>6.0</v>
      </c>
      <c r="C13" s="66"/>
      <c r="D13" s="67" t="str">
        <f t="shared" si="22"/>
        <v>#DIV/0!</v>
      </c>
      <c r="E13" s="94">
        <v>0.0</v>
      </c>
      <c r="F13" s="66"/>
      <c r="G13" s="67" t="str">
        <f t="shared" si="23"/>
        <v>#DIV/0!</v>
      </c>
      <c r="H13" s="68"/>
      <c r="I13" s="66"/>
      <c r="J13" s="67" t="str">
        <f t="shared" si="24"/>
        <v>#DIV/0!</v>
      </c>
      <c r="K13" s="94">
        <v>0.0</v>
      </c>
      <c r="L13" s="66"/>
      <c r="M13" s="67" t="str">
        <f t="shared" si="25"/>
        <v>#DIV/0!</v>
      </c>
      <c r="N13" s="68"/>
      <c r="O13" s="66"/>
      <c r="P13" s="67" t="str">
        <f t="shared" si="26"/>
        <v>#DIV/0!</v>
      </c>
      <c r="Q13" s="94">
        <v>0.0</v>
      </c>
      <c r="R13" s="96">
        <f t="shared" ref="R13:R24" si="46">C13+F13+I13+L13+O13</f>
        <v>0</v>
      </c>
      <c r="S13" s="67" t="str">
        <f t="shared" si="27"/>
        <v>#DIV/0!</v>
      </c>
      <c r="T13" s="94">
        <f t="shared" ref="T13:T24" si="47">E13+H13+K13+N13+Q13</f>
        <v>0</v>
      </c>
      <c r="U13" s="96">
        <v>2.8</v>
      </c>
      <c r="V13" s="67">
        <f t="shared" si="28"/>
        <v>4.6</v>
      </c>
      <c r="W13" s="94">
        <v>12.88</v>
      </c>
      <c r="X13" s="66"/>
      <c r="Y13" s="67" t="str">
        <f t="shared" si="29"/>
        <v>#DIV/0!</v>
      </c>
      <c r="Z13" s="68"/>
      <c r="AA13" s="96">
        <v>0.5</v>
      </c>
      <c r="AB13" s="67">
        <f t="shared" si="30"/>
        <v>3.9</v>
      </c>
      <c r="AC13" s="98">
        <v>1.95</v>
      </c>
      <c r="AD13" s="66"/>
      <c r="AE13" s="67" t="str">
        <f t="shared" si="31"/>
        <v>#DIV/0!</v>
      </c>
      <c r="AF13" s="68"/>
      <c r="AG13" s="96">
        <v>2.9</v>
      </c>
      <c r="AH13" s="67">
        <f t="shared" si="32"/>
        <v>3</v>
      </c>
      <c r="AI13" s="94">
        <v>8.7</v>
      </c>
      <c r="AJ13" s="66"/>
      <c r="AK13" s="67" t="str">
        <f t="shared" si="33"/>
        <v>#DIV/0!</v>
      </c>
      <c r="AL13" s="68"/>
      <c r="AM13" s="66"/>
      <c r="AN13" s="67" t="str">
        <f t="shared" si="34"/>
        <v>#DIV/0!</v>
      </c>
      <c r="AO13" s="68"/>
      <c r="AP13" s="66"/>
      <c r="AQ13" s="67" t="str">
        <f t="shared" si="35"/>
        <v>#DIV/0!</v>
      </c>
      <c r="AR13" s="68"/>
      <c r="AS13" s="66">
        <f t="shared" ref="AS13:AS24" si="48">U13+X13+AA13+AD13+AG13+AJ13+AM13+AP13</f>
        <v>6.2</v>
      </c>
      <c r="AT13" s="67">
        <f t="shared" si="36"/>
        <v>3.79516129</v>
      </c>
      <c r="AU13" s="68">
        <f t="shared" ref="AU13:AU24" si="49">W13+Z13+AC13+AF13+AI13+AL13+AO13+AR13</f>
        <v>23.53</v>
      </c>
      <c r="AV13" s="66">
        <f t="shared" ref="AV13:AV24" si="50">C13+U13</f>
        <v>2.8</v>
      </c>
      <c r="AW13" s="67">
        <f t="shared" si="37"/>
        <v>4.6</v>
      </c>
      <c r="AX13" s="71">
        <f t="shared" ref="AX13:AY13" si="38">E13+W13</f>
        <v>12.88</v>
      </c>
      <c r="AY13" s="66">
        <f t="shared" si="38"/>
        <v>0</v>
      </c>
      <c r="AZ13" s="67" t="str">
        <f t="shared" si="39"/>
        <v>#DIV/0!</v>
      </c>
      <c r="BA13" s="72">
        <f t="shared" ref="BA13:BA24" si="52">H13+Z13</f>
        <v>0</v>
      </c>
      <c r="BB13" s="73">
        <f t="shared" ref="BB13:BB24" si="53">AJ13+AA13+I13</f>
        <v>0.5</v>
      </c>
      <c r="BC13" s="67">
        <f t="shared" si="40"/>
        <v>3.9</v>
      </c>
      <c r="BD13" s="71">
        <f t="shared" ref="BD13:BE13" si="41">AL13+AC13+K13</f>
        <v>1.95</v>
      </c>
      <c r="BE13" s="66">
        <f t="shared" si="41"/>
        <v>0</v>
      </c>
      <c r="BF13" s="67" t="str">
        <f t="shared" si="42"/>
        <v>#DIV/0!</v>
      </c>
      <c r="BG13" s="72">
        <f t="shared" ref="BG13:BH13" si="43">AO13+AF13+N13</f>
        <v>0</v>
      </c>
      <c r="BH13" s="66">
        <f t="shared" si="43"/>
        <v>2.9</v>
      </c>
      <c r="BI13" s="67">
        <f t="shared" si="44"/>
        <v>3</v>
      </c>
      <c r="BJ13" s="72">
        <f t="shared" ref="BJ13:BJ24" si="56">AR13+AI13+Q13</f>
        <v>8.7</v>
      </c>
      <c r="BK13" s="73">
        <f t="shared" ref="BK13:BK24" si="57">AV13+AY13+BB13+BE13+BH13</f>
        <v>6.2</v>
      </c>
      <c r="BL13" s="67">
        <f t="shared" si="45"/>
        <v>3.79516129</v>
      </c>
      <c r="BM13" s="68">
        <f t="shared" ref="BM13:BM24" si="58">AX13+BA13+BD13+BG13+BJ13</f>
        <v>23.53</v>
      </c>
      <c r="BN13" s="76"/>
    </row>
    <row r="14" ht="14.25" customHeight="1">
      <c r="A14" s="65" t="s">
        <v>24</v>
      </c>
      <c r="B14" s="93">
        <v>4.0</v>
      </c>
      <c r="C14" s="96">
        <v>4.0</v>
      </c>
      <c r="D14" s="67">
        <f t="shared" si="22"/>
        <v>4.5</v>
      </c>
      <c r="E14" s="94">
        <v>18.0</v>
      </c>
      <c r="F14" s="66"/>
      <c r="G14" s="67" t="str">
        <f t="shared" si="23"/>
        <v>#DIV/0!</v>
      </c>
      <c r="H14" s="68"/>
      <c r="I14" s="66"/>
      <c r="J14" s="67" t="str">
        <f t="shared" si="24"/>
        <v>#DIV/0!</v>
      </c>
      <c r="K14" s="94">
        <v>0.0</v>
      </c>
      <c r="L14" s="66"/>
      <c r="M14" s="67" t="str">
        <f t="shared" si="25"/>
        <v>#DIV/0!</v>
      </c>
      <c r="N14" s="68"/>
      <c r="O14" s="66"/>
      <c r="P14" s="67" t="str">
        <f t="shared" si="26"/>
        <v>#DIV/0!</v>
      </c>
      <c r="Q14" s="94">
        <v>0.0</v>
      </c>
      <c r="R14" s="96">
        <f t="shared" si="46"/>
        <v>4</v>
      </c>
      <c r="S14" s="67">
        <f t="shared" si="27"/>
        <v>4.5</v>
      </c>
      <c r="T14" s="94">
        <f t="shared" si="47"/>
        <v>18</v>
      </c>
      <c r="U14" s="66"/>
      <c r="V14" s="67" t="str">
        <f t="shared" si="28"/>
        <v>#DIV/0!</v>
      </c>
      <c r="W14" s="94">
        <v>0.0</v>
      </c>
      <c r="X14" s="66"/>
      <c r="Y14" s="67" t="str">
        <f t="shared" si="29"/>
        <v>#DIV/0!</v>
      </c>
      <c r="Z14" s="68"/>
      <c r="AA14" s="96">
        <v>3.5</v>
      </c>
      <c r="AB14" s="67">
        <f t="shared" si="30"/>
        <v>4</v>
      </c>
      <c r="AC14" s="94">
        <v>14.0</v>
      </c>
      <c r="AD14" s="66"/>
      <c r="AE14" s="67" t="str">
        <f t="shared" si="31"/>
        <v>#DIV/0!</v>
      </c>
      <c r="AF14" s="68"/>
      <c r="AG14" s="66"/>
      <c r="AH14" s="67" t="str">
        <f t="shared" si="32"/>
        <v>#DIV/0!</v>
      </c>
      <c r="AI14" s="94">
        <v>0.0</v>
      </c>
      <c r="AJ14" s="66"/>
      <c r="AK14" s="67" t="str">
        <f t="shared" si="33"/>
        <v>#DIV/0!</v>
      </c>
      <c r="AL14" s="68"/>
      <c r="AM14" s="66"/>
      <c r="AN14" s="67" t="str">
        <f t="shared" si="34"/>
        <v>#DIV/0!</v>
      </c>
      <c r="AO14" s="68"/>
      <c r="AP14" s="66"/>
      <c r="AQ14" s="67" t="str">
        <f t="shared" si="35"/>
        <v>#DIV/0!</v>
      </c>
      <c r="AR14" s="68"/>
      <c r="AS14" s="66">
        <f t="shared" si="48"/>
        <v>3.5</v>
      </c>
      <c r="AT14" s="67">
        <f t="shared" si="36"/>
        <v>4</v>
      </c>
      <c r="AU14" s="68">
        <f t="shared" si="49"/>
        <v>14</v>
      </c>
      <c r="AV14" s="66">
        <f t="shared" si="50"/>
        <v>4</v>
      </c>
      <c r="AW14" s="67">
        <f t="shared" si="37"/>
        <v>4.5</v>
      </c>
      <c r="AX14" s="71">
        <f t="shared" ref="AX14:AY14" si="51">E14+W14</f>
        <v>18</v>
      </c>
      <c r="AY14" s="66">
        <f t="shared" si="51"/>
        <v>0</v>
      </c>
      <c r="AZ14" s="67" t="str">
        <f t="shared" si="39"/>
        <v>#DIV/0!</v>
      </c>
      <c r="BA14" s="72">
        <f t="shared" si="52"/>
        <v>0</v>
      </c>
      <c r="BB14" s="73">
        <f t="shared" si="53"/>
        <v>3.5</v>
      </c>
      <c r="BC14" s="67">
        <f t="shared" si="40"/>
        <v>4</v>
      </c>
      <c r="BD14" s="71">
        <f t="shared" ref="BD14:BE14" si="54">AL14+AC14+K14</f>
        <v>14</v>
      </c>
      <c r="BE14" s="66">
        <f t="shared" si="54"/>
        <v>0</v>
      </c>
      <c r="BF14" s="67" t="str">
        <f t="shared" si="42"/>
        <v>#DIV/0!</v>
      </c>
      <c r="BG14" s="72">
        <f t="shared" ref="BG14:BH14" si="55">AO14+AF14+N14</f>
        <v>0</v>
      </c>
      <c r="BH14" s="66">
        <f t="shared" si="55"/>
        <v>0</v>
      </c>
      <c r="BI14" s="67" t="str">
        <f t="shared" si="44"/>
        <v>#DIV/0!</v>
      </c>
      <c r="BJ14" s="72">
        <f t="shared" si="56"/>
        <v>0</v>
      </c>
      <c r="BK14" s="73">
        <f t="shared" si="57"/>
        <v>7.5</v>
      </c>
      <c r="BL14" s="67">
        <f t="shared" si="45"/>
        <v>4.266666667</v>
      </c>
      <c r="BM14" s="68">
        <f t="shared" si="58"/>
        <v>32</v>
      </c>
      <c r="BN14" s="76"/>
    </row>
    <row r="15" ht="14.25" customHeight="1">
      <c r="A15" s="65" t="s">
        <v>25</v>
      </c>
      <c r="B15" s="93">
        <v>5.0</v>
      </c>
      <c r="C15" s="96">
        <v>7.0</v>
      </c>
      <c r="D15" s="67">
        <f t="shared" si="22"/>
        <v>5</v>
      </c>
      <c r="E15" s="94">
        <v>35.0</v>
      </c>
      <c r="F15" s="66"/>
      <c r="G15" s="67" t="str">
        <f t="shared" si="23"/>
        <v>#DIV/0!</v>
      </c>
      <c r="H15" s="68"/>
      <c r="I15" s="96">
        <v>3.5</v>
      </c>
      <c r="J15" s="67">
        <f t="shared" si="24"/>
        <v>4.2</v>
      </c>
      <c r="K15" s="94">
        <v>14.7</v>
      </c>
      <c r="L15" s="66"/>
      <c r="M15" s="67" t="str">
        <f t="shared" si="25"/>
        <v>#DIV/0!</v>
      </c>
      <c r="N15" s="68"/>
      <c r="O15" s="66"/>
      <c r="P15" s="67" t="str">
        <f t="shared" si="26"/>
        <v>#DIV/0!</v>
      </c>
      <c r="Q15" s="94">
        <v>0.0</v>
      </c>
      <c r="R15" s="96">
        <f t="shared" si="46"/>
        <v>10.5</v>
      </c>
      <c r="S15" s="67">
        <f t="shared" si="27"/>
        <v>4.733333333</v>
      </c>
      <c r="T15" s="94">
        <f t="shared" si="47"/>
        <v>49.7</v>
      </c>
      <c r="U15" s="66"/>
      <c r="V15" s="67" t="str">
        <f t="shared" si="28"/>
        <v>#DIV/0!</v>
      </c>
      <c r="W15" s="94">
        <v>0.0</v>
      </c>
      <c r="X15" s="66"/>
      <c r="Y15" s="67" t="str">
        <f t="shared" si="29"/>
        <v>#DIV/0!</v>
      </c>
      <c r="Z15" s="68"/>
      <c r="AA15" s="96">
        <v>2.5</v>
      </c>
      <c r="AB15" s="67">
        <f t="shared" si="30"/>
        <v>4</v>
      </c>
      <c r="AC15" s="94">
        <v>10.0</v>
      </c>
      <c r="AD15" s="66"/>
      <c r="AE15" s="67" t="str">
        <f t="shared" si="31"/>
        <v>#DIV/0!</v>
      </c>
      <c r="AF15" s="68"/>
      <c r="AG15" s="66"/>
      <c r="AH15" s="67" t="str">
        <f t="shared" si="32"/>
        <v>#DIV/0!</v>
      </c>
      <c r="AI15" s="94">
        <v>0.0</v>
      </c>
      <c r="AJ15" s="66"/>
      <c r="AK15" s="67" t="str">
        <f t="shared" si="33"/>
        <v>#DIV/0!</v>
      </c>
      <c r="AL15" s="68"/>
      <c r="AM15" s="66"/>
      <c r="AN15" s="67" t="str">
        <f t="shared" si="34"/>
        <v>#DIV/0!</v>
      </c>
      <c r="AO15" s="68"/>
      <c r="AP15" s="66"/>
      <c r="AQ15" s="67" t="str">
        <f t="shared" si="35"/>
        <v>#DIV/0!</v>
      </c>
      <c r="AR15" s="68"/>
      <c r="AS15" s="66">
        <f t="shared" si="48"/>
        <v>2.5</v>
      </c>
      <c r="AT15" s="67">
        <f t="shared" si="36"/>
        <v>4</v>
      </c>
      <c r="AU15" s="68">
        <f t="shared" si="49"/>
        <v>10</v>
      </c>
      <c r="AV15" s="66">
        <f t="shared" si="50"/>
        <v>7</v>
      </c>
      <c r="AW15" s="67">
        <f t="shared" si="37"/>
        <v>5</v>
      </c>
      <c r="AX15" s="71">
        <f t="shared" ref="AX15:AY15" si="59">E15+W15</f>
        <v>35</v>
      </c>
      <c r="AY15" s="66">
        <f t="shared" si="59"/>
        <v>0</v>
      </c>
      <c r="AZ15" s="67" t="str">
        <f t="shared" si="39"/>
        <v>#DIV/0!</v>
      </c>
      <c r="BA15" s="72">
        <f t="shared" si="52"/>
        <v>0</v>
      </c>
      <c r="BB15" s="73">
        <f t="shared" si="53"/>
        <v>6</v>
      </c>
      <c r="BC15" s="67">
        <f t="shared" si="40"/>
        <v>4.116666667</v>
      </c>
      <c r="BD15" s="71">
        <f t="shared" ref="BD15:BE15" si="60">AL15+AC15+K15</f>
        <v>24.7</v>
      </c>
      <c r="BE15" s="66">
        <f t="shared" si="60"/>
        <v>0</v>
      </c>
      <c r="BF15" s="67" t="str">
        <f t="shared" si="42"/>
        <v>#DIV/0!</v>
      </c>
      <c r="BG15" s="72">
        <f t="shared" ref="BG15:BH15" si="61">AO15+AF15+N15</f>
        <v>0</v>
      </c>
      <c r="BH15" s="66">
        <f t="shared" si="61"/>
        <v>0</v>
      </c>
      <c r="BI15" s="67" t="str">
        <f t="shared" si="44"/>
        <v>#DIV/0!</v>
      </c>
      <c r="BJ15" s="72">
        <f t="shared" si="56"/>
        <v>0</v>
      </c>
      <c r="BK15" s="73">
        <f t="shared" si="57"/>
        <v>13</v>
      </c>
      <c r="BL15" s="67">
        <f t="shared" si="45"/>
        <v>4.592307692</v>
      </c>
      <c r="BM15" s="68">
        <f t="shared" si="58"/>
        <v>59.7</v>
      </c>
      <c r="BN15" s="76"/>
    </row>
    <row r="16" ht="14.25" customHeight="1">
      <c r="A16" s="65" t="s">
        <v>26</v>
      </c>
      <c r="B16" s="93">
        <v>13.0</v>
      </c>
      <c r="C16" s="96">
        <v>2.8</v>
      </c>
      <c r="D16" s="67">
        <f t="shared" si="22"/>
        <v>5</v>
      </c>
      <c r="E16" s="94">
        <v>14.0</v>
      </c>
      <c r="F16" s="66"/>
      <c r="G16" s="67" t="str">
        <f t="shared" si="23"/>
        <v>#DIV/0!</v>
      </c>
      <c r="H16" s="68"/>
      <c r="I16" s="96">
        <v>3.0</v>
      </c>
      <c r="J16" s="67">
        <f t="shared" si="24"/>
        <v>3.9</v>
      </c>
      <c r="K16" s="94">
        <v>11.7</v>
      </c>
      <c r="L16" s="66"/>
      <c r="M16" s="67" t="str">
        <f t="shared" si="25"/>
        <v>#DIV/0!</v>
      </c>
      <c r="N16" s="68"/>
      <c r="O16" s="66"/>
      <c r="P16" s="67" t="str">
        <f t="shared" si="26"/>
        <v>#DIV/0!</v>
      </c>
      <c r="Q16" s="94">
        <v>0.0</v>
      </c>
      <c r="R16" s="96">
        <f t="shared" si="46"/>
        <v>5.8</v>
      </c>
      <c r="S16" s="67">
        <f t="shared" si="27"/>
        <v>4.431034483</v>
      </c>
      <c r="T16" s="94">
        <f t="shared" si="47"/>
        <v>25.7</v>
      </c>
      <c r="U16" s="96">
        <v>3.6</v>
      </c>
      <c r="V16" s="67">
        <f t="shared" si="28"/>
        <v>4.5</v>
      </c>
      <c r="W16" s="94">
        <v>16.2</v>
      </c>
      <c r="X16" s="66"/>
      <c r="Y16" s="67" t="str">
        <f t="shared" si="29"/>
        <v>#DIV/0!</v>
      </c>
      <c r="Z16" s="68"/>
      <c r="AA16" s="96">
        <v>10.8</v>
      </c>
      <c r="AB16" s="67">
        <f t="shared" si="30"/>
        <v>3.9</v>
      </c>
      <c r="AC16" s="94">
        <v>42.12</v>
      </c>
      <c r="AD16" s="66"/>
      <c r="AE16" s="67" t="str">
        <f t="shared" si="31"/>
        <v>#DIV/0!</v>
      </c>
      <c r="AF16" s="68"/>
      <c r="AG16" s="96">
        <v>1.0</v>
      </c>
      <c r="AH16" s="67">
        <f t="shared" si="32"/>
        <v>3.2</v>
      </c>
      <c r="AI16" s="94">
        <v>3.2</v>
      </c>
      <c r="AJ16" s="66"/>
      <c r="AK16" s="67" t="str">
        <f t="shared" si="33"/>
        <v>#DIV/0!</v>
      </c>
      <c r="AL16" s="68"/>
      <c r="AM16" s="66"/>
      <c r="AN16" s="67" t="str">
        <f t="shared" si="34"/>
        <v>#DIV/0!</v>
      </c>
      <c r="AO16" s="68"/>
      <c r="AP16" s="66"/>
      <c r="AQ16" s="67" t="str">
        <f t="shared" si="35"/>
        <v>#DIV/0!</v>
      </c>
      <c r="AR16" s="68"/>
      <c r="AS16" s="66">
        <f t="shared" si="48"/>
        <v>15.4</v>
      </c>
      <c r="AT16" s="67">
        <f t="shared" si="36"/>
        <v>3.994805195</v>
      </c>
      <c r="AU16" s="68">
        <f t="shared" si="49"/>
        <v>61.52</v>
      </c>
      <c r="AV16" s="66">
        <f t="shared" si="50"/>
        <v>6.4</v>
      </c>
      <c r="AW16" s="67">
        <f t="shared" si="37"/>
        <v>4.71875</v>
      </c>
      <c r="AX16" s="71">
        <f t="shared" ref="AX16:AY16" si="62">E16+W16</f>
        <v>30.2</v>
      </c>
      <c r="AY16" s="66">
        <f t="shared" si="62"/>
        <v>0</v>
      </c>
      <c r="AZ16" s="67" t="str">
        <f t="shared" si="39"/>
        <v>#DIV/0!</v>
      </c>
      <c r="BA16" s="72">
        <f t="shared" si="52"/>
        <v>0</v>
      </c>
      <c r="BB16" s="73">
        <f t="shared" si="53"/>
        <v>13.8</v>
      </c>
      <c r="BC16" s="67">
        <f t="shared" si="40"/>
        <v>3.9</v>
      </c>
      <c r="BD16" s="71">
        <f t="shared" ref="BD16:BE16" si="63">AL16+AC16+K16</f>
        <v>53.82</v>
      </c>
      <c r="BE16" s="66">
        <f t="shared" si="63"/>
        <v>0</v>
      </c>
      <c r="BF16" s="67" t="str">
        <f t="shared" si="42"/>
        <v>#DIV/0!</v>
      </c>
      <c r="BG16" s="72">
        <f t="shared" ref="BG16:BH16" si="64">AO16+AF16+N16</f>
        <v>0</v>
      </c>
      <c r="BH16" s="66">
        <f t="shared" si="64"/>
        <v>1</v>
      </c>
      <c r="BI16" s="67">
        <f t="shared" si="44"/>
        <v>3.2</v>
      </c>
      <c r="BJ16" s="72">
        <f t="shared" si="56"/>
        <v>3.2</v>
      </c>
      <c r="BK16" s="73">
        <f t="shared" si="57"/>
        <v>21.2</v>
      </c>
      <c r="BL16" s="67">
        <f t="shared" si="45"/>
        <v>4.114150943</v>
      </c>
      <c r="BM16" s="68">
        <f t="shared" si="58"/>
        <v>87.22</v>
      </c>
      <c r="BN16" s="76"/>
    </row>
    <row r="17" ht="14.25" customHeight="1">
      <c r="A17" s="65" t="s">
        <v>27</v>
      </c>
      <c r="B17" s="93">
        <v>4.0</v>
      </c>
      <c r="C17" s="66"/>
      <c r="D17" s="67" t="str">
        <f t="shared" si="22"/>
        <v>#DIV/0!</v>
      </c>
      <c r="E17" s="94">
        <v>0.0</v>
      </c>
      <c r="F17" s="66"/>
      <c r="G17" s="67" t="str">
        <f t="shared" si="23"/>
        <v>#DIV/0!</v>
      </c>
      <c r="H17" s="68"/>
      <c r="I17" s="96">
        <v>2.0</v>
      </c>
      <c r="J17" s="67">
        <f t="shared" si="24"/>
        <v>3.9</v>
      </c>
      <c r="K17" s="94">
        <v>7.8</v>
      </c>
      <c r="L17" s="66"/>
      <c r="M17" s="67" t="str">
        <f t="shared" si="25"/>
        <v>#DIV/0!</v>
      </c>
      <c r="N17" s="68"/>
      <c r="O17" s="66"/>
      <c r="P17" s="67" t="str">
        <f t="shared" si="26"/>
        <v>#DIV/0!</v>
      </c>
      <c r="Q17" s="94">
        <v>0.0</v>
      </c>
      <c r="R17" s="96">
        <f t="shared" si="46"/>
        <v>2</v>
      </c>
      <c r="S17" s="67">
        <f t="shared" si="27"/>
        <v>3.9</v>
      </c>
      <c r="T17" s="94">
        <f t="shared" si="47"/>
        <v>7.8</v>
      </c>
      <c r="U17" s="66"/>
      <c r="V17" s="67" t="str">
        <f t="shared" si="28"/>
        <v>#DIV/0!</v>
      </c>
      <c r="W17" s="94">
        <v>0.0</v>
      </c>
      <c r="X17" s="66"/>
      <c r="Y17" s="67" t="str">
        <f t="shared" si="29"/>
        <v>#DIV/0!</v>
      </c>
      <c r="Z17" s="68"/>
      <c r="AA17" s="96">
        <v>3.8</v>
      </c>
      <c r="AB17" s="67">
        <f t="shared" si="30"/>
        <v>3.9</v>
      </c>
      <c r="AC17" s="94">
        <v>14.82</v>
      </c>
      <c r="AD17" s="66"/>
      <c r="AE17" s="67" t="str">
        <f t="shared" si="31"/>
        <v>#DIV/0!</v>
      </c>
      <c r="AF17" s="68"/>
      <c r="AG17" s="66"/>
      <c r="AH17" s="67" t="str">
        <f t="shared" si="32"/>
        <v>#DIV/0!</v>
      </c>
      <c r="AI17" s="94">
        <v>0.0</v>
      </c>
      <c r="AJ17" s="66"/>
      <c r="AK17" s="67" t="str">
        <f t="shared" si="33"/>
        <v>#DIV/0!</v>
      </c>
      <c r="AL17" s="68"/>
      <c r="AM17" s="66"/>
      <c r="AN17" s="67" t="str">
        <f t="shared" si="34"/>
        <v>#DIV/0!</v>
      </c>
      <c r="AO17" s="68"/>
      <c r="AP17" s="66"/>
      <c r="AQ17" s="67" t="str">
        <f t="shared" si="35"/>
        <v>#DIV/0!</v>
      </c>
      <c r="AR17" s="68"/>
      <c r="AS17" s="66">
        <f t="shared" si="48"/>
        <v>3.8</v>
      </c>
      <c r="AT17" s="67">
        <f t="shared" si="36"/>
        <v>3.9</v>
      </c>
      <c r="AU17" s="68">
        <f t="shared" si="49"/>
        <v>14.82</v>
      </c>
      <c r="AV17" s="66">
        <f t="shared" si="50"/>
        <v>0</v>
      </c>
      <c r="AW17" s="67" t="str">
        <f t="shared" si="37"/>
        <v>#DIV/0!</v>
      </c>
      <c r="AX17" s="71">
        <f t="shared" ref="AX17:AY17" si="65">E17+W17</f>
        <v>0</v>
      </c>
      <c r="AY17" s="66">
        <f t="shared" si="65"/>
        <v>0</v>
      </c>
      <c r="AZ17" s="67" t="str">
        <f t="shared" si="39"/>
        <v>#DIV/0!</v>
      </c>
      <c r="BA17" s="72">
        <f t="shared" si="52"/>
        <v>0</v>
      </c>
      <c r="BB17" s="73">
        <f t="shared" si="53"/>
        <v>5.8</v>
      </c>
      <c r="BC17" s="67">
        <f t="shared" si="40"/>
        <v>3.9</v>
      </c>
      <c r="BD17" s="71">
        <f t="shared" ref="BD17:BE17" si="66">AL17+AC17+K17</f>
        <v>22.62</v>
      </c>
      <c r="BE17" s="66">
        <f t="shared" si="66"/>
        <v>0</v>
      </c>
      <c r="BF17" s="67" t="str">
        <f t="shared" si="42"/>
        <v>#DIV/0!</v>
      </c>
      <c r="BG17" s="72">
        <f t="shared" ref="BG17:BH17" si="67">AO17+AF17+N17</f>
        <v>0</v>
      </c>
      <c r="BH17" s="66">
        <f t="shared" si="67"/>
        <v>0</v>
      </c>
      <c r="BI17" s="67" t="str">
        <f t="shared" si="44"/>
        <v>#DIV/0!</v>
      </c>
      <c r="BJ17" s="72">
        <f t="shared" si="56"/>
        <v>0</v>
      </c>
      <c r="BK17" s="73">
        <f t="shared" si="57"/>
        <v>5.8</v>
      </c>
      <c r="BL17" s="67">
        <f t="shared" si="45"/>
        <v>3.9</v>
      </c>
      <c r="BM17" s="70">
        <f t="shared" si="58"/>
        <v>22.62</v>
      </c>
      <c r="BN17" s="76"/>
    </row>
    <row r="18" ht="14.25" customHeight="1">
      <c r="A18" s="65" t="s">
        <v>28</v>
      </c>
      <c r="B18" s="93">
        <v>19.0</v>
      </c>
      <c r="C18" s="96">
        <v>1.0</v>
      </c>
      <c r="D18" s="67">
        <f t="shared" si="22"/>
        <v>4.9</v>
      </c>
      <c r="E18" s="94">
        <v>4.9</v>
      </c>
      <c r="F18" s="66"/>
      <c r="G18" s="67" t="str">
        <f t="shared" si="23"/>
        <v>#DIV/0!</v>
      </c>
      <c r="H18" s="68"/>
      <c r="I18" s="96">
        <v>8.5</v>
      </c>
      <c r="J18" s="67">
        <f t="shared" si="24"/>
        <v>3.9</v>
      </c>
      <c r="K18" s="94">
        <v>33.15</v>
      </c>
      <c r="L18" s="66"/>
      <c r="M18" s="67" t="str">
        <f t="shared" si="25"/>
        <v>#DIV/0!</v>
      </c>
      <c r="N18" s="68"/>
      <c r="O18" s="96">
        <v>2.8</v>
      </c>
      <c r="P18" s="67">
        <f t="shared" si="26"/>
        <v>3.2</v>
      </c>
      <c r="Q18" s="94">
        <v>8.96</v>
      </c>
      <c r="R18" s="96">
        <f t="shared" si="46"/>
        <v>12.3</v>
      </c>
      <c r="S18" s="67">
        <f t="shared" si="27"/>
        <v>3.82195122</v>
      </c>
      <c r="T18" s="94">
        <f t="shared" si="47"/>
        <v>47.01</v>
      </c>
      <c r="U18" s="66"/>
      <c r="V18" s="67" t="str">
        <f t="shared" si="28"/>
        <v>#DIV/0!</v>
      </c>
      <c r="W18" s="94">
        <v>0.0</v>
      </c>
      <c r="X18" s="66"/>
      <c r="Y18" s="67" t="str">
        <f t="shared" si="29"/>
        <v>#DIV/0!</v>
      </c>
      <c r="Z18" s="68"/>
      <c r="AA18" s="100">
        <v>13.5</v>
      </c>
      <c r="AB18" s="67">
        <f t="shared" si="30"/>
        <v>3.8</v>
      </c>
      <c r="AC18" s="95">
        <v>51.3</v>
      </c>
      <c r="AD18" s="66"/>
      <c r="AE18" s="67" t="str">
        <f t="shared" si="31"/>
        <v>#DIV/0!</v>
      </c>
      <c r="AF18" s="68"/>
      <c r="AG18" s="96">
        <v>3.5</v>
      </c>
      <c r="AH18" s="67">
        <f t="shared" si="32"/>
        <v>3.2</v>
      </c>
      <c r="AI18" s="94">
        <v>11.2</v>
      </c>
      <c r="AJ18" s="66"/>
      <c r="AK18" s="67" t="str">
        <f t="shared" si="33"/>
        <v>#DIV/0!</v>
      </c>
      <c r="AL18" s="68"/>
      <c r="AM18" s="66"/>
      <c r="AN18" s="67" t="str">
        <f t="shared" si="34"/>
        <v>#DIV/0!</v>
      </c>
      <c r="AO18" s="68"/>
      <c r="AP18" s="66"/>
      <c r="AQ18" s="67" t="str">
        <f t="shared" si="35"/>
        <v>#DIV/0!</v>
      </c>
      <c r="AR18" s="68"/>
      <c r="AS18" s="66">
        <f t="shared" si="48"/>
        <v>17</v>
      </c>
      <c r="AT18" s="67">
        <f t="shared" si="36"/>
        <v>3.676470588</v>
      </c>
      <c r="AU18" s="68">
        <f t="shared" si="49"/>
        <v>62.5</v>
      </c>
      <c r="AV18" s="66">
        <f t="shared" si="50"/>
        <v>1</v>
      </c>
      <c r="AW18" s="67">
        <f t="shared" si="37"/>
        <v>4.9</v>
      </c>
      <c r="AX18" s="71">
        <f t="shared" ref="AX18:AY18" si="68">E18+W18</f>
        <v>4.9</v>
      </c>
      <c r="AY18" s="66">
        <f t="shared" si="68"/>
        <v>0</v>
      </c>
      <c r="AZ18" s="67" t="str">
        <f t="shared" si="39"/>
        <v>#DIV/0!</v>
      </c>
      <c r="BA18" s="72">
        <f t="shared" si="52"/>
        <v>0</v>
      </c>
      <c r="BB18" s="73">
        <f t="shared" si="53"/>
        <v>22</v>
      </c>
      <c r="BC18" s="67">
        <f t="shared" si="40"/>
        <v>3.838636364</v>
      </c>
      <c r="BD18" s="71">
        <f t="shared" ref="BD18:BE18" si="69">AL18+AC18+K18</f>
        <v>84.45</v>
      </c>
      <c r="BE18" s="66">
        <f t="shared" si="69"/>
        <v>0</v>
      </c>
      <c r="BF18" s="67" t="str">
        <f t="shared" si="42"/>
        <v>#DIV/0!</v>
      </c>
      <c r="BG18" s="72">
        <f t="shared" ref="BG18:BH18" si="70">AO18+AF18+N18</f>
        <v>0</v>
      </c>
      <c r="BH18" s="66">
        <f t="shared" si="70"/>
        <v>6.3</v>
      </c>
      <c r="BI18" s="67">
        <f t="shared" si="44"/>
        <v>3.2</v>
      </c>
      <c r="BJ18" s="72">
        <f t="shared" si="56"/>
        <v>20.16</v>
      </c>
      <c r="BK18" s="73">
        <f t="shared" si="57"/>
        <v>29.3</v>
      </c>
      <c r="BL18" s="67">
        <f t="shared" si="45"/>
        <v>3.737542662</v>
      </c>
      <c r="BM18" s="75">
        <f t="shared" si="58"/>
        <v>109.51</v>
      </c>
      <c r="BN18" s="76"/>
    </row>
    <row r="19" ht="14.25" customHeight="1">
      <c r="A19" s="65" t="s">
        <v>29</v>
      </c>
      <c r="B19" s="93">
        <v>0.0</v>
      </c>
      <c r="C19" s="66"/>
      <c r="D19" s="67" t="str">
        <f t="shared" si="22"/>
        <v>#DIV/0!</v>
      </c>
      <c r="E19" s="94">
        <v>0.0</v>
      </c>
      <c r="F19" s="66"/>
      <c r="G19" s="67" t="str">
        <f t="shared" si="23"/>
        <v>#DIV/0!</v>
      </c>
      <c r="H19" s="68"/>
      <c r="I19" s="66"/>
      <c r="J19" s="67" t="str">
        <f t="shared" si="24"/>
        <v>#DIV/0!</v>
      </c>
      <c r="K19" s="94">
        <v>0.0</v>
      </c>
      <c r="L19" s="66"/>
      <c r="M19" s="67" t="str">
        <f t="shared" si="25"/>
        <v>#DIV/0!</v>
      </c>
      <c r="N19" s="68"/>
      <c r="O19" s="66"/>
      <c r="P19" s="67" t="str">
        <f t="shared" si="26"/>
        <v>#DIV/0!</v>
      </c>
      <c r="Q19" s="94">
        <v>0.0</v>
      </c>
      <c r="R19" s="96">
        <f t="shared" si="46"/>
        <v>0</v>
      </c>
      <c r="S19" s="67" t="str">
        <f t="shared" si="27"/>
        <v>#DIV/0!</v>
      </c>
      <c r="T19" s="94">
        <f t="shared" si="47"/>
        <v>0</v>
      </c>
      <c r="U19" s="66"/>
      <c r="V19" s="67" t="str">
        <f t="shared" si="28"/>
        <v>#DIV/0!</v>
      </c>
      <c r="W19" s="94">
        <v>0.0</v>
      </c>
      <c r="X19" s="66"/>
      <c r="Y19" s="67" t="str">
        <f t="shared" si="29"/>
        <v>#DIV/0!</v>
      </c>
      <c r="Z19" s="68"/>
      <c r="AA19" s="66"/>
      <c r="AB19" s="67" t="str">
        <f t="shared" si="30"/>
        <v>#DIV/0!</v>
      </c>
      <c r="AC19" s="94">
        <v>0.0</v>
      </c>
      <c r="AD19" s="66"/>
      <c r="AE19" s="67" t="str">
        <f t="shared" si="31"/>
        <v>#DIV/0!</v>
      </c>
      <c r="AF19" s="68"/>
      <c r="AG19" s="66"/>
      <c r="AH19" s="67" t="str">
        <f t="shared" si="32"/>
        <v>#DIV/0!</v>
      </c>
      <c r="AI19" s="94">
        <v>0.0</v>
      </c>
      <c r="AJ19" s="66"/>
      <c r="AK19" s="67" t="str">
        <f t="shared" si="33"/>
        <v>#DIV/0!</v>
      </c>
      <c r="AL19" s="68"/>
      <c r="AM19" s="66"/>
      <c r="AN19" s="67" t="str">
        <f t="shared" si="34"/>
        <v>#DIV/0!</v>
      </c>
      <c r="AO19" s="68"/>
      <c r="AP19" s="66"/>
      <c r="AQ19" s="67" t="str">
        <f t="shared" si="35"/>
        <v>#DIV/0!</v>
      </c>
      <c r="AR19" s="68"/>
      <c r="AS19" s="66">
        <f t="shared" si="48"/>
        <v>0</v>
      </c>
      <c r="AT19" s="67" t="str">
        <f t="shared" si="36"/>
        <v>#DIV/0!</v>
      </c>
      <c r="AU19" s="68">
        <f t="shared" si="49"/>
        <v>0</v>
      </c>
      <c r="AV19" s="66">
        <f t="shared" si="50"/>
        <v>0</v>
      </c>
      <c r="AW19" s="67" t="str">
        <f t="shared" si="37"/>
        <v>#DIV/0!</v>
      </c>
      <c r="AX19" s="71">
        <f t="shared" ref="AX19:AY19" si="71">E19+W19</f>
        <v>0</v>
      </c>
      <c r="AY19" s="66">
        <f t="shared" si="71"/>
        <v>0</v>
      </c>
      <c r="AZ19" s="67" t="str">
        <f t="shared" si="39"/>
        <v>#DIV/0!</v>
      </c>
      <c r="BA19" s="72">
        <f t="shared" si="52"/>
        <v>0</v>
      </c>
      <c r="BB19" s="73">
        <f t="shared" si="53"/>
        <v>0</v>
      </c>
      <c r="BC19" s="67" t="str">
        <f t="shared" si="40"/>
        <v>#DIV/0!</v>
      </c>
      <c r="BD19" s="71">
        <f t="shared" ref="BD19:BE19" si="72">AL19+AC19+K19</f>
        <v>0</v>
      </c>
      <c r="BE19" s="66">
        <f t="shared" si="72"/>
        <v>0</v>
      </c>
      <c r="BF19" s="67" t="str">
        <f t="shared" si="42"/>
        <v>#DIV/0!</v>
      </c>
      <c r="BG19" s="72">
        <f t="shared" ref="BG19:BH19" si="73">AO19+AF19+N19</f>
        <v>0</v>
      </c>
      <c r="BH19" s="66">
        <f t="shared" si="73"/>
        <v>0</v>
      </c>
      <c r="BI19" s="67" t="str">
        <f t="shared" si="44"/>
        <v>#DIV/0!</v>
      </c>
      <c r="BJ19" s="72">
        <f t="shared" si="56"/>
        <v>0</v>
      </c>
      <c r="BK19" s="73">
        <f t="shared" si="57"/>
        <v>0</v>
      </c>
      <c r="BL19" s="67" t="str">
        <f t="shared" si="45"/>
        <v>#DIV/0!</v>
      </c>
      <c r="BM19" s="68">
        <f t="shared" si="58"/>
        <v>0</v>
      </c>
      <c r="BN19" s="76"/>
    </row>
    <row r="20" ht="14.25" customHeight="1">
      <c r="A20" s="65" t="s">
        <v>30</v>
      </c>
      <c r="B20" s="93">
        <v>0.0</v>
      </c>
      <c r="C20" s="66"/>
      <c r="D20" s="67" t="str">
        <f t="shared" si="22"/>
        <v>#DIV/0!</v>
      </c>
      <c r="E20" s="94">
        <v>0.0</v>
      </c>
      <c r="F20" s="66"/>
      <c r="G20" s="67" t="str">
        <f t="shared" si="23"/>
        <v>#DIV/0!</v>
      </c>
      <c r="H20" s="68"/>
      <c r="I20" s="66"/>
      <c r="J20" s="67" t="str">
        <f t="shared" si="24"/>
        <v>#DIV/0!</v>
      </c>
      <c r="K20" s="94">
        <v>0.0</v>
      </c>
      <c r="L20" s="66"/>
      <c r="M20" s="67" t="str">
        <f t="shared" si="25"/>
        <v>#DIV/0!</v>
      </c>
      <c r="N20" s="68"/>
      <c r="O20" s="66"/>
      <c r="P20" s="67" t="str">
        <f t="shared" si="26"/>
        <v>#DIV/0!</v>
      </c>
      <c r="Q20" s="94">
        <v>0.0</v>
      </c>
      <c r="R20" s="96">
        <f t="shared" si="46"/>
        <v>0</v>
      </c>
      <c r="S20" s="67" t="str">
        <f t="shared" si="27"/>
        <v>#DIV/0!</v>
      </c>
      <c r="T20" s="94">
        <f t="shared" si="47"/>
        <v>0</v>
      </c>
      <c r="U20" s="66"/>
      <c r="V20" s="67" t="str">
        <f t="shared" si="28"/>
        <v>#DIV/0!</v>
      </c>
      <c r="W20" s="94">
        <v>0.0</v>
      </c>
      <c r="X20" s="66"/>
      <c r="Y20" s="67" t="str">
        <f t="shared" si="29"/>
        <v>#DIV/0!</v>
      </c>
      <c r="Z20" s="68"/>
      <c r="AA20" s="66"/>
      <c r="AB20" s="67" t="str">
        <f t="shared" si="30"/>
        <v>#DIV/0!</v>
      </c>
      <c r="AC20" s="94">
        <v>0.0</v>
      </c>
      <c r="AD20" s="66"/>
      <c r="AE20" s="67" t="str">
        <f t="shared" si="31"/>
        <v>#DIV/0!</v>
      </c>
      <c r="AF20" s="70"/>
      <c r="AG20" s="66"/>
      <c r="AH20" s="67" t="str">
        <f t="shared" si="32"/>
        <v>#DIV/0!</v>
      </c>
      <c r="AI20" s="94">
        <v>0.0</v>
      </c>
      <c r="AJ20" s="66"/>
      <c r="AK20" s="67" t="str">
        <f t="shared" si="33"/>
        <v>#DIV/0!</v>
      </c>
      <c r="AL20" s="68"/>
      <c r="AM20" s="66"/>
      <c r="AN20" s="67" t="str">
        <f t="shared" si="34"/>
        <v>#DIV/0!</v>
      </c>
      <c r="AO20" s="68"/>
      <c r="AP20" s="66"/>
      <c r="AQ20" s="67" t="str">
        <f t="shared" si="35"/>
        <v>#DIV/0!</v>
      </c>
      <c r="AR20" s="68"/>
      <c r="AS20" s="66">
        <f t="shared" si="48"/>
        <v>0</v>
      </c>
      <c r="AT20" s="67" t="str">
        <f t="shared" si="36"/>
        <v>#DIV/0!</v>
      </c>
      <c r="AU20" s="68">
        <f t="shared" si="49"/>
        <v>0</v>
      </c>
      <c r="AV20" s="66">
        <f t="shared" si="50"/>
        <v>0</v>
      </c>
      <c r="AW20" s="67" t="str">
        <f t="shared" si="37"/>
        <v>#DIV/0!</v>
      </c>
      <c r="AX20" s="71">
        <f t="shared" ref="AX20:AY20" si="74">E20+W20</f>
        <v>0</v>
      </c>
      <c r="AY20" s="66">
        <f t="shared" si="74"/>
        <v>0</v>
      </c>
      <c r="AZ20" s="67" t="str">
        <f t="shared" si="39"/>
        <v>#DIV/0!</v>
      </c>
      <c r="BA20" s="72">
        <f t="shared" si="52"/>
        <v>0</v>
      </c>
      <c r="BB20" s="73">
        <f t="shared" si="53"/>
        <v>0</v>
      </c>
      <c r="BC20" s="67" t="str">
        <f t="shared" si="40"/>
        <v>#DIV/0!</v>
      </c>
      <c r="BD20" s="71">
        <f t="shared" ref="BD20:BE20" si="75">AL20+AC20+K20</f>
        <v>0</v>
      </c>
      <c r="BE20" s="66">
        <f t="shared" si="75"/>
        <v>0</v>
      </c>
      <c r="BF20" s="67" t="str">
        <f t="shared" si="42"/>
        <v>#DIV/0!</v>
      </c>
      <c r="BG20" s="72">
        <f t="shared" ref="BG20:BH20" si="76">AO20+AF20+N20</f>
        <v>0</v>
      </c>
      <c r="BH20" s="66">
        <f t="shared" si="76"/>
        <v>0</v>
      </c>
      <c r="BI20" s="67" t="str">
        <f t="shared" si="44"/>
        <v>#DIV/0!</v>
      </c>
      <c r="BJ20" s="72">
        <f t="shared" si="56"/>
        <v>0</v>
      </c>
      <c r="BK20" s="73">
        <f t="shared" si="57"/>
        <v>0</v>
      </c>
      <c r="BL20" s="67" t="str">
        <f t="shared" si="45"/>
        <v>#DIV/0!</v>
      </c>
      <c r="BM20" s="75">
        <f t="shared" si="58"/>
        <v>0</v>
      </c>
      <c r="BN20" s="76"/>
    </row>
    <row r="21" ht="14.25" customHeight="1">
      <c r="A21" s="65" t="s">
        <v>31</v>
      </c>
      <c r="B21" s="93">
        <v>18.0</v>
      </c>
      <c r="C21" s="96">
        <v>7.7</v>
      </c>
      <c r="D21" s="67">
        <f t="shared" si="22"/>
        <v>4.9</v>
      </c>
      <c r="E21" s="94">
        <v>37.73</v>
      </c>
      <c r="F21" s="66"/>
      <c r="G21" s="67" t="str">
        <f t="shared" si="23"/>
        <v>#DIV/0!</v>
      </c>
      <c r="H21" s="68"/>
      <c r="I21" s="96">
        <v>12.5</v>
      </c>
      <c r="J21" s="67">
        <f t="shared" si="24"/>
        <v>3.8</v>
      </c>
      <c r="K21" s="94">
        <v>47.5</v>
      </c>
      <c r="L21" s="66"/>
      <c r="M21" s="67" t="str">
        <f t="shared" si="25"/>
        <v>#DIV/0!</v>
      </c>
      <c r="N21" s="68"/>
      <c r="O21" s="96">
        <v>2.2</v>
      </c>
      <c r="P21" s="67">
        <f t="shared" si="26"/>
        <v>2.8</v>
      </c>
      <c r="Q21" s="94">
        <v>6.16</v>
      </c>
      <c r="R21" s="96">
        <f t="shared" si="46"/>
        <v>22.4</v>
      </c>
      <c r="S21" s="67">
        <f t="shared" si="27"/>
        <v>4.079910714</v>
      </c>
      <c r="T21" s="94">
        <f t="shared" si="47"/>
        <v>91.39</v>
      </c>
      <c r="U21" s="96">
        <v>2.5</v>
      </c>
      <c r="V21" s="67">
        <f t="shared" si="28"/>
        <v>4.9</v>
      </c>
      <c r="W21" s="94">
        <v>12.25</v>
      </c>
      <c r="X21" s="66"/>
      <c r="Y21" s="67" t="str">
        <f t="shared" si="29"/>
        <v>#DIV/0!</v>
      </c>
      <c r="Z21" s="68"/>
      <c r="AA21" s="96">
        <v>1.0</v>
      </c>
      <c r="AB21" s="67">
        <f t="shared" si="30"/>
        <v>3.9</v>
      </c>
      <c r="AC21" s="94">
        <v>3.9</v>
      </c>
      <c r="AD21" s="66"/>
      <c r="AE21" s="67" t="str">
        <f t="shared" si="31"/>
        <v>#DIV/0!</v>
      </c>
      <c r="AF21" s="70"/>
      <c r="AG21" s="66"/>
      <c r="AH21" s="67" t="str">
        <f t="shared" si="32"/>
        <v>#DIV/0!</v>
      </c>
      <c r="AI21" s="94">
        <v>0.0</v>
      </c>
      <c r="AJ21" s="66"/>
      <c r="AK21" s="67" t="str">
        <f t="shared" si="33"/>
        <v>#DIV/0!</v>
      </c>
      <c r="AL21" s="68"/>
      <c r="AM21" s="66"/>
      <c r="AN21" s="67" t="str">
        <f t="shared" si="34"/>
        <v>#DIV/0!</v>
      </c>
      <c r="AO21" s="68"/>
      <c r="AP21" s="66"/>
      <c r="AQ21" s="67" t="str">
        <f t="shared" si="35"/>
        <v>#DIV/0!</v>
      </c>
      <c r="AR21" s="68"/>
      <c r="AS21" s="66">
        <f t="shared" si="48"/>
        <v>3.5</v>
      </c>
      <c r="AT21" s="67">
        <f t="shared" si="36"/>
        <v>4.614285714</v>
      </c>
      <c r="AU21" s="68">
        <f t="shared" si="49"/>
        <v>16.15</v>
      </c>
      <c r="AV21" s="66">
        <f t="shared" si="50"/>
        <v>10.2</v>
      </c>
      <c r="AW21" s="67">
        <f t="shared" si="37"/>
        <v>4.9</v>
      </c>
      <c r="AX21" s="71">
        <f t="shared" ref="AX21:AY21" si="77">E21+W21</f>
        <v>49.98</v>
      </c>
      <c r="AY21" s="66">
        <f t="shared" si="77"/>
        <v>0</v>
      </c>
      <c r="AZ21" s="67" t="str">
        <f t="shared" si="39"/>
        <v>#DIV/0!</v>
      </c>
      <c r="BA21" s="72">
        <f t="shared" si="52"/>
        <v>0</v>
      </c>
      <c r="BB21" s="73">
        <f t="shared" si="53"/>
        <v>13.5</v>
      </c>
      <c r="BC21" s="67">
        <f t="shared" si="40"/>
        <v>3.807407407</v>
      </c>
      <c r="BD21" s="71">
        <f t="shared" ref="BD21:BE21" si="78">AL21+AC21+K21</f>
        <v>51.4</v>
      </c>
      <c r="BE21" s="66">
        <f t="shared" si="78"/>
        <v>0</v>
      </c>
      <c r="BF21" s="67" t="str">
        <f t="shared" si="42"/>
        <v>#DIV/0!</v>
      </c>
      <c r="BG21" s="72">
        <f t="shared" ref="BG21:BH21" si="79">AO21+AF21+N21</f>
        <v>0</v>
      </c>
      <c r="BH21" s="66">
        <f t="shared" si="79"/>
        <v>2.2</v>
      </c>
      <c r="BI21" s="67">
        <f t="shared" si="44"/>
        <v>2.8</v>
      </c>
      <c r="BJ21" s="72">
        <f t="shared" si="56"/>
        <v>6.16</v>
      </c>
      <c r="BK21" s="73">
        <f t="shared" si="57"/>
        <v>25.9</v>
      </c>
      <c r="BL21" s="67">
        <f t="shared" si="45"/>
        <v>4.152123552</v>
      </c>
      <c r="BM21" s="75">
        <f t="shared" si="58"/>
        <v>107.54</v>
      </c>
      <c r="BN21" s="76"/>
    </row>
    <row r="22" ht="14.25" customHeight="1">
      <c r="A22" s="65" t="s">
        <v>32</v>
      </c>
      <c r="B22" s="93">
        <v>7.0</v>
      </c>
      <c r="C22" s="96">
        <v>2.2</v>
      </c>
      <c r="D22" s="67">
        <f t="shared" si="22"/>
        <v>4.5</v>
      </c>
      <c r="E22" s="94">
        <v>9.9</v>
      </c>
      <c r="F22" s="66"/>
      <c r="G22" s="67" t="str">
        <f t="shared" si="23"/>
        <v>#DIV/0!</v>
      </c>
      <c r="H22" s="68"/>
      <c r="I22" s="96">
        <v>6.0</v>
      </c>
      <c r="J22" s="67">
        <f t="shared" si="24"/>
        <v>3.9</v>
      </c>
      <c r="K22" s="94">
        <v>23.4</v>
      </c>
      <c r="L22" s="66"/>
      <c r="M22" s="67" t="str">
        <f t="shared" si="25"/>
        <v>#DIV/0!</v>
      </c>
      <c r="N22" s="68"/>
      <c r="O22" s="66"/>
      <c r="P22" s="67" t="str">
        <f t="shared" si="26"/>
        <v>#DIV/0!</v>
      </c>
      <c r="Q22" s="94">
        <v>0.0</v>
      </c>
      <c r="R22" s="96">
        <f t="shared" si="46"/>
        <v>8.2</v>
      </c>
      <c r="S22" s="67">
        <f t="shared" si="27"/>
        <v>4.06097561</v>
      </c>
      <c r="T22" s="94">
        <f t="shared" si="47"/>
        <v>33.3</v>
      </c>
      <c r="U22" s="66"/>
      <c r="V22" s="67" t="str">
        <f t="shared" si="28"/>
        <v>#DIV/0!</v>
      </c>
      <c r="W22" s="94">
        <v>0.0</v>
      </c>
      <c r="X22" s="66"/>
      <c r="Y22" s="67" t="str">
        <f t="shared" si="29"/>
        <v>#DIV/0!</v>
      </c>
      <c r="Z22" s="68"/>
      <c r="AA22" s="96">
        <v>1.5</v>
      </c>
      <c r="AB22" s="67">
        <f t="shared" si="30"/>
        <v>3.9</v>
      </c>
      <c r="AC22" s="94">
        <v>5.85</v>
      </c>
      <c r="AD22" s="66"/>
      <c r="AE22" s="67" t="str">
        <f t="shared" si="31"/>
        <v>#DIV/0!</v>
      </c>
      <c r="AF22" s="70"/>
      <c r="AG22" s="66"/>
      <c r="AH22" s="67" t="str">
        <f t="shared" si="32"/>
        <v>#DIV/0!</v>
      </c>
      <c r="AI22" s="94">
        <v>0.0</v>
      </c>
      <c r="AJ22" s="66"/>
      <c r="AK22" s="67" t="str">
        <f t="shared" si="33"/>
        <v>#DIV/0!</v>
      </c>
      <c r="AL22" s="68"/>
      <c r="AM22" s="66"/>
      <c r="AN22" s="67" t="str">
        <f t="shared" si="34"/>
        <v>#DIV/0!</v>
      </c>
      <c r="AO22" s="68"/>
      <c r="AP22" s="66"/>
      <c r="AQ22" s="67" t="str">
        <f t="shared" si="35"/>
        <v>#DIV/0!</v>
      </c>
      <c r="AR22" s="68"/>
      <c r="AS22" s="66">
        <f t="shared" si="48"/>
        <v>1.5</v>
      </c>
      <c r="AT22" s="67">
        <f t="shared" si="36"/>
        <v>3.9</v>
      </c>
      <c r="AU22" s="68">
        <f t="shared" si="49"/>
        <v>5.85</v>
      </c>
      <c r="AV22" s="66">
        <f t="shared" si="50"/>
        <v>2.2</v>
      </c>
      <c r="AW22" s="67">
        <f t="shared" si="37"/>
        <v>4.5</v>
      </c>
      <c r="AX22" s="71">
        <f t="shared" ref="AX22:AY22" si="80">E22+W22</f>
        <v>9.9</v>
      </c>
      <c r="AY22" s="66">
        <f t="shared" si="80"/>
        <v>0</v>
      </c>
      <c r="AZ22" s="67" t="str">
        <f t="shared" si="39"/>
        <v>#DIV/0!</v>
      </c>
      <c r="BA22" s="72">
        <f t="shared" si="52"/>
        <v>0</v>
      </c>
      <c r="BB22" s="73">
        <f t="shared" si="53"/>
        <v>7.5</v>
      </c>
      <c r="BC22" s="67">
        <f t="shared" si="40"/>
        <v>3.9</v>
      </c>
      <c r="BD22" s="71">
        <f t="shared" ref="BD22:BE22" si="81">AL22+AC22+K22</f>
        <v>29.25</v>
      </c>
      <c r="BE22" s="66">
        <f t="shared" si="81"/>
        <v>0</v>
      </c>
      <c r="BF22" s="67" t="str">
        <f t="shared" si="42"/>
        <v>#DIV/0!</v>
      </c>
      <c r="BG22" s="72">
        <f t="shared" ref="BG22:BH22" si="82">AO22+AF22+N22</f>
        <v>0</v>
      </c>
      <c r="BH22" s="66">
        <f t="shared" si="82"/>
        <v>0</v>
      </c>
      <c r="BI22" s="67" t="str">
        <f t="shared" si="44"/>
        <v>#DIV/0!</v>
      </c>
      <c r="BJ22" s="72">
        <f t="shared" si="56"/>
        <v>0</v>
      </c>
      <c r="BK22" s="73">
        <f t="shared" si="57"/>
        <v>9.7</v>
      </c>
      <c r="BL22" s="67">
        <f t="shared" si="45"/>
        <v>4.036082474</v>
      </c>
      <c r="BM22" s="70">
        <f t="shared" si="58"/>
        <v>39.15</v>
      </c>
      <c r="BN22" s="76"/>
    </row>
    <row r="23" ht="14.25" customHeight="1">
      <c r="A23" s="65" t="s">
        <v>33</v>
      </c>
      <c r="B23" s="93">
        <v>4.0</v>
      </c>
      <c r="C23" s="66"/>
      <c r="D23" s="67" t="str">
        <f t="shared" si="22"/>
        <v>#DIV/0!</v>
      </c>
      <c r="E23" s="94">
        <v>0.0</v>
      </c>
      <c r="F23" s="66"/>
      <c r="G23" s="67" t="str">
        <f t="shared" si="23"/>
        <v>#DIV/0!</v>
      </c>
      <c r="H23" s="68"/>
      <c r="I23" s="66"/>
      <c r="J23" s="67" t="str">
        <f t="shared" si="24"/>
        <v>#DIV/0!</v>
      </c>
      <c r="K23" s="94">
        <v>0.0</v>
      </c>
      <c r="L23" s="66"/>
      <c r="M23" s="67" t="str">
        <f t="shared" si="25"/>
        <v>#DIV/0!</v>
      </c>
      <c r="N23" s="68"/>
      <c r="O23" s="66"/>
      <c r="P23" s="67" t="str">
        <f t="shared" si="26"/>
        <v>#DIV/0!</v>
      </c>
      <c r="Q23" s="94">
        <v>0.0</v>
      </c>
      <c r="R23" s="96">
        <f t="shared" si="46"/>
        <v>0</v>
      </c>
      <c r="S23" s="67" t="str">
        <f t="shared" si="27"/>
        <v>#DIV/0!</v>
      </c>
      <c r="T23" s="94">
        <f t="shared" si="47"/>
        <v>0</v>
      </c>
      <c r="U23" s="66"/>
      <c r="V23" s="67" t="str">
        <f t="shared" si="28"/>
        <v>#DIV/0!</v>
      </c>
      <c r="W23" s="94">
        <v>0.0</v>
      </c>
      <c r="X23" s="66"/>
      <c r="Y23" s="67" t="str">
        <f t="shared" si="29"/>
        <v>#DIV/0!</v>
      </c>
      <c r="Z23" s="68"/>
      <c r="AA23" s="96">
        <v>5.0</v>
      </c>
      <c r="AB23" s="67">
        <f t="shared" si="30"/>
        <v>3.9</v>
      </c>
      <c r="AC23" s="94">
        <v>19.5</v>
      </c>
      <c r="AD23" s="66"/>
      <c r="AE23" s="67" t="str">
        <f t="shared" si="31"/>
        <v>#DIV/0!</v>
      </c>
      <c r="AF23" s="68"/>
      <c r="AG23" s="66"/>
      <c r="AH23" s="67" t="str">
        <f t="shared" si="32"/>
        <v>#DIV/0!</v>
      </c>
      <c r="AI23" s="94">
        <v>0.0</v>
      </c>
      <c r="AJ23" s="66"/>
      <c r="AK23" s="67" t="str">
        <f t="shared" si="33"/>
        <v>#DIV/0!</v>
      </c>
      <c r="AL23" s="68"/>
      <c r="AM23" s="66"/>
      <c r="AN23" s="67" t="str">
        <f t="shared" si="34"/>
        <v>#DIV/0!</v>
      </c>
      <c r="AO23" s="68"/>
      <c r="AP23" s="66"/>
      <c r="AQ23" s="67" t="str">
        <f t="shared" si="35"/>
        <v>#DIV/0!</v>
      </c>
      <c r="AR23" s="68"/>
      <c r="AS23" s="66">
        <f t="shared" si="48"/>
        <v>5</v>
      </c>
      <c r="AT23" s="67">
        <f t="shared" si="36"/>
        <v>3.9</v>
      </c>
      <c r="AU23" s="68">
        <f t="shared" si="49"/>
        <v>19.5</v>
      </c>
      <c r="AV23" s="66">
        <f t="shared" si="50"/>
        <v>0</v>
      </c>
      <c r="AW23" s="67" t="str">
        <f t="shared" si="37"/>
        <v>#DIV/0!</v>
      </c>
      <c r="AX23" s="71">
        <f t="shared" ref="AX23:AY23" si="83">E23+W23</f>
        <v>0</v>
      </c>
      <c r="AY23" s="66">
        <f t="shared" si="83"/>
        <v>0</v>
      </c>
      <c r="AZ23" s="67" t="str">
        <f t="shared" si="39"/>
        <v>#DIV/0!</v>
      </c>
      <c r="BA23" s="72">
        <f t="shared" si="52"/>
        <v>0</v>
      </c>
      <c r="BB23" s="73">
        <f t="shared" si="53"/>
        <v>5</v>
      </c>
      <c r="BC23" s="67">
        <f t="shared" si="40"/>
        <v>3.9</v>
      </c>
      <c r="BD23" s="71">
        <f t="shared" ref="BD23:BE23" si="84">AL23+AC23+K23</f>
        <v>19.5</v>
      </c>
      <c r="BE23" s="66">
        <f t="shared" si="84"/>
        <v>0</v>
      </c>
      <c r="BF23" s="67" t="str">
        <f t="shared" si="42"/>
        <v>#DIV/0!</v>
      </c>
      <c r="BG23" s="72">
        <f t="shared" ref="BG23:BH23" si="85">AO23+AF23+N23</f>
        <v>0</v>
      </c>
      <c r="BH23" s="66">
        <f t="shared" si="85"/>
        <v>0</v>
      </c>
      <c r="BI23" s="67" t="str">
        <f t="shared" si="44"/>
        <v>#DIV/0!</v>
      </c>
      <c r="BJ23" s="72">
        <f t="shared" si="56"/>
        <v>0</v>
      </c>
      <c r="BK23" s="73">
        <f t="shared" si="57"/>
        <v>5</v>
      </c>
      <c r="BL23" s="67">
        <f t="shared" si="45"/>
        <v>3.9</v>
      </c>
      <c r="BM23" s="68">
        <f t="shared" si="58"/>
        <v>19.5</v>
      </c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101">
        <f t="shared" si="46"/>
        <v>0</v>
      </c>
      <c r="S24" s="80"/>
      <c r="T24" s="102">
        <f t="shared" si="47"/>
        <v>0</v>
      </c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>
        <f t="shared" si="48"/>
        <v>0</v>
      </c>
      <c r="AT24" s="80"/>
      <c r="AU24" s="81">
        <f t="shared" si="49"/>
        <v>0</v>
      </c>
      <c r="AV24" s="79">
        <f t="shared" si="50"/>
        <v>0</v>
      </c>
      <c r="AW24" s="80" t="str">
        <f t="shared" si="37"/>
        <v>#DIV/0!</v>
      </c>
      <c r="AX24" s="82">
        <f t="shared" ref="AX24:AY24" si="86">E24+W24</f>
        <v>0</v>
      </c>
      <c r="AY24" s="79">
        <f t="shared" si="86"/>
        <v>0</v>
      </c>
      <c r="AZ24" s="80" t="str">
        <f t="shared" si="39"/>
        <v>#DIV/0!</v>
      </c>
      <c r="BA24" s="83">
        <f t="shared" si="52"/>
        <v>0</v>
      </c>
      <c r="BB24" s="84">
        <f t="shared" si="53"/>
        <v>0</v>
      </c>
      <c r="BC24" s="80" t="str">
        <f t="shared" si="40"/>
        <v>#DIV/0!</v>
      </c>
      <c r="BD24" s="82">
        <f t="shared" ref="BD24:BE24" si="87">AL24+AC24+K24</f>
        <v>0</v>
      </c>
      <c r="BE24" s="79">
        <f t="shared" si="87"/>
        <v>0</v>
      </c>
      <c r="BF24" s="80" t="str">
        <f t="shared" si="42"/>
        <v>#DIV/0!</v>
      </c>
      <c r="BG24" s="83">
        <f t="shared" ref="BG24:BH24" si="88">AO24+AF24+N24</f>
        <v>0</v>
      </c>
      <c r="BH24" s="79">
        <f t="shared" si="88"/>
        <v>0</v>
      </c>
      <c r="BI24" s="80" t="str">
        <f t="shared" si="44"/>
        <v>#DIV/0!</v>
      </c>
      <c r="BJ24" s="83">
        <f t="shared" si="56"/>
        <v>0</v>
      </c>
      <c r="BK24" s="84">
        <f t="shared" si="57"/>
        <v>0</v>
      </c>
      <c r="BL24" s="80" t="str">
        <f t="shared" si="45"/>
        <v>#DIV/0!</v>
      </c>
      <c r="BM24" s="81">
        <f t="shared" si="58"/>
        <v>0</v>
      </c>
      <c r="BN24" s="85"/>
    </row>
    <row r="25" ht="14.25" customHeight="1">
      <c r="A25" s="86" t="s">
        <v>34</v>
      </c>
      <c r="B25" s="86"/>
    </row>
    <row r="26" ht="14.25" customHeight="1">
      <c r="A26" s="87" t="s">
        <v>39</v>
      </c>
      <c r="B26" s="87"/>
    </row>
    <row r="27" ht="14.25" customHeight="1">
      <c r="A27" s="88" t="s">
        <v>40</v>
      </c>
      <c r="B27" s="88"/>
    </row>
    <row r="28" ht="14.25" customHeight="1"/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scale="4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14.25" customHeight="1">
      <c r="A6" s="90" t="s">
        <v>43</v>
      </c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91" t="s">
        <v>38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34</v>
      </c>
      <c r="C12" s="56">
        <f t="shared" si="1"/>
        <v>5</v>
      </c>
      <c r="D12" s="57">
        <f t="shared" ref="D12:D23" si="22">E12/C12</f>
        <v>4.8</v>
      </c>
      <c r="E12" s="58">
        <f t="shared" ref="E12:F12" si="2">SUM(E13:E24)</f>
        <v>24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56">
        <f t="shared" si="3"/>
        <v>17.5</v>
      </c>
      <c r="J12" s="57">
        <f t="shared" ref="J12:J23" si="24">K12/I12</f>
        <v>3.835428571</v>
      </c>
      <c r="K12" s="58">
        <f t="shared" ref="K12:L12" si="4">SUM(K13:K24)</f>
        <v>67.12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56">
        <f t="shared" si="5"/>
        <v>0.7</v>
      </c>
      <c r="P12" s="57">
        <f t="shared" ref="P12:P23" si="26">Q12/O12</f>
        <v>2.8</v>
      </c>
      <c r="Q12" s="58">
        <f t="shared" ref="Q12:R12" si="6">SUM(Q13:Q24)</f>
        <v>1.96</v>
      </c>
      <c r="R12" s="56">
        <f t="shared" si="6"/>
        <v>23.2</v>
      </c>
      <c r="S12" s="57">
        <f t="shared" ref="S12:S23" si="27">T12/R12</f>
        <v>4.012068966</v>
      </c>
      <c r="T12" s="58">
        <f t="shared" ref="T12:U12" si="7">SUM(T13:T24)</f>
        <v>93.08</v>
      </c>
      <c r="U12" s="56">
        <f t="shared" si="7"/>
        <v>0</v>
      </c>
      <c r="V12" s="57" t="str">
        <f t="shared" ref="V12:V23" si="28">W12/U12</f>
        <v>#DIV/0!</v>
      </c>
      <c r="W12" s="58">
        <f t="shared" ref="W12:X12" si="8">SUM(W13:W24)</f>
        <v>0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56">
        <f t="shared" si="9"/>
        <v>19.1</v>
      </c>
      <c r="AB12" s="57">
        <f t="shared" ref="AB12:AB23" si="30">AC12/AA12</f>
        <v>3.894240838</v>
      </c>
      <c r="AC12" s="58">
        <f t="shared" ref="AC12:AD12" si="10">SUM(AC13:AC24)</f>
        <v>74.38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56">
        <f t="shared" si="11"/>
        <v>3.5</v>
      </c>
      <c r="AH12" s="57">
        <f t="shared" ref="AH12:AH23" si="32">AI12/AG12</f>
        <v>3.2</v>
      </c>
      <c r="AI12" s="58">
        <f t="shared" ref="AI12:AJ12" si="12">SUM(AI13:AI24)</f>
        <v>11.2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56">
        <f t="shared" si="15"/>
        <v>22.6</v>
      </c>
      <c r="AT12" s="57">
        <f t="shared" ref="AT12:AT23" si="36">AU12/AS12</f>
        <v>3.786725664</v>
      </c>
      <c r="AU12" s="58">
        <f t="shared" ref="AU12:AV12" si="16">SUM(AU13:AU24)</f>
        <v>85.58</v>
      </c>
      <c r="AV12" s="56">
        <f t="shared" si="16"/>
        <v>5</v>
      </c>
      <c r="AW12" s="57">
        <f t="shared" ref="AW12:AW24" si="37">AX12/AV12</f>
        <v>4.8</v>
      </c>
      <c r="AX12" s="59">
        <f t="shared" ref="AX12:AY12" si="17">SUM(AX13:AX24)</f>
        <v>24</v>
      </c>
      <c r="AY12" s="56">
        <f t="shared" si="17"/>
        <v>0</v>
      </c>
      <c r="AZ12" s="57" t="str">
        <f t="shared" ref="AZ12:AZ24" si="39">BA12/AY12</f>
        <v>#DIV/0!</v>
      </c>
      <c r="BA12" s="60">
        <f t="shared" ref="BA12:BB12" si="18">SUM(BA13:BA24)</f>
        <v>0</v>
      </c>
      <c r="BB12" s="61">
        <f t="shared" si="18"/>
        <v>36.6</v>
      </c>
      <c r="BC12" s="57">
        <f t="shared" ref="BC12:BC24" si="40">BD12/BB12</f>
        <v>3.866120219</v>
      </c>
      <c r="BD12" s="59">
        <f t="shared" ref="BD12:BE12" si="19">SUM(BD13:BD24)</f>
        <v>141.5</v>
      </c>
      <c r="BE12" s="56">
        <f t="shared" si="19"/>
        <v>0</v>
      </c>
      <c r="BF12" s="57" t="str">
        <f t="shared" ref="BF12:BF24" si="42">BG12/BE12</f>
        <v>#DIV/0!</v>
      </c>
      <c r="BG12" s="60">
        <f t="shared" ref="BG12:BH12" si="20">SUM(BG13:BG24)</f>
        <v>0</v>
      </c>
      <c r="BH12" s="56">
        <f t="shared" si="20"/>
        <v>4.2</v>
      </c>
      <c r="BI12" s="57">
        <f t="shared" ref="BI12:BI24" si="44">BJ12/BH12</f>
        <v>3.133333333</v>
      </c>
      <c r="BJ12" s="60">
        <f t="shared" ref="BJ12:BK12" si="21">SUM(BJ13:BJ24)</f>
        <v>13.16</v>
      </c>
      <c r="BK12" s="61">
        <f t="shared" si="21"/>
        <v>45.8</v>
      </c>
      <c r="BL12" s="57">
        <f t="shared" ref="BL12:BL24" si="45">BM12/BK12</f>
        <v>3.900873362</v>
      </c>
      <c r="BM12" s="58">
        <f>SUM(BM13:BM24)</f>
        <v>178.66</v>
      </c>
      <c r="BN12" s="64"/>
    </row>
    <row r="13" ht="14.25" customHeight="1">
      <c r="A13" s="65" t="s">
        <v>23</v>
      </c>
      <c r="B13" s="93">
        <v>0.0</v>
      </c>
      <c r="C13" s="66"/>
      <c r="D13" s="67" t="str">
        <f t="shared" si="22"/>
        <v>#DIV/0!</v>
      </c>
      <c r="E13" s="94">
        <v>0.0</v>
      </c>
      <c r="F13" s="66"/>
      <c r="G13" s="67" t="str">
        <f t="shared" si="23"/>
        <v>#DIV/0!</v>
      </c>
      <c r="H13" s="68"/>
      <c r="I13" s="66"/>
      <c r="J13" s="67" t="str">
        <f t="shared" si="24"/>
        <v>#DIV/0!</v>
      </c>
      <c r="K13" s="94">
        <v>0.0</v>
      </c>
      <c r="L13" s="66"/>
      <c r="M13" s="67" t="str">
        <f t="shared" si="25"/>
        <v>#DIV/0!</v>
      </c>
      <c r="N13" s="68"/>
      <c r="O13" s="66"/>
      <c r="P13" s="67" t="str">
        <f t="shared" si="26"/>
        <v>#DIV/0!</v>
      </c>
      <c r="Q13" s="94">
        <v>0.0</v>
      </c>
      <c r="R13" s="66">
        <f t="shared" ref="R13:R24" si="46">C13+F13+I13+L13+O13</f>
        <v>0</v>
      </c>
      <c r="S13" s="67" t="str">
        <f t="shared" si="27"/>
        <v>#DIV/0!</v>
      </c>
      <c r="T13" s="68">
        <f t="shared" ref="T13:T24" si="47">E13+H13+K13+N13+Q13</f>
        <v>0</v>
      </c>
      <c r="U13" s="66"/>
      <c r="V13" s="67" t="str">
        <f t="shared" si="28"/>
        <v>#DIV/0!</v>
      </c>
      <c r="W13" s="68"/>
      <c r="X13" s="66"/>
      <c r="Y13" s="67" t="str">
        <f t="shared" si="29"/>
        <v>#DIV/0!</v>
      </c>
      <c r="Z13" s="68"/>
      <c r="AA13" s="66"/>
      <c r="AB13" s="67" t="str">
        <f t="shared" si="30"/>
        <v>#DIV/0!</v>
      </c>
      <c r="AC13" s="94">
        <v>0.0</v>
      </c>
      <c r="AD13" s="66"/>
      <c r="AE13" s="67" t="str">
        <f t="shared" si="31"/>
        <v>#DIV/0!</v>
      </c>
      <c r="AF13" s="68"/>
      <c r="AG13" s="66"/>
      <c r="AH13" s="67" t="str">
        <f t="shared" si="32"/>
        <v>#DIV/0!</v>
      </c>
      <c r="AI13" s="94">
        <v>0.0</v>
      </c>
      <c r="AJ13" s="66"/>
      <c r="AK13" s="67" t="str">
        <f t="shared" si="33"/>
        <v>#DIV/0!</v>
      </c>
      <c r="AL13" s="68"/>
      <c r="AM13" s="66"/>
      <c r="AN13" s="67" t="str">
        <f t="shared" si="34"/>
        <v>#DIV/0!</v>
      </c>
      <c r="AO13" s="68"/>
      <c r="AP13" s="66"/>
      <c r="AQ13" s="67" t="str">
        <f t="shared" si="35"/>
        <v>#DIV/0!</v>
      </c>
      <c r="AR13" s="68"/>
      <c r="AS13" s="66">
        <f t="shared" ref="AS13:AS23" si="48">U13+X13+AA13+AD13+AG13+AJ13+AM13+AP13</f>
        <v>0</v>
      </c>
      <c r="AT13" s="67" t="str">
        <f t="shared" si="36"/>
        <v>#DIV/0!</v>
      </c>
      <c r="AU13" s="68">
        <f t="shared" ref="AU13:AU23" si="49">W13+Z13+AC13+AF13+AI13+AL13+AO13+AR13</f>
        <v>0</v>
      </c>
      <c r="AV13" s="66">
        <f t="shared" ref="AV13:AV24" si="50">C13+U13</f>
        <v>0</v>
      </c>
      <c r="AW13" s="67" t="str">
        <f t="shared" si="37"/>
        <v>#DIV/0!</v>
      </c>
      <c r="AX13" s="71">
        <f t="shared" ref="AX13:AY13" si="38">E13+W13</f>
        <v>0</v>
      </c>
      <c r="AY13" s="66">
        <f t="shared" si="38"/>
        <v>0</v>
      </c>
      <c r="AZ13" s="67" t="str">
        <f t="shared" si="39"/>
        <v>#DIV/0!</v>
      </c>
      <c r="BA13" s="72">
        <f t="shared" ref="BA13:BA24" si="52">H13+Z13</f>
        <v>0</v>
      </c>
      <c r="BB13" s="73">
        <f t="shared" ref="BB13:BB24" si="53">AJ13+AA13+I13</f>
        <v>0</v>
      </c>
      <c r="BC13" s="67" t="str">
        <f t="shared" si="40"/>
        <v>#DIV/0!</v>
      </c>
      <c r="BD13" s="71">
        <f t="shared" ref="BD13:BE13" si="41">AL13+AC13+K13</f>
        <v>0</v>
      </c>
      <c r="BE13" s="66">
        <f t="shared" si="41"/>
        <v>0</v>
      </c>
      <c r="BF13" s="67" t="str">
        <f t="shared" si="42"/>
        <v>#DIV/0!</v>
      </c>
      <c r="BG13" s="72">
        <f t="shared" ref="BG13:BH13" si="43">AO13+AF13+N13</f>
        <v>0</v>
      </c>
      <c r="BH13" s="66">
        <f t="shared" si="43"/>
        <v>0</v>
      </c>
      <c r="BI13" s="67" t="str">
        <f t="shared" si="44"/>
        <v>#DIV/0!</v>
      </c>
      <c r="BJ13" s="72">
        <f t="shared" ref="BJ13:BJ24" si="56">AR13+AI13+Q13</f>
        <v>0</v>
      </c>
      <c r="BK13" s="73">
        <f t="shared" ref="BK13:BK24" si="57">AV13+AY13+BB13+BE13+BH13</f>
        <v>0</v>
      </c>
      <c r="BL13" s="67" t="str">
        <f t="shared" si="45"/>
        <v>#DIV/0!</v>
      </c>
      <c r="BM13" s="68">
        <f t="shared" ref="BM13:BM24" si="58">AX13+BA13+BD13+BG13+BJ13</f>
        <v>0</v>
      </c>
      <c r="BN13" s="76"/>
    </row>
    <row r="14" ht="14.25" customHeight="1">
      <c r="A14" s="65" t="s">
        <v>24</v>
      </c>
      <c r="B14" s="93">
        <v>9.0</v>
      </c>
      <c r="C14" s="96">
        <v>5.0</v>
      </c>
      <c r="D14" s="67">
        <f t="shared" si="22"/>
        <v>4.8</v>
      </c>
      <c r="E14" s="94">
        <v>24.0</v>
      </c>
      <c r="F14" s="66"/>
      <c r="G14" s="67" t="str">
        <f t="shared" si="23"/>
        <v>#DIV/0!</v>
      </c>
      <c r="H14" s="68"/>
      <c r="I14" s="96">
        <v>2.5</v>
      </c>
      <c r="J14" s="67">
        <f t="shared" si="24"/>
        <v>3.8</v>
      </c>
      <c r="K14" s="94">
        <v>9.5</v>
      </c>
      <c r="L14" s="66"/>
      <c r="M14" s="67" t="str">
        <f t="shared" si="25"/>
        <v>#DIV/0!</v>
      </c>
      <c r="N14" s="68"/>
      <c r="O14" s="66"/>
      <c r="P14" s="67" t="str">
        <f t="shared" si="26"/>
        <v>#DIV/0!</v>
      </c>
      <c r="Q14" s="94">
        <v>0.0</v>
      </c>
      <c r="R14" s="66">
        <f t="shared" si="46"/>
        <v>7.5</v>
      </c>
      <c r="S14" s="67">
        <f t="shared" si="27"/>
        <v>4.466666667</v>
      </c>
      <c r="T14" s="68">
        <f t="shared" si="47"/>
        <v>33.5</v>
      </c>
      <c r="U14" s="66"/>
      <c r="V14" s="67" t="str">
        <f t="shared" si="28"/>
        <v>#DIV/0!</v>
      </c>
      <c r="W14" s="68"/>
      <c r="X14" s="66"/>
      <c r="Y14" s="67" t="str">
        <f t="shared" si="29"/>
        <v>#DIV/0!</v>
      </c>
      <c r="Z14" s="68"/>
      <c r="AA14" s="96">
        <v>3.0</v>
      </c>
      <c r="AB14" s="67">
        <f t="shared" si="30"/>
        <v>4</v>
      </c>
      <c r="AC14" s="94">
        <v>12.0</v>
      </c>
      <c r="AD14" s="66"/>
      <c r="AE14" s="67" t="str">
        <f t="shared" si="31"/>
        <v>#DIV/0!</v>
      </c>
      <c r="AF14" s="68"/>
      <c r="AG14" s="66"/>
      <c r="AH14" s="67" t="str">
        <f t="shared" si="32"/>
        <v>#DIV/0!</v>
      </c>
      <c r="AI14" s="94">
        <v>0.0</v>
      </c>
      <c r="AJ14" s="66"/>
      <c r="AK14" s="67" t="str">
        <f t="shared" si="33"/>
        <v>#DIV/0!</v>
      </c>
      <c r="AL14" s="68"/>
      <c r="AM14" s="66"/>
      <c r="AN14" s="67" t="str">
        <f t="shared" si="34"/>
        <v>#DIV/0!</v>
      </c>
      <c r="AO14" s="68"/>
      <c r="AP14" s="66"/>
      <c r="AQ14" s="67" t="str">
        <f t="shared" si="35"/>
        <v>#DIV/0!</v>
      </c>
      <c r="AR14" s="68"/>
      <c r="AS14" s="66">
        <f t="shared" si="48"/>
        <v>3</v>
      </c>
      <c r="AT14" s="67">
        <f t="shared" si="36"/>
        <v>4</v>
      </c>
      <c r="AU14" s="68">
        <f t="shared" si="49"/>
        <v>12</v>
      </c>
      <c r="AV14" s="66">
        <f t="shared" si="50"/>
        <v>5</v>
      </c>
      <c r="AW14" s="67">
        <f t="shared" si="37"/>
        <v>4.8</v>
      </c>
      <c r="AX14" s="71">
        <f t="shared" ref="AX14:AY14" si="51">E14+W14</f>
        <v>24</v>
      </c>
      <c r="AY14" s="66">
        <f t="shared" si="51"/>
        <v>0</v>
      </c>
      <c r="AZ14" s="67" t="str">
        <f t="shared" si="39"/>
        <v>#DIV/0!</v>
      </c>
      <c r="BA14" s="72">
        <f t="shared" si="52"/>
        <v>0</v>
      </c>
      <c r="BB14" s="73">
        <f t="shared" si="53"/>
        <v>5.5</v>
      </c>
      <c r="BC14" s="67">
        <f t="shared" si="40"/>
        <v>3.909090909</v>
      </c>
      <c r="BD14" s="71">
        <f t="shared" ref="BD14:BE14" si="54">AL14+AC14+K14</f>
        <v>21.5</v>
      </c>
      <c r="BE14" s="66">
        <f t="shared" si="54"/>
        <v>0</v>
      </c>
      <c r="BF14" s="67" t="str">
        <f t="shared" si="42"/>
        <v>#DIV/0!</v>
      </c>
      <c r="BG14" s="72">
        <f t="shared" ref="BG14:BH14" si="55">AO14+AF14+N14</f>
        <v>0</v>
      </c>
      <c r="BH14" s="66">
        <f t="shared" si="55"/>
        <v>0</v>
      </c>
      <c r="BI14" s="67" t="str">
        <f t="shared" si="44"/>
        <v>#DIV/0!</v>
      </c>
      <c r="BJ14" s="72">
        <f t="shared" si="56"/>
        <v>0</v>
      </c>
      <c r="BK14" s="73">
        <f t="shared" si="57"/>
        <v>10.5</v>
      </c>
      <c r="BL14" s="67">
        <f t="shared" si="45"/>
        <v>4.333333333</v>
      </c>
      <c r="BM14" s="68">
        <f t="shared" si="58"/>
        <v>45.5</v>
      </c>
      <c r="BN14" s="76"/>
    </row>
    <row r="15" ht="14.25" customHeight="1">
      <c r="A15" s="65" t="s">
        <v>25</v>
      </c>
      <c r="B15" s="93">
        <v>0.0</v>
      </c>
      <c r="C15" s="66"/>
      <c r="D15" s="67" t="str">
        <f t="shared" si="22"/>
        <v>#DIV/0!</v>
      </c>
      <c r="E15" s="94">
        <v>0.0</v>
      </c>
      <c r="F15" s="66"/>
      <c r="G15" s="67" t="str">
        <f t="shared" si="23"/>
        <v>#DIV/0!</v>
      </c>
      <c r="H15" s="68"/>
      <c r="I15" s="66"/>
      <c r="J15" s="67" t="str">
        <f t="shared" si="24"/>
        <v>#DIV/0!</v>
      </c>
      <c r="K15" s="94">
        <v>0.0</v>
      </c>
      <c r="L15" s="66"/>
      <c r="M15" s="67" t="str">
        <f t="shared" si="25"/>
        <v>#DIV/0!</v>
      </c>
      <c r="N15" s="68"/>
      <c r="O15" s="66"/>
      <c r="P15" s="67" t="str">
        <f t="shared" si="26"/>
        <v>#DIV/0!</v>
      </c>
      <c r="Q15" s="94">
        <v>0.0</v>
      </c>
      <c r="R15" s="66">
        <f t="shared" si="46"/>
        <v>0</v>
      </c>
      <c r="S15" s="67" t="str">
        <f t="shared" si="27"/>
        <v>#DIV/0!</v>
      </c>
      <c r="T15" s="68">
        <f t="shared" si="47"/>
        <v>0</v>
      </c>
      <c r="U15" s="66"/>
      <c r="V15" s="67" t="str">
        <f t="shared" si="28"/>
        <v>#DIV/0!</v>
      </c>
      <c r="W15" s="68"/>
      <c r="X15" s="66"/>
      <c r="Y15" s="67" t="str">
        <f t="shared" si="29"/>
        <v>#DIV/0!</v>
      </c>
      <c r="Z15" s="68"/>
      <c r="AA15" s="66"/>
      <c r="AB15" s="67" t="str">
        <f t="shared" si="30"/>
        <v>#DIV/0!</v>
      </c>
      <c r="AC15" s="94">
        <v>0.0</v>
      </c>
      <c r="AD15" s="66"/>
      <c r="AE15" s="67" t="str">
        <f t="shared" si="31"/>
        <v>#DIV/0!</v>
      </c>
      <c r="AF15" s="68"/>
      <c r="AG15" s="66"/>
      <c r="AH15" s="67" t="str">
        <f t="shared" si="32"/>
        <v>#DIV/0!</v>
      </c>
      <c r="AI15" s="94">
        <v>0.0</v>
      </c>
      <c r="AJ15" s="66"/>
      <c r="AK15" s="67" t="str">
        <f t="shared" si="33"/>
        <v>#DIV/0!</v>
      </c>
      <c r="AL15" s="68"/>
      <c r="AM15" s="66"/>
      <c r="AN15" s="67" t="str">
        <f t="shared" si="34"/>
        <v>#DIV/0!</v>
      </c>
      <c r="AO15" s="68"/>
      <c r="AP15" s="66"/>
      <c r="AQ15" s="67" t="str">
        <f t="shared" si="35"/>
        <v>#DIV/0!</v>
      </c>
      <c r="AR15" s="68"/>
      <c r="AS15" s="66">
        <f t="shared" si="48"/>
        <v>0</v>
      </c>
      <c r="AT15" s="67" t="str">
        <f t="shared" si="36"/>
        <v>#DIV/0!</v>
      </c>
      <c r="AU15" s="68">
        <f t="shared" si="49"/>
        <v>0</v>
      </c>
      <c r="AV15" s="66">
        <f t="shared" si="50"/>
        <v>0</v>
      </c>
      <c r="AW15" s="67" t="str">
        <f t="shared" si="37"/>
        <v>#DIV/0!</v>
      </c>
      <c r="AX15" s="71">
        <f t="shared" ref="AX15:AY15" si="59">E15+W15</f>
        <v>0</v>
      </c>
      <c r="AY15" s="66">
        <f t="shared" si="59"/>
        <v>0</v>
      </c>
      <c r="AZ15" s="67" t="str">
        <f t="shared" si="39"/>
        <v>#DIV/0!</v>
      </c>
      <c r="BA15" s="72">
        <f t="shared" si="52"/>
        <v>0</v>
      </c>
      <c r="BB15" s="73">
        <f t="shared" si="53"/>
        <v>0</v>
      </c>
      <c r="BC15" s="67" t="str">
        <f t="shared" si="40"/>
        <v>#DIV/0!</v>
      </c>
      <c r="BD15" s="71">
        <f t="shared" ref="BD15:BE15" si="60">AL15+AC15+K15</f>
        <v>0</v>
      </c>
      <c r="BE15" s="66">
        <f t="shared" si="60"/>
        <v>0</v>
      </c>
      <c r="BF15" s="67" t="str">
        <f t="shared" si="42"/>
        <v>#DIV/0!</v>
      </c>
      <c r="BG15" s="72">
        <f t="shared" ref="BG15:BH15" si="61">AO15+AF15+N15</f>
        <v>0</v>
      </c>
      <c r="BH15" s="66">
        <f t="shared" si="61"/>
        <v>0</v>
      </c>
      <c r="BI15" s="67" t="str">
        <f t="shared" si="44"/>
        <v>#DIV/0!</v>
      </c>
      <c r="BJ15" s="72">
        <f t="shared" si="56"/>
        <v>0</v>
      </c>
      <c r="BK15" s="73">
        <f t="shared" si="57"/>
        <v>0</v>
      </c>
      <c r="BL15" s="67" t="str">
        <f t="shared" si="45"/>
        <v>#DIV/0!</v>
      </c>
      <c r="BM15" s="68">
        <f t="shared" si="58"/>
        <v>0</v>
      </c>
      <c r="BN15" s="76"/>
    </row>
    <row r="16" ht="14.25" customHeight="1">
      <c r="A16" s="65" t="s">
        <v>26</v>
      </c>
      <c r="B16" s="93">
        <v>0.0</v>
      </c>
      <c r="C16" s="66"/>
      <c r="D16" s="67" t="str">
        <f t="shared" si="22"/>
        <v>#DIV/0!</v>
      </c>
      <c r="E16" s="94">
        <v>0.0</v>
      </c>
      <c r="F16" s="66"/>
      <c r="G16" s="67" t="str">
        <f t="shared" si="23"/>
        <v>#DIV/0!</v>
      </c>
      <c r="H16" s="68"/>
      <c r="I16" s="66"/>
      <c r="J16" s="67" t="str">
        <f t="shared" si="24"/>
        <v>#DIV/0!</v>
      </c>
      <c r="K16" s="94">
        <v>0.0</v>
      </c>
      <c r="L16" s="66"/>
      <c r="M16" s="67" t="str">
        <f t="shared" si="25"/>
        <v>#DIV/0!</v>
      </c>
      <c r="N16" s="68"/>
      <c r="O16" s="66"/>
      <c r="P16" s="67" t="str">
        <f t="shared" si="26"/>
        <v>#DIV/0!</v>
      </c>
      <c r="Q16" s="94">
        <v>0.0</v>
      </c>
      <c r="R16" s="66">
        <f t="shared" si="46"/>
        <v>0</v>
      </c>
      <c r="S16" s="67" t="str">
        <f t="shared" si="27"/>
        <v>#DIV/0!</v>
      </c>
      <c r="T16" s="68">
        <f t="shared" si="47"/>
        <v>0</v>
      </c>
      <c r="U16" s="66"/>
      <c r="V16" s="67" t="str">
        <f t="shared" si="28"/>
        <v>#DIV/0!</v>
      </c>
      <c r="W16" s="68"/>
      <c r="X16" s="66"/>
      <c r="Y16" s="67" t="str">
        <f t="shared" si="29"/>
        <v>#DIV/0!</v>
      </c>
      <c r="Z16" s="68"/>
      <c r="AA16" s="66"/>
      <c r="AB16" s="67" t="str">
        <f t="shared" si="30"/>
        <v>#DIV/0!</v>
      </c>
      <c r="AC16" s="94">
        <v>0.0</v>
      </c>
      <c r="AD16" s="66"/>
      <c r="AE16" s="67" t="str">
        <f t="shared" si="31"/>
        <v>#DIV/0!</v>
      </c>
      <c r="AF16" s="68"/>
      <c r="AG16" s="66"/>
      <c r="AH16" s="67" t="str">
        <f t="shared" si="32"/>
        <v>#DIV/0!</v>
      </c>
      <c r="AI16" s="94">
        <v>0.0</v>
      </c>
      <c r="AJ16" s="66"/>
      <c r="AK16" s="67" t="str">
        <f t="shared" si="33"/>
        <v>#DIV/0!</v>
      </c>
      <c r="AL16" s="68"/>
      <c r="AM16" s="66"/>
      <c r="AN16" s="67" t="str">
        <f t="shared" si="34"/>
        <v>#DIV/0!</v>
      </c>
      <c r="AO16" s="68"/>
      <c r="AP16" s="66"/>
      <c r="AQ16" s="67" t="str">
        <f t="shared" si="35"/>
        <v>#DIV/0!</v>
      </c>
      <c r="AR16" s="68"/>
      <c r="AS16" s="66">
        <f t="shared" si="48"/>
        <v>0</v>
      </c>
      <c r="AT16" s="67" t="str">
        <f t="shared" si="36"/>
        <v>#DIV/0!</v>
      </c>
      <c r="AU16" s="68">
        <f t="shared" si="49"/>
        <v>0</v>
      </c>
      <c r="AV16" s="66">
        <f t="shared" si="50"/>
        <v>0</v>
      </c>
      <c r="AW16" s="67" t="str">
        <f t="shared" si="37"/>
        <v>#DIV/0!</v>
      </c>
      <c r="AX16" s="71">
        <f t="shared" ref="AX16:AY16" si="62">E16+W16</f>
        <v>0</v>
      </c>
      <c r="AY16" s="66">
        <f t="shared" si="62"/>
        <v>0</v>
      </c>
      <c r="AZ16" s="67" t="str">
        <f t="shared" si="39"/>
        <v>#DIV/0!</v>
      </c>
      <c r="BA16" s="72">
        <f t="shared" si="52"/>
        <v>0</v>
      </c>
      <c r="BB16" s="73">
        <f t="shared" si="53"/>
        <v>0</v>
      </c>
      <c r="BC16" s="67" t="str">
        <f t="shared" si="40"/>
        <v>#DIV/0!</v>
      </c>
      <c r="BD16" s="71">
        <f t="shared" ref="BD16:BE16" si="63">AL16+AC16+K16</f>
        <v>0</v>
      </c>
      <c r="BE16" s="66">
        <f t="shared" si="63"/>
        <v>0</v>
      </c>
      <c r="BF16" s="67" t="str">
        <f t="shared" si="42"/>
        <v>#DIV/0!</v>
      </c>
      <c r="BG16" s="72">
        <f t="shared" ref="BG16:BH16" si="64">AO16+AF16+N16</f>
        <v>0</v>
      </c>
      <c r="BH16" s="66">
        <f t="shared" si="64"/>
        <v>0</v>
      </c>
      <c r="BI16" s="67" t="str">
        <f t="shared" si="44"/>
        <v>#DIV/0!</v>
      </c>
      <c r="BJ16" s="72">
        <f t="shared" si="56"/>
        <v>0</v>
      </c>
      <c r="BK16" s="73">
        <f t="shared" si="57"/>
        <v>0</v>
      </c>
      <c r="BL16" s="67" t="str">
        <f t="shared" si="45"/>
        <v>#DIV/0!</v>
      </c>
      <c r="BM16" s="68">
        <f t="shared" si="58"/>
        <v>0</v>
      </c>
      <c r="BN16" s="76"/>
    </row>
    <row r="17" ht="14.25" customHeight="1">
      <c r="A17" s="65" t="s">
        <v>27</v>
      </c>
      <c r="B17" s="93">
        <v>6.0</v>
      </c>
      <c r="C17" s="66"/>
      <c r="D17" s="67" t="str">
        <f t="shared" si="22"/>
        <v>#DIV/0!</v>
      </c>
      <c r="E17" s="94">
        <v>0.0</v>
      </c>
      <c r="F17" s="66"/>
      <c r="G17" s="67" t="str">
        <f t="shared" si="23"/>
        <v>#DIV/0!</v>
      </c>
      <c r="H17" s="68"/>
      <c r="I17" s="96">
        <v>4.4</v>
      </c>
      <c r="J17" s="67">
        <f t="shared" si="24"/>
        <v>3.7</v>
      </c>
      <c r="K17" s="94">
        <v>16.28</v>
      </c>
      <c r="L17" s="66"/>
      <c r="M17" s="67" t="str">
        <f t="shared" si="25"/>
        <v>#DIV/0!</v>
      </c>
      <c r="N17" s="68"/>
      <c r="O17" s="66"/>
      <c r="P17" s="67" t="str">
        <f t="shared" si="26"/>
        <v>#DIV/0!</v>
      </c>
      <c r="Q17" s="94">
        <v>0.0</v>
      </c>
      <c r="R17" s="66">
        <f t="shared" si="46"/>
        <v>4.4</v>
      </c>
      <c r="S17" s="67">
        <f t="shared" si="27"/>
        <v>3.7</v>
      </c>
      <c r="T17" s="68">
        <f t="shared" si="47"/>
        <v>16.28</v>
      </c>
      <c r="U17" s="66"/>
      <c r="V17" s="67" t="str">
        <f t="shared" si="28"/>
        <v>#DIV/0!</v>
      </c>
      <c r="W17" s="68"/>
      <c r="X17" s="66"/>
      <c r="Y17" s="67" t="str">
        <f t="shared" si="29"/>
        <v>#DIV/0!</v>
      </c>
      <c r="Z17" s="68"/>
      <c r="AA17" s="96">
        <v>4.3</v>
      </c>
      <c r="AB17" s="67">
        <f t="shared" si="30"/>
        <v>3.9</v>
      </c>
      <c r="AC17" s="94">
        <v>16.77</v>
      </c>
      <c r="AD17" s="66"/>
      <c r="AE17" s="67" t="str">
        <f t="shared" si="31"/>
        <v>#DIV/0!</v>
      </c>
      <c r="AF17" s="68"/>
      <c r="AG17" s="96">
        <v>1.7</v>
      </c>
      <c r="AH17" s="67">
        <f t="shared" si="32"/>
        <v>3.2</v>
      </c>
      <c r="AI17" s="94">
        <v>5.44</v>
      </c>
      <c r="AJ17" s="66"/>
      <c r="AK17" s="67" t="str">
        <f t="shared" si="33"/>
        <v>#DIV/0!</v>
      </c>
      <c r="AL17" s="68"/>
      <c r="AM17" s="66"/>
      <c r="AN17" s="67" t="str">
        <f t="shared" si="34"/>
        <v>#DIV/0!</v>
      </c>
      <c r="AO17" s="68"/>
      <c r="AP17" s="66"/>
      <c r="AQ17" s="67" t="str">
        <f t="shared" si="35"/>
        <v>#DIV/0!</v>
      </c>
      <c r="AR17" s="68"/>
      <c r="AS17" s="66">
        <f t="shared" si="48"/>
        <v>6</v>
      </c>
      <c r="AT17" s="67">
        <f t="shared" si="36"/>
        <v>3.701666667</v>
      </c>
      <c r="AU17" s="68">
        <f t="shared" si="49"/>
        <v>22.21</v>
      </c>
      <c r="AV17" s="66">
        <f t="shared" si="50"/>
        <v>0</v>
      </c>
      <c r="AW17" s="67" t="str">
        <f t="shared" si="37"/>
        <v>#DIV/0!</v>
      </c>
      <c r="AX17" s="71">
        <f t="shared" ref="AX17:AY17" si="65">E17+W17</f>
        <v>0</v>
      </c>
      <c r="AY17" s="66">
        <f t="shared" si="65"/>
        <v>0</v>
      </c>
      <c r="AZ17" s="67" t="str">
        <f t="shared" si="39"/>
        <v>#DIV/0!</v>
      </c>
      <c r="BA17" s="72">
        <f t="shared" si="52"/>
        <v>0</v>
      </c>
      <c r="BB17" s="73">
        <f t="shared" si="53"/>
        <v>8.7</v>
      </c>
      <c r="BC17" s="67">
        <f t="shared" si="40"/>
        <v>3.798850575</v>
      </c>
      <c r="BD17" s="71">
        <f t="shared" ref="BD17:BE17" si="66">AL17+AC17+K17</f>
        <v>33.05</v>
      </c>
      <c r="BE17" s="66">
        <f t="shared" si="66"/>
        <v>0</v>
      </c>
      <c r="BF17" s="67" t="str">
        <f t="shared" si="42"/>
        <v>#DIV/0!</v>
      </c>
      <c r="BG17" s="72">
        <f t="shared" ref="BG17:BH17" si="67">AO17+AF17+N17</f>
        <v>0</v>
      </c>
      <c r="BH17" s="66">
        <f t="shared" si="67"/>
        <v>1.7</v>
      </c>
      <c r="BI17" s="67">
        <f t="shared" si="44"/>
        <v>3.2</v>
      </c>
      <c r="BJ17" s="72">
        <f t="shared" si="56"/>
        <v>5.44</v>
      </c>
      <c r="BK17" s="73">
        <f t="shared" si="57"/>
        <v>10.4</v>
      </c>
      <c r="BL17" s="67">
        <f t="shared" si="45"/>
        <v>3.700961538</v>
      </c>
      <c r="BM17" s="68">
        <f t="shared" si="58"/>
        <v>38.49</v>
      </c>
      <c r="BN17" s="76"/>
    </row>
    <row r="18" ht="14.25" customHeight="1">
      <c r="A18" s="65" t="s">
        <v>28</v>
      </c>
      <c r="B18" s="93">
        <v>8.0</v>
      </c>
      <c r="C18" s="66"/>
      <c r="D18" s="67" t="str">
        <f t="shared" si="22"/>
        <v>#DIV/0!</v>
      </c>
      <c r="E18" s="94">
        <v>0.0</v>
      </c>
      <c r="F18" s="66"/>
      <c r="G18" s="67" t="str">
        <f t="shared" si="23"/>
        <v>#DIV/0!</v>
      </c>
      <c r="H18" s="68"/>
      <c r="I18" s="96">
        <v>5.4</v>
      </c>
      <c r="J18" s="67">
        <f t="shared" si="24"/>
        <v>3.9</v>
      </c>
      <c r="K18" s="94">
        <v>21.06</v>
      </c>
      <c r="L18" s="66"/>
      <c r="M18" s="67" t="str">
        <f t="shared" si="25"/>
        <v>#DIV/0!</v>
      </c>
      <c r="N18" s="68"/>
      <c r="O18" s="66"/>
      <c r="P18" s="67" t="str">
        <f t="shared" si="26"/>
        <v>#DIV/0!</v>
      </c>
      <c r="Q18" s="94">
        <v>0.0</v>
      </c>
      <c r="R18" s="66">
        <f t="shared" si="46"/>
        <v>5.4</v>
      </c>
      <c r="S18" s="67">
        <f t="shared" si="27"/>
        <v>3.9</v>
      </c>
      <c r="T18" s="68">
        <f t="shared" si="47"/>
        <v>21.06</v>
      </c>
      <c r="U18" s="66"/>
      <c r="V18" s="67" t="str">
        <f t="shared" si="28"/>
        <v>#DIV/0!</v>
      </c>
      <c r="W18" s="68"/>
      <c r="X18" s="66"/>
      <c r="Y18" s="67" t="str">
        <f t="shared" si="29"/>
        <v>#DIV/0!</v>
      </c>
      <c r="Z18" s="68"/>
      <c r="AA18" s="96">
        <v>4.1</v>
      </c>
      <c r="AB18" s="67">
        <f t="shared" si="30"/>
        <v>3.8</v>
      </c>
      <c r="AC18" s="94">
        <v>15.58</v>
      </c>
      <c r="AD18" s="66"/>
      <c r="AE18" s="67" t="str">
        <f t="shared" si="31"/>
        <v>#DIV/0!</v>
      </c>
      <c r="AF18" s="68"/>
      <c r="AG18" s="96">
        <v>1.8</v>
      </c>
      <c r="AH18" s="67">
        <f t="shared" si="32"/>
        <v>3.2</v>
      </c>
      <c r="AI18" s="94">
        <v>5.76</v>
      </c>
      <c r="AJ18" s="66"/>
      <c r="AK18" s="67" t="str">
        <f t="shared" si="33"/>
        <v>#DIV/0!</v>
      </c>
      <c r="AL18" s="68"/>
      <c r="AM18" s="66"/>
      <c r="AN18" s="67" t="str">
        <f t="shared" si="34"/>
        <v>#DIV/0!</v>
      </c>
      <c r="AO18" s="68"/>
      <c r="AP18" s="66"/>
      <c r="AQ18" s="67" t="str">
        <f t="shared" si="35"/>
        <v>#DIV/0!</v>
      </c>
      <c r="AR18" s="68"/>
      <c r="AS18" s="66">
        <f t="shared" si="48"/>
        <v>5.9</v>
      </c>
      <c r="AT18" s="67">
        <f t="shared" si="36"/>
        <v>3.616949153</v>
      </c>
      <c r="AU18" s="68">
        <f t="shared" si="49"/>
        <v>21.34</v>
      </c>
      <c r="AV18" s="66">
        <f t="shared" si="50"/>
        <v>0</v>
      </c>
      <c r="AW18" s="67" t="str">
        <f t="shared" si="37"/>
        <v>#DIV/0!</v>
      </c>
      <c r="AX18" s="71">
        <f t="shared" ref="AX18:AY18" si="68">E18+W18</f>
        <v>0</v>
      </c>
      <c r="AY18" s="66">
        <f t="shared" si="68"/>
        <v>0</v>
      </c>
      <c r="AZ18" s="67" t="str">
        <f t="shared" si="39"/>
        <v>#DIV/0!</v>
      </c>
      <c r="BA18" s="72">
        <f t="shared" si="52"/>
        <v>0</v>
      </c>
      <c r="BB18" s="73">
        <f t="shared" si="53"/>
        <v>9.5</v>
      </c>
      <c r="BC18" s="67">
        <f t="shared" si="40"/>
        <v>3.856842105</v>
      </c>
      <c r="BD18" s="71">
        <f t="shared" ref="BD18:BE18" si="69">AL18+AC18+K18</f>
        <v>36.64</v>
      </c>
      <c r="BE18" s="66">
        <f t="shared" si="69"/>
        <v>0</v>
      </c>
      <c r="BF18" s="67" t="str">
        <f t="shared" si="42"/>
        <v>#DIV/0!</v>
      </c>
      <c r="BG18" s="72">
        <f t="shared" ref="BG18:BH18" si="70">AO18+AF18+N18</f>
        <v>0</v>
      </c>
      <c r="BH18" s="66">
        <f t="shared" si="70"/>
        <v>1.8</v>
      </c>
      <c r="BI18" s="67">
        <f t="shared" si="44"/>
        <v>3.2</v>
      </c>
      <c r="BJ18" s="72">
        <f t="shared" si="56"/>
        <v>5.76</v>
      </c>
      <c r="BK18" s="73">
        <f t="shared" si="57"/>
        <v>11.3</v>
      </c>
      <c r="BL18" s="67">
        <f t="shared" si="45"/>
        <v>3.752212389</v>
      </c>
      <c r="BM18" s="68">
        <f t="shared" si="58"/>
        <v>42.4</v>
      </c>
      <c r="BN18" s="76"/>
    </row>
    <row r="19" ht="14.25" customHeight="1">
      <c r="A19" s="65" t="s">
        <v>29</v>
      </c>
      <c r="B19" s="93">
        <v>0.0</v>
      </c>
      <c r="C19" s="66"/>
      <c r="D19" s="67" t="str">
        <f t="shared" si="22"/>
        <v>#DIV/0!</v>
      </c>
      <c r="E19" s="94">
        <v>0.0</v>
      </c>
      <c r="F19" s="66"/>
      <c r="G19" s="67" t="str">
        <f t="shared" si="23"/>
        <v>#DIV/0!</v>
      </c>
      <c r="H19" s="68"/>
      <c r="I19" s="66"/>
      <c r="J19" s="67" t="str">
        <f t="shared" si="24"/>
        <v>#DIV/0!</v>
      </c>
      <c r="K19" s="94">
        <v>0.0</v>
      </c>
      <c r="L19" s="66"/>
      <c r="M19" s="67" t="str">
        <f t="shared" si="25"/>
        <v>#DIV/0!</v>
      </c>
      <c r="N19" s="68"/>
      <c r="O19" s="66"/>
      <c r="P19" s="67" t="str">
        <f t="shared" si="26"/>
        <v>#DIV/0!</v>
      </c>
      <c r="Q19" s="94">
        <v>0.0</v>
      </c>
      <c r="R19" s="66">
        <f t="shared" si="46"/>
        <v>0</v>
      </c>
      <c r="S19" s="67" t="str">
        <f t="shared" si="27"/>
        <v>#DIV/0!</v>
      </c>
      <c r="T19" s="68">
        <f t="shared" si="47"/>
        <v>0</v>
      </c>
      <c r="U19" s="66"/>
      <c r="V19" s="67" t="str">
        <f t="shared" si="28"/>
        <v>#DIV/0!</v>
      </c>
      <c r="W19" s="68"/>
      <c r="X19" s="66"/>
      <c r="Y19" s="67" t="str">
        <f t="shared" si="29"/>
        <v>#DIV/0!</v>
      </c>
      <c r="Z19" s="68"/>
      <c r="AA19" s="66"/>
      <c r="AB19" s="67" t="str">
        <f t="shared" si="30"/>
        <v>#DIV/0!</v>
      </c>
      <c r="AC19" s="94">
        <v>0.0</v>
      </c>
      <c r="AD19" s="66"/>
      <c r="AE19" s="67" t="str">
        <f t="shared" si="31"/>
        <v>#DIV/0!</v>
      </c>
      <c r="AF19" s="68"/>
      <c r="AG19" s="66"/>
      <c r="AH19" s="67" t="str">
        <f t="shared" si="32"/>
        <v>#DIV/0!</v>
      </c>
      <c r="AI19" s="94">
        <v>0.0</v>
      </c>
      <c r="AJ19" s="66"/>
      <c r="AK19" s="67" t="str">
        <f t="shared" si="33"/>
        <v>#DIV/0!</v>
      </c>
      <c r="AL19" s="68"/>
      <c r="AM19" s="66"/>
      <c r="AN19" s="67" t="str">
        <f t="shared" si="34"/>
        <v>#DIV/0!</v>
      </c>
      <c r="AO19" s="68"/>
      <c r="AP19" s="66"/>
      <c r="AQ19" s="67" t="str">
        <f t="shared" si="35"/>
        <v>#DIV/0!</v>
      </c>
      <c r="AR19" s="68"/>
      <c r="AS19" s="66">
        <f t="shared" si="48"/>
        <v>0</v>
      </c>
      <c r="AT19" s="67" t="str">
        <f t="shared" si="36"/>
        <v>#DIV/0!</v>
      </c>
      <c r="AU19" s="68">
        <f t="shared" si="49"/>
        <v>0</v>
      </c>
      <c r="AV19" s="66">
        <f t="shared" si="50"/>
        <v>0</v>
      </c>
      <c r="AW19" s="67" t="str">
        <f t="shared" si="37"/>
        <v>#DIV/0!</v>
      </c>
      <c r="AX19" s="71">
        <f t="shared" ref="AX19:AY19" si="71">E19+W19</f>
        <v>0</v>
      </c>
      <c r="AY19" s="66">
        <f t="shared" si="71"/>
        <v>0</v>
      </c>
      <c r="AZ19" s="67" t="str">
        <f t="shared" si="39"/>
        <v>#DIV/0!</v>
      </c>
      <c r="BA19" s="72">
        <f t="shared" si="52"/>
        <v>0</v>
      </c>
      <c r="BB19" s="73">
        <f t="shared" si="53"/>
        <v>0</v>
      </c>
      <c r="BC19" s="67" t="str">
        <f t="shared" si="40"/>
        <v>#DIV/0!</v>
      </c>
      <c r="BD19" s="71">
        <f t="shared" ref="BD19:BE19" si="72">AL19+AC19+K19</f>
        <v>0</v>
      </c>
      <c r="BE19" s="66">
        <f t="shared" si="72"/>
        <v>0</v>
      </c>
      <c r="BF19" s="67" t="str">
        <f t="shared" si="42"/>
        <v>#DIV/0!</v>
      </c>
      <c r="BG19" s="72">
        <f t="shared" ref="BG19:BH19" si="73">AO19+AF19+N19</f>
        <v>0</v>
      </c>
      <c r="BH19" s="66">
        <f t="shared" si="73"/>
        <v>0</v>
      </c>
      <c r="BI19" s="67" t="str">
        <f t="shared" si="44"/>
        <v>#DIV/0!</v>
      </c>
      <c r="BJ19" s="72">
        <f t="shared" si="56"/>
        <v>0</v>
      </c>
      <c r="BK19" s="73">
        <f t="shared" si="57"/>
        <v>0</v>
      </c>
      <c r="BL19" s="67" t="str">
        <f t="shared" si="45"/>
        <v>#DIV/0!</v>
      </c>
      <c r="BM19" s="68">
        <f t="shared" si="58"/>
        <v>0</v>
      </c>
      <c r="BN19" s="76"/>
    </row>
    <row r="20" ht="14.25" customHeight="1">
      <c r="A20" s="65" t="s">
        <v>30</v>
      </c>
      <c r="B20" s="93">
        <v>0.0</v>
      </c>
      <c r="C20" s="66"/>
      <c r="D20" s="67" t="str">
        <f t="shared" si="22"/>
        <v>#DIV/0!</v>
      </c>
      <c r="E20" s="94">
        <v>0.0</v>
      </c>
      <c r="F20" s="66"/>
      <c r="G20" s="67" t="str">
        <f t="shared" si="23"/>
        <v>#DIV/0!</v>
      </c>
      <c r="H20" s="68"/>
      <c r="I20" s="66"/>
      <c r="J20" s="67" t="str">
        <f t="shared" si="24"/>
        <v>#DIV/0!</v>
      </c>
      <c r="K20" s="94">
        <v>0.0</v>
      </c>
      <c r="L20" s="66"/>
      <c r="M20" s="67" t="str">
        <f t="shared" si="25"/>
        <v>#DIV/0!</v>
      </c>
      <c r="N20" s="68"/>
      <c r="O20" s="66"/>
      <c r="P20" s="67" t="str">
        <f t="shared" si="26"/>
        <v>#DIV/0!</v>
      </c>
      <c r="Q20" s="94">
        <v>0.0</v>
      </c>
      <c r="R20" s="66">
        <f t="shared" si="46"/>
        <v>0</v>
      </c>
      <c r="S20" s="67" t="str">
        <f t="shared" si="27"/>
        <v>#DIV/0!</v>
      </c>
      <c r="T20" s="68">
        <f t="shared" si="47"/>
        <v>0</v>
      </c>
      <c r="U20" s="66"/>
      <c r="V20" s="67" t="str">
        <f t="shared" si="28"/>
        <v>#DIV/0!</v>
      </c>
      <c r="W20" s="68"/>
      <c r="X20" s="66"/>
      <c r="Y20" s="67" t="str">
        <f t="shared" si="29"/>
        <v>#DIV/0!</v>
      </c>
      <c r="Z20" s="68"/>
      <c r="AA20" s="66"/>
      <c r="AB20" s="67" t="str">
        <f t="shared" si="30"/>
        <v>#DIV/0!</v>
      </c>
      <c r="AC20" s="94">
        <v>0.0</v>
      </c>
      <c r="AD20" s="66"/>
      <c r="AE20" s="67" t="str">
        <f t="shared" si="31"/>
        <v>#DIV/0!</v>
      </c>
      <c r="AF20" s="68"/>
      <c r="AG20" s="66"/>
      <c r="AH20" s="67" t="str">
        <f t="shared" si="32"/>
        <v>#DIV/0!</v>
      </c>
      <c r="AI20" s="94">
        <v>0.0</v>
      </c>
      <c r="AJ20" s="66"/>
      <c r="AK20" s="67" t="str">
        <f t="shared" si="33"/>
        <v>#DIV/0!</v>
      </c>
      <c r="AL20" s="68"/>
      <c r="AM20" s="66"/>
      <c r="AN20" s="67" t="str">
        <f t="shared" si="34"/>
        <v>#DIV/0!</v>
      </c>
      <c r="AO20" s="68"/>
      <c r="AP20" s="66"/>
      <c r="AQ20" s="67" t="str">
        <f t="shared" si="35"/>
        <v>#DIV/0!</v>
      </c>
      <c r="AR20" s="68"/>
      <c r="AS20" s="66">
        <f t="shared" si="48"/>
        <v>0</v>
      </c>
      <c r="AT20" s="67" t="str">
        <f t="shared" si="36"/>
        <v>#DIV/0!</v>
      </c>
      <c r="AU20" s="68">
        <f t="shared" si="49"/>
        <v>0</v>
      </c>
      <c r="AV20" s="66">
        <f t="shared" si="50"/>
        <v>0</v>
      </c>
      <c r="AW20" s="67" t="str">
        <f t="shared" si="37"/>
        <v>#DIV/0!</v>
      </c>
      <c r="AX20" s="71">
        <f t="shared" ref="AX20:AY20" si="74">E20+W20</f>
        <v>0</v>
      </c>
      <c r="AY20" s="66">
        <f t="shared" si="74"/>
        <v>0</v>
      </c>
      <c r="AZ20" s="67" t="str">
        <f t="shared" si="39"/>
        <v>#DIV/0!</v>
      </c>
      <c r="BA20" s="72">
        <f t="shared" si="52"/>
        <v>0</v>
      </c>
      <c r="BB20" s="73">
        <f t="shared" si="53"/>
        <v>0</v>
      </c>
      <c r="BC20" s="67" t="str">
        <f t="shared" si="40"/>
        <v>#DIV/0!</v>
      </c>
      <c r="BD20" s="71">
        <f t="shared" ref="BD20:BE20" si="75">AL20+AC20+K20</f>
        <v>0</v>
      </c>
      <c r="BE20" s="66">
        <f t="shared" si="75"/>
        <v>0</v>
      </c>
      <c r="BF20" s="67" t="str">
        <f t="shared" si="42"/>
        <v>#DIV/0!</v>
      </c>
      <c r="BG20" s="72">
        <f t="shared" ref="BG20:BH20" si="76">AO20+AF20+N20</f>
        <v>0</v>
      </c>
      <c r="BH20" s="66">
        <f t="shared" si="76"/>
        <v>0</v>
      </c>
      <c r="BI20" s="67" t="str">
        <f t="shared" si="44"/>
        <v>#DIV/0!</v>
      </c>
      <c r="BJ20" s="72">
        <f t="shared" si="56"/>
        <v>0</v>
      </c>
      <c r="BK20" s="73">
        <f t="shared" si="57"/>
        <v>0</v>
      </c>
      <c r="BL20" s="67" t="str">
        <f t="shared" si="45"/>
        <v>#DIV/0!</v>
      </c>
      <c r="BM20" s="68">
        <f t="shared" si="58"/>
        <v>0</v>
      </c>
      <c r="BN20" s="76"/>
    </row>
    <row r="21" ht="14.25" customHeight="1">
      <c r="A21" s="65" t="s">
        <v>31</v>
      </c>
      <c r="B21" s="93">
        <v>1.0</v>
      </c>
      <c r="C21" s="66"/>
      <c r="D21" s="67" t="str">
        <f t="shared" si="22"/>
        <v>#DIV/0!</v>
      </c>
      <c r="E21" s="94">
        <v>0.0</v>
      </c>
      <c r="F21" s="66"/>
      <c r="G21" s="67" t="str">
        <f t="shared" si="23"/>
        <v>#DIV/0!</v>
      </c>
      <c r="H21" s="68"/>
      <c r="I21" s="66"/>
      <c r="J21" s="67" t="str">
        <f t="shared" si="24"/>
        <v>#DIV/0!</v>
      </c>
      <c r="K21" s="94">
        <v>0.0</v>
      </c>
      <c r="L21" s="66"/>
      <c r="M21" s="67" t="str">
        <f t="shared" si="25"/>
        <v>#DIV/0!</v>
      </c>
      <c r="N21" s="68"/>
      <c r="O21" s="96">
        <v>0.7</v>
      </c>
      <c r="P21" s="67">
        <f t="shared" si="26"/>
        <v>2.8</v>
      </c>
      <c r="Q21" s="94">
        <v>1.96</v>
      </c>
      <c r="R21" s="66">
        <f t="shared" si="46"/>
        <v>0.7</v>
      </c>
      <c r="S21" s="67">
        <f t="shared" si="27"/>
        <v>2.8</v>
      </c>
      <c r="T21" s="68">
        <f t="shared" si="47"/>
        <v>1.96</v>
      </c>
      <c r="U21" s="66"/>
      <c r="V21" s="67" t="str">
        <f t="shared" si="28"/>
        <v>#DIV/0!</v>
      </c>
      <c r="W21" s="68"/>
      <c r="X21" s="66"/>
      <c r="Y21" s="67" t="str">
        <f t="shared" si="29"/>
        <v>#DIV/0!</v>
      </c>
      <c r="Z21" s="68"/>
      <c r="AA21" s="66"/>
      <c r="AB21" s="67" t="str">
        <f t="shared" si="30"/>
        <v>#DIV/0!</v>
      </c>
      <c r="AC21" s="94">
        <v>0.0</v>
      </c>
      <c r="AD21" s="66"/>
      <c r="AE21" s="67" t="str">
        <f t="shared" si="31"/>
        <v>#DIV/0!</v>
      </c>
      <c r="AF21" s="68"/>
      <c r="AG21" s="66"/>
      <c r="AH21" s="67" t="str">
        <f t="shared" si="32"/>
        <v>#DIV/0!</v>
      </c>
      <c r="AI21" s="94">
        <v>0.0</v>
      </c>
      <c r="AJ21" s="66"/>
      <c r="AK21" s="67" t="str">
        <f t="shared" si="33"/>
        <v>#DIV/0!</v>
      </c>
      <c r="AL21" s="68"/>
      <c r="AM21" s="66"/>
      <c r="AN21" s="67" t="str">
        <f t="shared" si="34"/>
        <v>#DIV/0!</v>
      </c>
      <c r="AO21" s="68"/>
      <c r="AP21" s="66"/>
      <c r="AQ21" s="67" t="str">
        <f t="shared" si="35"/>
        <v>#DIV/0!</v>
      </c>
      <c r="AR21" s="68"/>
      <c r="AS21" s="66">
        <f t="shared" si="48"/>
        <v>0</v>
      </c>
      <c r="AT21" s="67" t="str">
        <f t="shared" si="36"/>
        <v>#DIV/0!</v>
      </c>
      <c r="AU21" s="68">
        <f t="shared" si="49"/>
        <v>0</v>
      </c>
      <c r="AV21" s="66">
        <f t="shared" si="50"/>
        <v>0</v>
      </c>
      <c r="AW21" s="67" t="str">
        <f t="shared" si="37"/>
        <v>#DIV/0!</v>
      </c>
      <c r="AX21" s="71">
        <f t="shared" ref="AX21:AY21" si="77">E21+W21</f>
        <v>0</v>
      </c>
      <c r="AY21" s="66">
        <f t="shared" si="77"/>
        <v>0</v>
      </c>
      <c r="AZ21" s="67" t="str">
        <f t="shared" si="39"/>
        <v>#DIV/0!</v>
      </c>
      <c r="BA21" s="72">
        <f t="shared" si="52"/>
        <v>0</v>
      </c>
      <c r="BB21" s="73">
        <f t="shared" si="53"/>
        <v>0</v>
      </c>
      <c r="BC21" s="67" t="str">
        <f t="shared" si="40"/>
        <v>#DIV/0!</v>
      </c>
      <c r="BD21" s="71">
        <f t="shared" ref="BD21:BE21" si="78">AL21+AC21+K21</f>
        <v>0</v>
      </c>
      <c r="BE21" s="66">
        <f t="shared" si="78"/>
        <v>0</v>
      </c>
      <c r="BF21" s="67" t="str">
        <f t="shared" si="42"/>
        <v>#DIV/0!</v>
      </c>
      <c r="BG21" s="72">
        <f t="shared" ref="BG21:BH21" si="79">AO21+AF21+N21</f>
        <v>0</v>
      </c>
      <c r="BH21" s="66">
        <f t="shared" si="79"/>
        <v>0.7</v>
      </c>
      <c r="BI21" s="67">
        <f t="shared" si="44"/>
        <v>2.8</v>
      </c>
      <c r="BJ21" s="72">
        <f t="shared" si="56"/>
        <v>1.96</v>
      </c>
      <c r="BK21" s="73">
        <f t="shared" si="57"/>
        <v>0.7</v>
      </c>
      <c r="BL21" s="67">
        <f t="shared" si="45"/>
        <v>2.8</v>
      </c>
      <c r="BM21" s="68">
        <f t="shared" si="58"/>
        <v>1.96</v>
      </c>
      <c r="BN21" s="76"/>
    </row>
    <row r="22" ht="14.25" customHeight="1">
      <c r="A22" s="65" t="s">
        <v>32</v>
      </c>
      <c r="B22" s="93">
        <v>3.0</v>
      </c>
      <c r="C22" s="66"/>
      <c r="D22" s="67" t="str">
        <f t="shared" si="22"/>
        <v>#DIV/0!</v>
      </c>
      <c r="E22" s="94">
        <v>0.0</v>
      </c>
      <c r="F22" s="66"/>
      <c r="G22" s="67" t="str">
        <f t="shared" si="23"/>
        <v>#DIV/0!</v>
      </c>
      <c r="H22" s="68"/>
      <c r="I22" s="96">
        <v>4.4</v>
      </c>
      <c r="J22" s="67">
        <f t="shared" si="24"/>
        <v>3.9</v>
      </c>
      <c r="K22" s="94">
        <v>17.16</v>
      </c>
      <c r="L22" s="66"/>
      <c r="M22" s="67" t="str">
        <f t="shared" si="25"/>
        <v>#DIV/0!</v>
      </c>
      <c r="N22" s="68"/>
      <c r="O22" s="66"/>
      <c r="P22" s="67" t="str">
        <f t="shared" si="26"/>
        <v>#DIV/0!</v>
      </c>
      <c r="Q22" s="94">
        <v>0.0</v>
      </c>
      <c r="R22" s="66">
        <f t="shared" si="46"/>
        <v>4.4</v>
      </c>
      <c r="S22" s="67">
        <f t="shared" si="27"/>
        <v>3.9</v>
      </c>
      <c r="T22" s="68">
        <f t="shared" si="47"/>
        <v>17.16</v>
      </c>
      <c r="U22" s="66"/>
      <c r="V22" s="67" t="str">
        <f t="shared" si="28"/>
        <v>#DIV/0!</v>
      </c>
      <c r="W22" s="68"/>
      <c r="X22" s="66"/>
      <c r="Y22" s="67" t="str">
        <f t="shared" si="29"/>
        <v>#DIV/0!</v>
      </c>
      <c r="Z22" s="68"/>
      <c r="AA22" s="96">
        <v>1.7</v>
      </c>
      <c r="AB22" s="67">
        <f t="shared" si="30"/>
        <v>3.9</v>
      </c>
      <c r="AC22" s="94">
        <v>6.63</v>
      </c>
      <c r="AD22" s="66"/>
      <c r="AE22" s="67" t="str">
        <f t="shared" si="31"/>
        <v>#DIV/0!</v>
      </c>
      <c r="AF22" s="68"/>
      <c r="AG22" s="66"/>
      <c r="AH22" s="67" t="str">
        <f t="shared" si="32"/>
        <v>#DIV/0!</v>
      </c>
      <c r="AI22" s="94">
        <v>0.0</v>
      </c>
      <c r="AJ22" s="66"/>
      <c r="AK22" s="67" t="str">
        <f t="shared" si="33"/>
        <v>#DIV/0!</v>
      </c>
      <c r="AL22" s="68"/>
      <c r="AM22" s="66"/>
      <c r="AN22" s="67" t="str">
        <f t="shared" si="34"/>
        <v>#DIV/0!</v>
      </c>
      <c r="AO22" s="68"/>
      <c r="AP22" s="66"/>
      <c r="AQ22" s="67" t="str">
        <f t="shared" si="35"/>
        <v>#DIV/0!</v>
      </c>
      <c r="AR22" s="68"/>
      <c r="AS22" s="66">
        <f t="shared" si="48"/>
        <v>1.7</v>
      </c>
      <c r="AT22" s="67">
        <f t="shared" si="36"/>
        <v>3.9</v>
      </c>
      <c r="AU22" s="68">
        <f t="shared" si="49"/>
        <v>6.63</v>
      </c>
      <c r="AV22" s="66">
        <f t="shared" si="50"/>
        <v>0</v>
      </c>
      <c r="AW22" s="67" t="str">
        <f t="shared" si="37"/>
        <v>#DIV/0!</v>
      </c>
      <c r="AX22" s="71">
        <f t="shared" ref="AX22:AY22" si="80">E22+W22</f>
        <v>0</v>
      </c>
      <c r="AY22" s="66">
        <f t="shared" si="80"/>
        <v>0</v>
      </c>
      <c r="AZ22" s="67" t="str">
        <f t="shared" si="39"/>
        <v>#DIV/0!</v>
      </c>
      <c r="BA22" s="72">
        <f t="shared" si="52"/>
        <v>0</v>
      </c>
      <c r="BB22" s="73">
        <f t="shared" si="53"/>
        <v>6.1</v>
      </c>
      <c r="BC22" s="67">
        <f t="shared" si="40"/>
        <v>3.9</v>
      </c>
      <c r="BD22" s="71">
        <f t="shared" ref="BD22:BE22" si="81">AL22+AC22+K22</f>
        <v>23.79</v>
      </c>
      <c r="BE22" s="66">
        <f t="shared" si="81"/>
        <v>0</v>
      </c>
      <c r="BF22" s="67" t="str">
        <f t="shared" si="42"/>
        <v>#DIV/0!</v>
      </c>
      <c r="BG22" s="72">
        <f t="shared" ref="BG22:BH22" si="82">AO22+AF22+N22</f>
        <v>0</v>
      </c>
      <c r="BH22" s="66">
        <f t="shared" si="82"/>
        <v>0</v>
      </c>
      <c r="BI22" s="67" t="str">
        <f t="shared" si="44"/>
        <v>#DIV/0!</v>
      </c>
      <c r="BJ22" s="72">
        <f t="shared" si="56"/>
        <v>0</v>
      </c>
      <c r="BK22" s="73">
        <f t="shared" si="57"/>
        <v>6.1</v>
      </c>
      <c r="BL22" s="67">
        <f t="shared" si="45"/>
        <v>3.9</v>
      </c>
      <c r="BM22" s="68">
        <f t="shared" si="58"/>
        <v>23.79</v>
      </c>
      <c r="BN22" s="76"/>
    </row>
    <row r="23" ht="14.25" customHeight="1">
      <c r="A23" s="65" t="s">
        <v>33</v>
      </c>
      <c r="B23" s="93">
        <v>7.0</v>
      </c>
      <c r="C23" s="66"/>
      <c r="D23" s="67" t="str">
        <f t="shared" si="22"/>
        <v>#DIV/0!</v>
      </c>
      <c r="E23" s="94">
        <v>0.0</v>
      </c>
      <c r="F23" s="66"/>
      <c r="G23" s="67" t="str">
        <f t="shared" si="23"/>
        <v>#DIV/0!</v>
      </c>
      <c r="H23" s="68"/>
      <c r="I23" s="96">
        <v>0.8</v>
      </c>
      <c r="J23" s="67">
        <f t="shared" si="24"/>
        <v>3.9</v>
      </c>
      <c r="K23" s="94">
        <v>3.12</v>
      </c>
      <c r="L23" s="66"/>
      <c r="M23" s="67" t="str">
        <f t="shared" si="25"/>
        <v>#DIV/0!</v>
      </c>
      <c r="N23" s="68"/>
      <c r="O23" s="66"/>
      <c r="P23" s="67" t="str">
        <f t="shared" si="26"/>
        <v>#DIV/0!</v>
      </c>
      <c r="Q23" s="94">
        <v>0.0</v>
      </c>
      <c r="R23" s="66">
        <f t="shared" si="46"/>
        <v>0.8</v>
      </c>
      <c r="S23" s="67">
        <f t="shared" si="27"/>
        <v>3.9</v>
      </c>
      <c r="T23" s="68">
        <f t="shared" si="47"/>
        <v>3.12</v>
      </c>
      <c r="U23" s="66"/>
      <c r="V23" s="67" t="str">
        <f t="shared" si="28"/>
        <v>#DIV/0!</v>
      </c>
      <c r="W23" s="68"/>
      <c r="X23" s="66"/>
      <c r="Y23" s="67" t="str">
        <f t="shared" si="29"/>
        <v>#DIV/0!</v>
      </c>
      <c r="Z23" s="68"/>
      <c r="AA23" s="96">
        <v>6.0</v>
      </c>
      <c r="AB23" s="67">
        <f t="shared" si="30"/>
        <v>3.9</v>
      </c>
      <c r="AC23" s="94">
        <v>23.4</v>
      </c>
      <c r="AD23" s="66"/>
      <c r="AE23" s="67" t="str">
        <f t="shared" si="31"/>
        <v>#DIV/0!</v>
      </c>
      <c r="AF23" s="68"/>
      <c r="AG23" s="66"/>
      <c r="AH23" s="67" t="str">
        <f t="shared" si="32"/>
        <v>#DIV/0!</v>
      </c>
      <c r="AI23" s="94">
        <v>0.0</v>
      </c>
      <c r="AJ23" s="66"/>
      <c r="AK23" s="67" t="str">
        <f t="shared" si="33"/>
        <v>#DIV/0!</v>
      </c>
      <c r="AL23" s="68"/>
      <c r="AM23" s="66"/>
      <c r="AN23" s="67" t="str">
        <f t="shared" si="34"/>
        <v>#DIV/0!</v>
      </c>
      <c r="AO23" s="68"/>
      <c r="AP23" s="66"/>
      <c r="AQ23" s="67" t="str">
        <f t="shared" si="35"/>
        <v>#DIV/0!</v>
      </c>
      <c r="AR23" s="68"/>
      <c r="AS23" s="66">
        <f t="shared" si="48"/>
        <v>6</v>
      </c>
      <c r="AT23" s="67">
        <f t="shared" si="36"/>
        <v>3.9</v>
      </c>
      <c r="AU23" s="68">
        <f t="shared" si="49"/>
        <v>23.4</v>
      </c>
      <c r="AV23" s="66">
        <f t="shared" si="50"/>
        <v>0</v>
      </c>
      <c r="AW23" s="67" t="str">
        <f t="shared" si="37"/>
        <v>#DIV/0!</v>
      </c>
      <c r="AX23" s="71">
        <f t="shared" ref="AX23:AY23" si="83">E23+W23</f>
        <v>0</v>
      </c>
      <c r="AY23" s="66">
        <f t="shared" si="83"/>
        <v>0</v>
      </c>
      <c r="AZ23" s="67" t="str">
        <f t="shared" si="39"/>
        <v>#DIV/0!</v>
      </c>
      <c r="BA23" s="72">
        <f t="shared" si="52"/>
        <v>0</v>
      </c>
      <c r="BB23" s="73">
        <f t="shared" si="53"/>
        <v>6.8</v>
      </c>
      <c r="BC23" s="67">
        <f t="shared" si="40"/>
        <v>3.9</v>
      </c>
      <c r="BD23" s="71">
        <f t="shared" ref="BD23:BE23" si="84">AL23+AC23+K23</f>
        <v>26.52</v>
      </c>
      <c r="BE23" s="66">
        <f t="shared" si="84"/>
        <v>0</v>
      </c>
      <c r="BF23" s="67" t="str">
        <f t="shared" si="42"/>
        <v>#DIV/0!</v>
      </c>
      <c r="BG23" s="72">
        <f t="shared" ref="BG23:BH23" si="85">AO23+AF23+N23</f>
        <v>0</v>
      </c>
      <c r="BH23" s="66">
        <f t="shared" si="85"/>
        <v>0</v>
      </c>
      <c r="BI23" s="67" t="str">
        <f t="shared" si="44"/>
        <v>#DIV/0!</v>
      </c>
      <c r="BJ23" s="72">
        <f t="shared" si="56"/>
        <v>0</v>
      </c>
      <c r="BK23" s="73">
        <f t="shared" si="57"/>
        <v>6.8</v>
      </c>
      <c r="BL23" s="67">
        <f t="shared" si="45"/>
        <v>3.9</v>
      </c>
      <c r="BM23" s="68">
        <f t="shared" si="58"/>
        <v>26.52</v>
      </c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79">
        <f t="shared" si="46"/>
        <v>0</v>
      </c>
      <c r="S24" s="80"/>
      <c r="T24" s="81">
        <f t="shared" si="47"/>
        <v>0</v>
      </c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/>
      <c r="AT24" s="80"/>
      <c r="AU24" s="81"/>
      <c r="AV24" s="79">
        <f t="shared" si="50"/>
        <v>0</v>
      </c>
      <c r="AW24" s="80" t="str">
        <f t="shared" si="37"/>
        <v>#DIV/0!</v>
      </c>
      <c r="AX24" s="82">
        <f t="shared" ref="AX24:AY24" si="86">E24+W24</f>
        <v>0</v>
      </c>
      <c r="AY24" s="79">
        <f t="shared" si="86"/>
        <v>0</v>
      </c>
      <c r="AZ24" s="80" t="str">
        <f t="shared" si="39"/>
        <v>#DIV/0!</v>
      </c>
      <c r="BA24" s="83">
        <f t="shared" si="52"/>
        <v>0</v>
      </c>
      <c r="BB24" s="84">
        <f t="shared" si="53"/>
        <v>0</v>
      </c>
      <c r="BC24" s="80" t="str">
        <f t="shared" si="40"/>
        <v>#DIV/0!</v>
      </c>
      <c r="BD24" s="82">
        <f t="shared" ref="BD24:BE24" si="87">AL24+AC24+K24</f>
        <v>0</v>
      </c>
      <c r="BE24" s="79">
        <f t="shared" si="87"/>
        <v>0</v>
      </c>
      <c r="BF24" s="80" t="str">
        <f t="shared" si="42"/>
        <v>#DIV/0!</v>
      </c>
      <c r="BG24" s="83">
        <f t="shared" ref="BG24:BH24" si="88">AO24+AF24+N24</f>
        <v>0</v>
      </c>
      <c r="BH24" s="79">
        <f t="shared" si="88"/>
        <v>0</v>
      </c>
      <c r="BI24" s="80" t="str">
        <f t="shared" si="44"/>
        <v>#DIV/0!</v>
      </c>
      <c r="BJ24" s="83">
        <f t="shared" si="56"/>
        <v>0</v>
      </c>
      <c r="BK24" s="84">
        <f t="shared" si="57"/>
        <v>0</v>
      </c>
      <c r="BL24" s="80" t="str">
        <f t="shared" si="45"/>
        <v>#DIV/0!</v>
      </c>
      <c r="BM24" s="81">
        <f t="shared" si="58"/>
        <v>0</v>
      </c>
      <c r="BN24" s="85"/>
    </row>
    <row r="25" ht="14.25" customHeight="1">
      <c r="A25" s="86" t="s">
        <v>34</v>
      </c>
      <c r="B25" s="86"/>
    </row>
    <row r="26" ht="14.25" customHeight="1">
      <c r="A26" s="87" t="s">
        <v>39</v>
      </c>
      <c r="B26" s="87"/>
      <c r="G26" s="103"/>
    </row>
    <row r="27" ht="14.25" customHeight="1">
      <c r="A27" s="88" t="s">
        <v>40</v>
      </c>
      <c r="B27" s="88"/>
    </row>
    <row r="28" ht="14.25" customHeight="1"/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scale="40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21.75" customHeight="1">
      <c r="A6" s="90" t="s">
        <v>44</v>
      </c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91" t="s">
        <v>38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109</v>
      </c>
      <c r="C12" s="56">
        <f t="shared" si="1"/>
        <v>16</v>
      </c>
      <c r="D12" s="57">
        <f t="shared" ref="D12:D23" si="22">E12/C12</f>
        <v>5</v>
      </c>
      <c r="E12" s="58">
        <f t="shared" ref="E12:F12" si="2">SUM(E13:E24)</f>
        <v>80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56">
        <f t="shared" si="3"/>
        <v>70.3</v>
      </c>
      <c r="J12" s="57">
        <f t="shared" ref="J12:J23" si="24">K12/I12</f>
        <v>3.93257468</v>
      </c>
      <c r="K12" s="58">
        <f t="shared" ref="K12:L12" si="4">SUM(K13:K24)</f>
        <v>276.46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56">
        <f t="shared" si="5"/>
        <v>16.5</v>
      </c>
      <c r="P12" s="57">
        <f t="shared" ref="P12:P23" si="26">Q12/O12</f>
        <v>3.093333333</v>
      </c>
      <c r="Q12" s="58">
        <f t="shared" ref="Q12:R12" si="6">SUM(Q13:Q24)</f>
        <v>51.04</v>
      </c>
      <c r="R12" s="56">
        <f t="shared" si="6"/>
        <v>102.8</v>
      </c>
      <c r="S12" s="57">
        <f t="shared" ref="S12:S23" si="27">T12/R12</f>
        <v>3.964007782</v>
      </c>
      <c r="T12" s="58">
        <f t="shared" ref="T12:U12" si="7">SUM(T13:T24)</f>
        <v>407.5</v>
      </c>
      <c r="U12" s="56">
        <f t="shared" si="7"/>
        <v>4.3</v>
      </c>
      <c r="V12" s="57">
        <f t="shared" ref="V12:V23" si="28">W12/U12</f>
        <v>5.106976744</v>
      </c>
      <c r="W12" s="58">
        <f t="shared" ref="W12:X12" si="8">SUM(W13:W24)</f>
        <v>21.96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56">
        <f t="shared" si="9"/>
        <v>29.7</v>
      </c>
      <c r="AB12" s="57">
        <f t="shared" ref="AB12:AB23" si="30">AC12/AA12</f>
        <v>3.885858586</v>
      </c>
      <c r="AC12" s="58">
        <f t="shared" ref="AC12:AD12" si="10">SUM(AC13:AC24)</f>
        <v>115.41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56">
        <f t="shared" si="11"/>
        <v>28.5</v>
      </c>
      <c r="AH12" s="57">
        <f t="shared" ref="AH12:AH23" si="32">AI12/AG12</f>
        <v>3.099649123</v>
      </c>
      <c r="AI12" s="58">
        <f t="shared" ref="AI12:AJ12" si="12">SUM(AI13:AI24)</f>
        <v>88.34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56">
        <f t="shared" si="15"/>
        <v>62.5</v>
      </c>
      <c r="AT12" s="57">
        <f t="shared" ref="AT12:AT23" si="36">AU12/AS12</f>
        <v>3.61136</v>
      </c>
      <c r="AU12" s="58">
        <f t="shared" ref="AU12:AV12" si="16">SUM(AU13:AU24)</f>
        <v>225.71</v>
      </c>
      <c r="AV12" s="56">
        <f t="shared" si="16"/>
        <v>20.3</v>
      </c>
      <c r="AW12" s="57">
        <f t="shared" ref="AW12:AW24" si="37">AX12/AV12</f>
        <v>5.022660099</v>
      </c>
      <c r="AX12" s="59">
        <f t="shared" ref="AX12:AY12" si="17">SUM(AX13:AX24)</f>
        <v>101.96</v>
      </c>
      <c r="AY12" s="56">
        <f t="shared" si="17"/>
        <v>0</v>
      </c>
      <c r="AZ12" s="57" t="str">
        <f t="shared" ref="AZ12:AZ24" si="39">BA12/AY12</f>
        <v>#DIV/0!</v>
      </c>
      <c r="BA12" s="60">
        <f t="shared" ref="BA12:BB12" si="18">SUM(BA13:BA24)</f>
        <v>0</v>
      </c>
      <c r="BB12" s="61">
        <f t="shared" si="18"/>
        <v>100</v>
      </c>
      <c r="BC12" s="57">
        <f t="shared" ref="BC12:BC24" si="40">BD12/BB12</f>
        <v>3.9187</v>
      </c>
      <c r="BD12" s="59">
        <f t="shared" ref="BD12:BE12" si="19">SUM(BD13:BD24)</f>
        <v>391.87</v>
      </c>
      <c r="BE12" s="56">
        <f t="shared" si="19"/>
        <v>0</v>
      </c>
      <c r="BF12" s="57" t="str">
        <f t="shared" ref="BF12:BF24" si="42">BG12/BE12</f>
        <v>#DIV/0!</v>
      </c>
      <c r="BG12" s="60">
        <f t="shared" ref="BG12:BH12" si="20">SUM(BG13:BG24)</f>
        <v>0</v>
      </c>
      <c r="BH12" s="56">
        <f t="shared" si="20"/>
        <v>45</v>
      </c>
      <c r="BI12" s="57">
        <f t="shared" ref="BI12:BI24" si="44">BJ12/BH12</f>
        <v>3.097333333</v>
      </c>
      <c r="BJ12" s="60">
        <f t="shared" ref="BJ12:BK12" si="21">SUM(BJ13:BJ24)</f>
        <v>139.38</v>
      </c>
      <c r="BK12" s="61">
        <f t="shared" si="21"/>
        <v>165.3</v>
      </c>
      <c r="BL12" s="57">
        <f t="shared" ref="BL12:BL24" si="45">BM12/BK12</f>
        <v>3.830671506</v>
      </c>
      <c r="BM12" s="58">
        <f>SUM(BM13:BM24)</f>
        <v>633.21</v>
      </c>
      <c r="BN12" s="64"/>
    </row>
    <row r="13" ht="14.25" customHeight="1">
      <c r="A13" s="65" t="s">
        <v>23</v>
      </c>
      <c r="B13" s="93">
        <v>21.0</v>
      </c>
      <c r="C13" s="96">
        <v>1.2</v>
      </c>
      <c r="D13" s="67">
        <f t="shared" si="22"/>
        <v>5</v>
      </c>
      <c r="E13" s="94">
        <v>6.0</v>
      </c>
      <c r="F13" s="66"/>
      <c r="G13" s="67" t="str">
        <f t="shared" si="23"/>
        <v>#DIV/0!</v>
      </c>
      <c r="H13" s="68"/>
      <c r="I13" s="66"/>
      <c r="J13" s="67" t="str">
        <f t="shared" si="24"/>
        <v>#DIV/0!</v>
      </c>
      <c r="K13" s="94">
        <v>0.0</v>
      </c>
      <c r="L13" s="66"/>
      <c r="M13" s="67" t="str">
        <f t="shared" si="25"/>
        <v>#DIV/0!</v>
      </c>
      <c r="N13" s="68"/>
      <c r="O13" s="96">
        <v>0.6</v>
      </c>
      <c r="P13" s="67">
        <f t="shared" si="26"/>
        <v>3.2</v>
      </c>
      <c r="Q13" s="94">
        <v>1.92</v>
      </c>
      <c r="R13" s="66">
        <f t="shared" ref="R13:R24" si="46">C13+F13+I13+L13+O13</f>
        <v>1.8</v>
      </c>
      <c r="S13" s="67">
        <f t="shared" si="27"/>
        <v>4.4</v>
      </c>
      <c r="T13" s="68">
        <f t="shared" ref="T13:T24" si="47">E13+H13+K13+N13+Q13</f>
        <v>7.92</v>
      </c>
      <c r="U13" s="66"/>
      <c r="V13" s="67" t="str">
        <f t="shared" si="28"/>
        <v>#DIV/0!</v>
      </c>
      <c r="W13" s="94">
        <v>0.0</v>
      </c>
      <c r="X13" s="66"/>
      <c r="Y13" s="67" t="str">
        <f t="shared" si="29"/>
        <v>#DIV/0!</v>
      </c>
      <c r="Z13" s="68"/>
      <c r="AA13" s="96">
        <v>7.4</v>
      </c>
      <c r="AB13" s="67">
        <f t="shared" si="30"/>
        <v>3.9</v>
      </c>
      <c r="AC13" s="94">
        <v>28.86</v>
      </c>
      <c r="AD13" s="66"/>
      <c r="AE13" s="67" t="str">
        <f t="shared" si="31"/>
        <v>#DIV/0!</v>
      </c>
      <c r="AF13" s="68"/>
      <c r="AG13" s="96">
        <v>14.3</v>
      </c>
      <c r="AH13" s="67">
        <f t="shared" si="32"/>
        <v>3</v>
      </c>
      <c r="AI13" s="94">
        <v>42.9</v>
      </c>
      <c r="AJ13" s="66"/>
      <c r="AK13" s="67" t="str">
        <f t="shared" si="33"/>
        <v>#DIV/0!</v>
      </c>
      <c r="AL13" s="68"/>
      <c r="AM13" s="66"/>
      <c r="AN13" s="67" t="str">
        <f t="shared" si="34"/>
        <v>#DIV/0!</v>
      </c>
      <c r="AO13" s="68"/>
      <c r="AP13" s="66"/>
      <c r="AQ13" s="67" t="str">
        <f t="shared" si="35"/>
        <v>#DIV/0!</v>
      </c>
      <c r="AR13" s="68"/>
      <c r="AS13" s="66">
        <f t="shared" ref="AS13:AS23" si="48">U13+X13+AA13+AD13+AG13+AJ13+AM13+AP13</f>
        <v>21.7</v>
      </c>
      <c r="AT13" s="67">
        <f t="shared" si="36"/>
        <v>3.306912442</v>
      </c>
      <c r="AU13" s="68">
        <f t="shared" ref="AU13:AU23" si="49">W13+Z13+AC13+AF13+AI13+AL13+AO13+AR13</f>
        <v>71.76</v>
      </c>
      <c r="AV13" s="66">
        <f t="shared" ref="AV13:AV24" si="50">C13+U13</f>
        <v>1.2</v>
      </c>
      <c r="AW13" s="67">
        <f t="shared" si="37"/>
        <v>5</v>
      </c>
      <c r="AX13" s="71">
        <f t="shared" ref="AX13:AY13" si="38">E13+W13</f>
        <v>6</v>
      </c>
      <c r="AY13" s="66">
        <f t="shared" si="38"/>
        <v>0</v>
      </c>
      <c r="AZ13" s="67" t="str">
        <f t="shared" si="39"/>
        <v>#DIV/0!</v>
      </c>
      <c r="BA13" s="72">
        <f t="shared" ref="BA13:BA24" si="52">H13+Z13</f>
        <v>0</v>
      </c>
      <c r="BB13" s="73">
        <f t="shared" ref="BB13:BB24" si="53">AJ13+AA13+I13</f>
        <v>7.4</v>
      </c>
      <c r="BC13" s="67">
        <f t="shared" si="40"/>
        <v>3.9</v>
      </c>
      <c r="BD13" s="71">
        <f t="shared" ref="BD13:BE13" si="41">AL13+AC13+K13</f>
        <v>28.86</v>
      </c>
      <c r="BE13" s="66">
        <f t="shared" si="41"/>
        <v>0</v>
      </c>
      <c r="BF13" s="67" t="str">
        <f t="shared" si="42"/>
        <v>#DIV/0!</v>
      </c>
      <c r="BG13" s="72">
        <f t="shared" ref="BG13:BH13" si="43">AO13+AF13+N13</f>
        <v>0</v>
      </c>
      <c r="BH13" s="66">
        <f t="shared" si="43"/>
        <v>14.9</v>
      </c>
      <c r="BI13" s="67">
        <f t="shared" si="44"/>
        <v>3.008053691</v>
      </c>
      <c r="BJ13" s="72">
        <f t="shared" ref="BJ13:BJ24" si="56">AR13+AI13+Q13</f>
        <v>44.82</v>
      </c>
      <c r="BK13" s="73">
        <f t="shared" ref="BK13:BK24" si="57">AV13+AY13+BB13+BE13+BH13</f>
        <v>23.5</v>
      </c>
      <c r="BL13" s="67">
        <f t="shared" si="45"/>
        <v>3.390638298</v>
      </c>
      <c r="BM13" s="68">
        <f t="shared" ref="BM13:BM24" si="58">AX13+BA13+BD13+BG13+BJ13</f>
        <v>79.68</v>
      </c>
      <c r="BN13" s="76"/>
    </row>
    <row r="14" ht="14.25" customHeight="1">
      <c r="A14" s="65" t="s">
        <v>24</v>
      </c>
      <c r="B14" s="93">
        <v>5.0</v>
      </c>
      <c r="C14" s="66"/>
      <c r="D14" s="67" t="str">
        <f t="shared" si="22"/>
        <v>#DIV/0!</v>
      </c>
      <c r="E14" s="94">
        <v>0.0</v>
      </c>
      <c r="F14" s="66"/>
      <c r="G14" s="67" t="str">
        <f t="shared" si="23"/>
        <v>#DIV/0!</v>
      </c>
      <c r="H14" s="68"/>
      <c r="I14" s="96">
        <v>9.0</v>
      </c>
      <c r="J14" s="67">
        <f t="shared" si="24"/>
        <v>4</v>
      </c>
      <c r="K14" s="94">
        <v>36.0</v>
      </c>
      <c r="L14" s="66"/>
      <c r="M14" s="67" t="str">
        <f t="shared" si="25"/>
        <v>#DIV/0!</v>
      </c>
      <c r="N14" s="68"/>
      <c r="O14" s="96">
        <v>1.0</v>
      </c>
      <c r="P14" s="67">
        <f t="shared" si="26"/>
        <v>3.2</v>
      </c>
      <c r="Q14" s="94">
        <v>3.2</v>
      </c>
      <c r="R14" s="66">
        <f t="shared" si="46"/>
        <v>10</v>
      </c>
      <c r="S14" s="67">
        <f t="shared" si="27"/>
        <v>3.92</v>
      </c>
      <c r="T14" s="68">
        <f t="shared" si="47"/>
        <v>39.2</v>
      </c>
      <c r="U14" s="66"/>
      <c r="V14" s="67" t="str">
        <f t="shared" si="28"/>
        <v>#DIV/0!</v>
      </c>
      <c r="W14" s="94">
        <v>0.0</v>
      </c>
      <c r="X14" s="66"/>
      <c r="Y14" s="67" t="str">
        <f t="shared" si="29"/>
        <v>#DIV/0!</v>
      </c>
      <c r="Z14" s="68"/>
      <c r="AA14" s="66"/>
      <c r="AB14" s="67" t="str">
        <f t="shared" si="30"/>
        <v>#DIV/0!</v>
      </c>
      <c r="AC14" s="94">
        <v>0.0</v>
      </c>
      <c r="AD14" s="66"/>
      <c r="AE14" s="67" t="str">
        <f t="shared" si="31"/>
        <v>#DIV/0!</v>
      </c>
      <c r="AF14" s="68"/>
      <c r="AG14" s="66"/>
      <c r="AH14" s="67" t="str">
        <f t="shared" si="32"/>
        <v>#DIV/0!</v>
      </c>
      <c r="AI14" s="94">
        <v>0.0</v>
      </c>
      <c r="AJ14" s="66"/>
      <c r="AK14" s="67" t="str">
        <f t="shared" si="33"/>
        <v>#DIV/0!</v>
      </c>
      <c r="AL14" s="68"/>
      <c r="AM14" s="66"/>
      <c r="AN14" s="67" t="str">
        <f t="shared" si="34"/>
        <v>#DIV/0!</v>
      </c>
      <c r="AO14" s="68"/>
      <c r="AP14" s="66"/>
      <c r="AQ14" s="67" t="str">
        <f t="shared" si="35"/>
        <v>#DIV/0!</v>
      </c>
      <c r="AR14" s="68"/>
      <c r="AS14" s="66">
        <f t="shared" si="48"/>
        <v>0</v>
      </c>
      <c r="AT14" s="67" t="str">
        <f t="shared" si="36"/>
        <v>#DIV/0!</v>
      </c>
      <c r="AU14" s="68">
        <f t="shared" si="49"/>
        <v>0</v>
      </c>
      <c r="AV14" s="66">
        <f t="shared" si="50"/>
        <v>0</v>
      </c>
      <c r="AW14" s="67" t="str">
        <f t="shared" si="37"/>
        <v>#DIV/0!</v>
      </c>
      <c r="AX14" s="71">
        <f t="shared" ref="AX14:AY14" si="51">E14+W14</f>
        <v>0</v>
      </c>
      <c r="AY14" s="66">
        <f t="shared" si="51"/>
        <v>0</v>
      </c>
      <c r="AZ14" s="67" t="str">
        <f t="shared" si="39"/>
        <v>#DIV/0!</v>
      </c>
      <c r="BA14" s="72">
        <f t="shared" si="52"/>
        <v>0</v>
      </c>
      <c r="BB14" s="73">
        <f t="shared" si="53"/>
        <v>9</v>
      </c>
      <c r="BC14" s="67">
        <f t="shared" si="40"/>
        <v>4</v>
      </c>
      <c r="BD14" s="71">
        <f t="shared" ref="BD14:BE14" si="54">AL14+AC14+K14</f>
        <v>36</v>
      </c>
      <c r="BE14" s="66">
        <f t="shared" si="54"/>
        <v>0</v>
      </c>
      <c r="BF14" s="67" t="str">
        <f t="shared" si="42"/>
        <v>#DIV/0!</v>
      </c>
      <c r="BG14" s="72">
        <f t="shared" ref="BG14:BH14" si="55">AO14+AF14+N14</f>
        <v>0</v>
      </c>
      <c r="BH14" s="66">
        <f t="shared" si="55"/>
        <v>1</v>
      </c>
      <c r="BI14" s="67">
        <f t="shared" si="44"/>
        <v>3.2</v>
      </c>
      <c r="BJ14" s="72">
        <f t="shared" si="56"/>
        <v>3.2</v>
      </c>
      <c r="BK14" s="73">
        <f t="shared" si="57"/>
        <v>10</v>
      </c>
      <c r="BL14" s="67">
        <f t="shared" si="45"/>
        <v>3.92</v>
      </c>
      <c r="BM14" s="68">
        <f t="shared" si="58"/>
        <v>39.2</v>
      </c>
      <c r="BN14" s="76"/>
    </row>
    <row r="15" ht="14.25" customHeight="1">
      <c r="A15" s="65" t="s">
        <v>25</v>
      </c>
      <c r="B15" s="93">
        <v>13.0</v>
      </c>
      <c r="C15" s="96">
        <v>13.6</v>
      </c>
      <c r="D15" s="67">
        <f t="shared" si="22"/>
        <v>5</v>
      </c>
      <c r="E15" s="94">
        <v>68.0</v>
      </c>
      <c r="F15" s="66"/>
      <c r="G15" s="67" t="str">
        <f t="shared" si="23"/>
        <v>#DIV/0!</v>
      </c>
      <c r="H15" s="68"/>
      <c r="I15" s="96">
        <v>7.5</v>
      </c>
      <c r="J15" s="67">
        <f t="shared" si="24"/>
        <v>4.2</v>
      </c>
      <c r="K15" s="94">
        <v>31.5</v>
      </c>
      <c r="L15" s="66"/>
      <c r="M15" s="67" t="str">
        <f t="shared" si="25"/>
        <v>#DIV/0!</v>
      </c>
      <c r="N15" s="68"/>
      <c r="O15" s="66"/>
      <c r="P15" s="67" t="str">
        <f t="shared" si="26"/>
        <v>#DIV/0!</v>
      </c>
      <c r="Q15" s="94">
        <v>0.0</v>
      </c>
      <c r="R15" s="66">
        <f t="shared" si="46"/>
        <v>21.1</v>
      </c>
      <c r="S15" s="67">
        <f t="shared" si="27"/>
        <v>4.71563981</v>
      </c>
      <c r="T15" s="68">
        <f t="shared" si="47"/>
        <v>99.5</v>
      </c>
      <c r="U15" s="96">
        <v>2.3</v>
      </c>
      <c r="V15" s="67">
        <f t="shared" si="28"/>
        <v>5.2</v>
      </c>
      <c r="W15" s="94">
        <v>11.96</v>
      </c>
      <c r="X15" s="66"/>
      <c r="Y15" s="67" t="str">
        <f t="shared" si="29"/>
        <v>#DIV/0!</v>
      </c>
      <c r="Z15" s="68"/>
      <c r="AA15" s="96">
        <v>1.8</v>
      </c>
      <c r="AB15" s="67">
        <f t="shared" si="30"/>
        <v>4</v>
      </c>
      <c r="AC15" s="94">
        <v>7.2</v>
      </c>
      <c r="AD15" s="66"/>
      <c r="AE15" s="67" t="str">
        <f t="shared" si="31"/>
        <v>#DIV/0!</v>
      </c>
      <c r="AF15" s="68"/>
      <c r="AG15" s="96">
        <v>3.0</v>
      </c>
      <c r="AH15" s="67">
        <f t="shared" si="32"/>
        <v>3.2</v>
      </c>
      <c r="AI15" s="94">
        <v>9.6</v>
      </c>
      <c r="AJ15" s="66"/>
      <c r="AK15" s="67" t="str">
        <f t="shared" si="33"/>
        <v>#DIV/0!</v>
      </c>
      <c r="AL15" s="68"/>
      <c r="AM15" s="66"/>
      <c r="AN15" s="67" t="str">
        <f t="shared" si="34"/>
        <v>#DIV/0!</v>
      </c>
      <c r="AO15" s="68"/>
      <c r="AP15" s="66"/>
      <c r="AQ15" s="67" t="str">
        <f t="shared" si="35"/>
        <v>#DIV/0!</v>
      </c>
      <c r="AR15" s="68"/>
      <c r="AS15" s="66">
        <f t="shared" si="48"/>
        <v>7.1</v>
      </c>
      <c r="AT15" s="67">
        <f t="shared" si="36"/>
        <v>4.050704225</v>
      </c>
      <c r="AU15" s="68">
        <f t="shared" si="49"/>
        <v>28.76</v>
      </c>
      <c r="AV15" s="66">
        <f t="shared" si="50"/>
        <v>15.9</v>
      </c>
      <c r="AW15" s="67">
        <f t="shared" si="37"/>
        <v>5.028930818</v>
      </c>
      <c r="AX15" s="71">
        <f t="shared" ref="AX15:AY15" si="59">E15+W15</f>
        <v>79.96</v>
      </c>
      <c r="AY15" s="66">
        <f t="shared" si="59"/>
        <v>0</v>
      </c>
      <c r="AZ15" s="67" t="str">
        <f t="shared" si="39"/>
        <v>#DIV/0!</v>
      </c>
      <c r="BA15" s="72">
        <f t="shared" si="52"/>
        <v>0</v>
      </c>
      <c r="BB15" s="73">
        <f t="shared" si="53"/>
        <v>9.3</v>
      </c>
      <c r="BC15" s="67">
        <f t="shared" si="40"/>
        <v>4.161290323</v>
      </c>
      <c r="BD15" s="71">
        <f t="shared" ref="BD15:BE15" si="60">AL15+AC15+K15</f>
        <v>38.7</v>
      </c>
      <c r="BE15" s="66">
        <f t="shared" si="60"/>
        <v>0</v>
      </c>
      <c r="BF15" s="67" t="str">
        <f t="shared" si="42"/>
        <v>#DIV/0!</v>
      </c>
      <c r="BG15" s="72">
        <f t="shared" ref="BG15:BH15" si="61">AO15+AF15+N15</f>
        <v>0</v>
      </c>
      <c r="BH15" s="66">
        <f t="shared" si="61"/>
        <v>3</v>
      </c>
      <c r="BI15" s="67">
        <f t="shared" si="44"/>
        <v>3.2</v>
      </c>
      <c r="BJ15" s="72">
        <f t="shared" si="56"/>
        <v>9.6</v>
      </c>
      <c r="BK15" s="73">
        <f t="shared" si="57"/>
        <v>28.2</v>
      </c>
      <c r="BL15" s="67">
        <f t="shared" si="45"/>
        <v>4.54822695</v>
      </c>
      <c r="BM15" s="68">
        <f t="shared" si="58"/>
        <v>128.26</v>
      </c>
      <c r="BN15" s="76"/>
    </row>
    <row r="16" ht="14.25" customHeight="1">
      <c r="A16" s="65" t="s">
        <v>26</v>
      </c>
      <c r="B16" s="93">
        <v>0.0</v>
      </c>
      <c r="C16" s="66"/>
      <c r="D16" s="67" t="str">
        <f t="shared" si="22"/>
        <v>#DIV/0!</v>
      </c>
      <c r="E16" s="94">
        <v>0.0</v>
      </c>
      <c r="F16" s="66"/>
      <c r="G16" s="67" t="str">
        <f t="shared" si="23"/>
        <v>#DIV/0!</v>
      </c>
      <c r="H16" s="68"/>
      <c r="I16" s="66"/>
      <c r="J16" s="67" t="str">
        <f t="shared" si="24"/>
        <v>#DIV/0!</v>
      </c>
      <c r="K16" s="94">
        <v>0.0</v>
      </c>
      <c r="L16" s="66"/>
      <c r="M16" s="67" t="str">
        <f t="shared" si="25"/>
        <v>#DIV/0!</v>
      </c>
      <c r="N16" s="68"/>
      <c r="O16" s="66"/>
      <c r="P16" s="67" t="str">
        <f t="shared" si="26"/>
        <v>#DIV/0!</v>
      </c>
      <c r="Q16" s="94">
        <v>0.0</v>
      </c>
      <c r="R16" s="66">
        <f t="shared" si="46"/>
        <v>0</v>
      </c>
      <c r="S16" s="67" t="str">
        <f t="shared" si="27"/>
        <v>#DIV/0!</v>
      </c>
      <c r="T16" s="68">
        <f t="shared" si="47"/>
        <v>0</v>
      </c>
      <c r="U16" s="66"/>
      <c r="V16" s="67" t="str">
        <f t="shared" si="28"/>
        <v>#DIV/0!</v>
      </c>
      <c r="W16" s="94">
        <v>0.0</v>
      </c>
      <c r="X16" s="66"/>
      <c r="Y16" s="67" t="str">
        <f t="shared" si="29"/>
        <v>#DIV/0!</v>
      </c>
      <c r="Z16" s="68"/>
      <c r="AA16" s="66"/>
      <c r="AB16" s="67" t="str">
        <f t="shared" si="30"/>
        <v>#DIV/0!</v>
      </c>
      <c r="AC16" s="94">
        <v>0.0</v>
      </c>
      <c r="AD16" s="66"/>
      <c r="AE16" s="67" t="str">
        <f t="shared" si="31"/>
        <v>#DIV/0!</v>
      </c>
      <c r="AF16" s="68"/>
      <c r="AG16" s="66"/>
      <c r="AH16" s="67" t="str">
        <f t="shared" si="32"/>
        <v>#DIV/0!</v>
      </c>
      <c r="AI16" s="94">
        <v>0.0</v>
      </c>
      <c r="AJ16" s="66"/>
      <c r="AK16" s="67" t="str">
        <f t="shared" si="33"/>
        <v>#DIV/0!</v>
      </c>
      <c r="AL16" s="68"/>
      <c r="AM16" s="66"/>
      <c r="AN16" s="67" t="str">
        <f t="shared" si="34"/>
        <v>#DIV/0!</v>
      </c>
      <c r="AO16" s="68"/>
      <c r="AP16" s="66"/>
      <c r="AQ16" s="67" t="str">
        <f t="shared" si="35"/>
        <v>#DIV/0!</v>
      </c>
      <c r="AR16" s="68"/>
      <c r="AS16" s="66">
        <f t="shared" si="48"/>
        <v>0</v>
      </c>
      <c r="AT16" s="67" t="str">
        <f t="shared" si="36"/>
        <v>#DIV/0!</v>
      </c>
      <c r="AU16" s="68">
        <f t="shared" si="49"/>
        <v>0</v>
      </c>
      <c r="AV16" s="66">
        <f t="shared" si="50"/>
        <v>0</v>
      </c>
      <c r="AW16" s="67" t="str">
        <f t="shared" si="37"/>
        <v>#DIV/0!</v>
      </c>
      <c r="AX16" s="71">
        <f t="shared" ref="AX16:AY16" si="62">E16+W16</f>
        <v>0</v>
      </c>
      <c r="AY16" s="66">
        <f t="shared" si="62"/>
        <v>0</v>
      </c>
      <c r="AZ16" s="67" t="str">
        <f t="shared" si="39"/>
        <v>#DIV/0!</v>
      </c>
      <c r="BA16" s="72">
        <f t="shared" si="52"/>
        <v>0</v>
      </c>
      <c r="BB16" s="73">
        <f t="shared" si="53"/>
        <v>0</v>
      </c>
      <c r="BC16" s="67" t="str">
        <f t="shared" si="40"/>
        <v>#DIV/0!</v>
      </c>
      <c r="BD16" s="71">
        <f t="shared" ref="BD16:BE16" si="63">AL16+AC16+K16</f>
        <v>0</v>
      </c>
      <c r="BE16" s="66">
        <f t="shared" si="63"/>
        <v>0</v>
      </c>
      <c r="BF16" s="67" t="str">
        <f t="shared" si="42"/>
        <v>#DIV/0!</v>
      </c>
      <c r="BG16" s="72">
        <f t="shared" ref="BG16:BH16" si="64">AO16+AF16+N16</f>
        <v>0</v>
      </c>
      <c r="BH16" s="66">
        <f t="shared" si="64"/>
        <v>0</v>
      </c>
      <c r="BI16" s="67" t="str">
        <f t="shared" si="44"/>
        <v>#DIV/0!</v>
      </c>
      <c r="BJ16" s="72">
        <f t="shared" si="56"/>
        <v>0</v>
      </c>
      <c r="BK16" s="73">
        <f t="shared" si="57"/>
        <v>0</v>
      </c>
      <c r="BL16" s="67" t="str">
        <f t="shared" si="45"/>
        <v>#DIV/0!</v>
      </c>
      <c r="BM16" s="68">
        <f t="shared" si="58"/>
        <v>0</v>
      </c>
      <c r="BN16" s="76"/>
    </row>
    <row r="17" ht="14.25" customHeight="1">
      <c r="A17" s="65" t="s">
        <v>27</v>
      </c>
      <c r="B17" s="93">
        <v>6.0</v>
      </c>
      <c r="C17" s="66"/>
      <c r="D17" s="67" t="str">
        <f t="shared" si="22"/>
        <v>#DIV/0!</v>
      </c>
      <c r="E17" s="94">
        <v>0.0</v>
      </c>
      <c r="F17" s="66"/>
      <c r="G17" s="67" t="str">
        <f t="shared" si="23"/>
        <v>#DIV/0!</v>
      </c>
      <c r="H17" s="68"/>
      <c r="I17" s="96">
        <v>4.0</v>
      </c>
      <c r="J17" s="67">
        <f t="shared" si="24"/>
        <v>3.7</v>
      </c>
      <c r="K17" s="94">
        <v>14.8</v>
      </c>
      <c r="L17" s="66"/>
      <c r="M17" s="67" t="str">
        <f t="shared" si="25"/>
        <v>#DIV/0!</v>
      </c>
      <c r="N17" s="68"/>
      <c r="O17" s="66"/>
      <c r="P17" s="67" t="str">
        <f t="shared" si="26"/>
        <v>#DIV/0!</v>
      </c>
      <c r="Q17" s="94">
        <v>0.0</v>
      </c>
      <c r="R17" s="66">
        <f t="shared" si="46"/>
        <v>4</v>
      </c>
      <c r="S17" s="67">
        <f t="shared" si="27"/>
        <v>3.7</v>
      </c>
      <c r="T17" s="68">
        <f t="shared" si="47"/>
        <v>14.8</v>
      </c>
      <c r="U17" s="66"/>
      <c r="V17" s="67" t="str">
        <f t="shared" si="28"/>
        <v>#DIV/0!</v>
      </c>
      <c r="W17" s="94">
        <v>0.0</v>
      </c>
      <c r="X17" s="66"/>
      <c r="Y17" s="67" t="str">
        <f t="shared" si="29"/>
        <v>#DIV/0!</v>
      </c>
      <c r="Z17" s="68"/>
      <c r="AA17" s="96">
        <v>5.1</v>
      </c>
      <c r="AB17" s="67">
        <f t="shared" si="30"/>
        <v>3.9</v>
      </c>
      <c r="AC17" s="94">
        <v>19.89</v>
      </c>
      <c r="AD17" s="66"/>
      <c r="AE17" s="67" t="str">
        <f t="shared" si="31"/>
        <v>#DIV/0!</v>
      </c>
      <c r="AF17" s="68"/>
      <c r="AG17" s="96">
        <v>1.2</v>
      </c>
      <c r="AH17" s="67">
        <f t="shared" si="32"/>
        <v>3.2</v>
      </c>
      <c r="AI17" s="94">
        <v>3.84</v>
      </c>
      <c r="AJ17" s="66"/>
      <c r="AK17" s="67" t="str">
        <f t="shared" si="33"/>
        <v>#DIV/0!</v>
      </c>
      <c r="AL17" s="68"/>
      <c r="AM17" s="66"/>
      <c r="AN17" s="67" t="str">
        <f t="shared" si="34"/>
        <v>#DIV/0!</v>
      </c>
      <c r="AO17" s="68"/>
      <c r="AP17" s="66"/>
      <c r="AQ17" s="67" t="str">
        <f t="shared" si="35"/>
        <v>#DIV/0!</v>
      </c>
      <c r="AR17" s="68"/>
      <c r="AS17" s="66">
        <f t="shared" si="48"/>
        <v>6.3</v>
      </c>
      <c r="AT17" s="67">
        <f t="shared" si="36"/>
        <v>3.766666667</v>
      </c>
      <c r="AU17" s="68">
        <f t="shared" si="49"/>
        <v>23.73</v>
      </c>
      <c r="AV17" s="66">
        <f t="shared" si="50"/>
        <v>0</v>
      </c>
      <c r="AW17" s="67" t="str">
        <f t="shared" si="37"/>
        <v>#DIV/0!</v>
      </c>
      <c r="AX17" s="71">
        <f t="shared" ref="AX17:AY17" si="65">E17+W17</f>
        <v>0</v>
      </c>
      <c r="AY17" s="66">
        <f t="shared" si="65"/>
        <v>0</v>
      </c>
      <c r="AZ17" s="67" t="str">
        <f t="shared" si="39"/>
        <v>#DIV/0!</v>
      </c>
      <c r="BA17" s="72">
        <f t="shared" si="52"/>
        <v>0</v>
      </c>
      <c r="BB17" s="73">
        <f t="shared" si="53"/>
        <v>9.1</v>
      </c>
      <c r="BC17" s="67">
        <f t="shared" si="40"/>
        <v>3.812087912</v>
      </c>
      <c r="BD17" s="71">
        <f t="shared" ref="BD17:BE17" si="66">AL17+AC17+K17</f>
        <v>34.69</v>
      </c>
      <c r="BE17" s="66">
        <f t="shared" si="66"/>
        <v>0</v>
      </c>
      <c r="BF17" s="67" t="str">
        <f t="shared" si="42"/>
        <v>#DIV/0!</v>
      </c>
      <c r="BG17" s="72">
        <f t="shared" ref="BG17:BH17" si="67">AO17+AF17+N17</f>
        <v>0</v>
      </c>
      <c r="BH17" s="66">
        <f t="shared" si="67"/>
        <v>1.2</v>
      </c>
      <c r="BI17" s="67">
        <f t="shared" si="44"/>
        <v>3.2</v>
      </c>
      <c r="BJ17" s="72">
        <f t="shared" si="56"/>
        <v>3.84</v>
      </c>
      <c r="BK17" s="73">
        <f t="shared" si="57"/>
        <v>10.3</v>
      </c>
      <c r="BL17" s="67">
        <f t="shared" si="45"/>
        <v>3.740776699</v>
      </c>
      <c r="BM17" s="68">
        <f t="shared" si="58"/>
        <v>38.53</v>
      </c>
      <c r="BN17" s="76"/>
    </row>
    <row r="18" ht="14.25" customHeight="1">
      <c r="A18" s="65" t="s">
        <v>28</v>
      </c>
      <c r="B18" s="93">
        <v>34.0</v>
      </c>
      <c r="C18" s="66"/>
      <c r="D18" s="67" t="str">
        <f t="shared" si="22"/>
        <v>#DIV/0!</v>
      </c>
      <c r="E18" s="94">
        <v>0.0</v>
      </c>
      <c r="F18" s="66"/>
      <c r="G18" s="67" t="str">
        <f t="shared" si="23"/>
        <v>#DIV/0!</v>
      </c>
      <c r="H18" s="68"/>
      <c r="I18" s="96">
        <v>29.2</v>
      </c>
      <c r="J18" s="67">
        <f t="shared" si="24"/>
        <v>3.9</v>
      </c>
      <c r="K18" s="94">
        <v>113.88</v>
      </c>
      <c r="L18" s="66"/>
      <c r="M18" s="67" t="str">
        <f t="shared" si="25"/>
        <v>#DIV/0!</v>
      </c>
      <c r="N18" s="68"/>
      <c r="O18" s="96">
        <v>4.6</v>
      </c>
      <c r="P18" s="67">
        <f t="shared" si="26"/>
        <v>3.2</v>
      </c>
      <c r="Q18" s="94">
        <v>14.72</v>
      </c>
      <c r="R18" s="66">
        <f t="shared" si="46"/>
        <v>33.8</v>
      </c>
      <c r="S18" s="67">
        <f t="shared" si="27"/>
        <v>3.804733728</v>
      </c>
      <c r="T18" s="68">
        <f t="shared" si="47"/>
        <v>128.6</v>
      </c>
      <c r="U18" s="66"/>
      <c r="V18" s="67" t="str">
        <f t="shared" si="28"/>
        <v>#DIV/0!</v>
      </c>
      <c r="W18" s="94">
        <v>0.0</v>
      </c>
      <c r="X18" s="66"/>
      <c r="Y18" s="67" t="str">
        <f t="shared" si="29"/>
        <v>#DIV/0!</v>
      </c>
      <c r="Z18" s="68"/>
      <c r="AA18" s="96">
        <v>6.0</v>
      </c>
      <c r="AB18" s="67">
        <f t="shared" si="30"/>
        <v>3.8</v>
      </c>
      <c r="AC18" s="94">
        <v>22.8</v>
      </c>
      <c r="AD18" s="66"/>
      <c r="AE18" s="67" t="str">
        <f t="shared" si="31"/>
        <v>#DIV/0!</v>
      </c>
      <c r="AF18" s="68"/>
      <c r="AG18" s="96">
        <v>4.0</v>
      </c>
      <c r="AH18" s="67">
        <f t="shared" si="32"/>
        <v>3.2</v>
      </c>
      <c r="AI18" s="94">
        <v>12.8</v>
      </c>
      <c r="AJ18" s="66"/>
      <c r="AK18" s="67" t="str">
        <f t="shared" si="33"/>
        <v>#DIV/0!</v>
      </c>
      <c r="AL18" s="68"/>
      <c r="AM18" s="66"/>
      <c r="AN18" s="67" t="str">
        <f t="shared" si="34"/>
        <v>#DIV/0!</v>
      </c>
      <c r="AO18" s="68"/>
      <c r="AP18" s="66"/>
      <c r="AQ18" s="67" t="str">
        <f t="shared" si="35"/>
        <v>#DIV/0!</v>
      </c>
      <c r="AR18" s="68"/>
      <c r="AS18" s="66">
        <f t="shared" si="48"/>
        <v>10</v>
      </c>
      <c r="AT18" s="67">
        <f t="shared" si="36"/>
        <v>3.56</v>
      </c>
      <c r="AU18" s="68">
        <f t="shared" si="49"/>
        <v>35.6</v>
      </c>
      <c r="AV18" s="66">
        <f t="shared" si="50"/>
        <v>0</v>
      </c>
      <c r="AW18" s="67" t="str">
        <f t="shared" si="37"/>
        <v>#DIV/0!</v>
      </c>
      <c r="AX18" s="71">
        <f t="shared" ref="AX18:AY18" si="68">E18+W18</f>
        <v>0</v>
      </c>
      <c r="AY18" s="66">
        <f t="shared" si="68"/>
        <v>0</v>
      </c>
      <c r="AZ18" s="67" t="str">
        <f t="shared" si="39"/>
        <v>#DIV/0!</v>
      </c>
      <c r="BA18" s="72">
        <f t="shared" si="52"/>
        <v>0</v>
      </c>
      <c r="BB18" s="73">
        <f t="shared" si="53"/>
        <v>35.2</v>
      </c>
      <c r="BC18" s="67">
        <f t="shared" si="40"/>
        <v>3.882954545</v>
      </c>
      <c r="BD18" s="71">
        <f t="shared" ref="BD18:BE18" si="69">AL18+AC18+K18</f>
        <v>136.68</v>
      </c>
      <c r="BE18" s="66">
        <f t="shared" si="69"/>
        <v>0</v>
      </c>
      <c r="BF18" s="67" t="str">
        <f t="shared" si="42"/>
        <v>#DIV/0!</v>
      </c>
      <c r="BG18" s="72">
        <f t="shared" ref="BG18:BH18" si="70">AO18+AF18+N18</f>
        <v>0</v>
      </c>
      <c r="BH18" s="66">
        <f t="shared" si="70"/>
        <v>8.6</v>
      </c>
      <c r="BI18" s="67">
        <f t="shared" si="44"/>
        <v>3.2</v>
      </c>
      <c r="BJ18" s="72">
        <f t="shared" si="56"/>
        <v>27.52</v>
      </c>
      <c r="BK18" s="73">
        <f t="shared" si="57"/>
        <v>43.8</v>
      </c>
      <c r="BL18" s="67">
        <f t="shared" si="45"/>
        <v>3.748858447</v>
      </c>
      <c r="BM18" s="68">
        <f t="shared" si="58"/>
        <v>164.2</v>
      </c>
      <c r="BN18" s="76"/>
    </row>
    <row r="19" ht="14.25" customHeight="1">
      <c r="A19" s="65" t="s">
        <v>29</v>
      </c>
      <c r="B19" s="93">
        <v>0.0</v>
      </c>
      <c r="C19" s="66"/>
      <c r="D19" s="67" t="str">
        <f t="shared" si="22"/>
        <v>#DIV/0!</v>
      </c>
      <c r="E19" s="94">
        <v>0.0</v>
      </c>
      <c r="F19" s="66"/>
      <c r="G19" s="67" t="str">
        <f t="shared" si="23"/>
        <v>#DIV/0!</v>
      </c>
      <c r="H19" s="68"/>
      <c r="I19" s="66"/>
      <c r="J19" s="67" t="str">
        <f t="shared" si="24"/>
        <v>#DIV/0!</v>
      </c>
      <c r="K19" s="94">
        <v>0.0</v>
      </c>
      <c r="L19" s="66"/>
      <c r="M19" s="67" t="str">
        <f t="shared" si="25"/>
        <v>#DIV/0!</v>
      </c>
      <c r="N19" s="68"/>
      <c r="O19" s="66"/>
      <c r="P19" s="67" t="str">
        <f t="shared" si="26"/>
        <v>#DIV/0!</v>
      </c>
      <c r="Q19" s="94">
        <v>0.0</v>
      </c>
      <c r="R19" s="66">
        <f t="shared" si="46"/>
        <v>0</v>
      </c>
      <c r="S19" s="67" t="str">
        <f t="shared" si="27"/>
        <v>#DIV/0!</v>
      </c>
      <c r="T19" s="68">
        <f t="shared" si="47"/>
        <v>0</v>
      </c>
      <c r="U19" s="66"/>
      <c r="V19" s="67" t="str">
        <f t="shared" si="28"/>
        <v>#DIV/0!</v>
      </c>
      <c r="W19" s="94">
        <v>0.0</v>
      </c>
      <c r="X19" s="66"/>
      <c r="Y19" s="67" t="str">
        <f t="shared" si="29"/>
        <v>#DIV/0!</v>
      </c>
      <c r="Z19" s="68"/>
      <c r="AA19" s="66"/>
      <c r="AB19" s="67" t="str">
        <f t="shared" si="30"/>
        <v>#DIV/0!</v>
      </c>
      <c r="AC19" s="94">
        <v>0.0</v>
      </c>
      <c r="AD19" s="66"/>
      <c r="AE19" s="67" t="str">
        <f t="shared" si="31"/>
        <v>#DIV/0!</v>
      </c>
      <c r="AF19" s="68"/>
      <c r="AG19" s="66"/>
      <c r="AH19" s="67" t="str">
        <f t="shared" si="32"/>
        <v>#DIV/0!</v>
      </c>
      <c r="AI19" s="94">
        <v>0.0</v>
      </c>
      <c r="AJ19" s="66"/>
      <c r="AK19" s="67" t="str">
        <f t="shared" si="33"/>
        <v>#DIV/0!</v>
      </c>
      <c r="AL19" s="68"/>
      <c r="AM19" s="66"/>
      <c r="AN19" s="67" t="str">
        <f t="shared" si="34"/>
        <v>#DIV/0!</v>
      </c>
      <c r="AO19" s="68"/>
      <c r="AP19" s="66"/>
      <c r="AQ19" s="67" t="str">
        <f t="shared" si="35"/>
        <v>#DIV/0!</v>
      </c>
      <c r="AR19" s="68"/>
      <c r="AS19" s="66">
        <f t="shared" si="48"/>
        <v>0</v>
      </c>
      <c r="AT19" s="67" t="str">
        <f t="shared" si="36"/>
        <v>#DIV/0!</v>
      </c>
      <c r="AU19" s="68">
        <f t="shared" si="49"/>
        <v>0</v>
      </c>
      <c r="AV19" s="66">
        <f t="shared" si="50"/>
        <v>0</v>
      </c>
      <c r="AW19" s="67" t="str">
        <f t="shared" si="37"/>
        <v>#DIV/0!</v>
      </c>
      <c r="AX19" s="71">
        <f t="shared" ref="AX19:AY19" si="71">E19+W19</f>
        <v>0</v>
      </c>
      <c r="AY19" s="66">
        <f t="shared" si="71"/>
        <v>0</v>
      </c>
      <c r="AZ19" s="67" t="str">
        <f t="shared" si="39"/>
        <v>#DIV/0!</v>
      </c>
      <c r="BA19" s="72">
        <f t="shared" si="52"/>
        <v>0</v>
      </c>
      <c r="BB19" s="73">
        <f t="shared" si="53"/>
        <v>0</v>
      </c>
      <c r="BC19" s="67" t="str">
        <f t="shared" si="40"/>
        <v>#DIV/0!</v>
      </c>
      <c r="BD19" s="71">
        <f t="shared" ref="BD19:BE19" si="72">AL19+AC19+K19</f>
        <v>0</v>
      </c>
      <c r="BE19" s="66">
        <f t="shared" si="72"/>
        <v>0</v>
      </c>
      <c r="BF19" s="67" t="str">
        <f t="shared" si="42"/>
        <v>#DIV/0!</v>
      </c>
      <c r="BG19" s="72">
        <f t="shared" ref="BG19:BH19" si="73">AO19+AF19+N19</f>
        <v>0</v>
      </c>
      <c r="BH19" s="66">
        <f t="shared" si="73"/>
        <v>0</v>
      </c>
      <c r="BI19" s="67" t="str">
        <f t="shared" si="44"/>
        <v>#DIV/0!</v>
      </c>
      <c r="BJ19" s="72">
        <f t="shared" si="56"/>
        <v>0</v>
      </c>
      <c r="BK19" s="73">
        <f t="shared" si="57"/>
        <v>0</v>
      </c>
      <c r="BL19" s="67" t="str">
        <f t="shared" si="45"/>
        <v>#DIV/0!</v>
      </c>
      <c r="BM19" s="68">
        <f t="shared" si="58"/>
        <v>0</v>
      </c>
      <c r="BN19" s="76"/>
    </row>
    <row r="20" ht="14.25" customHeight="1">
      <c r="A20" s="65" t="s">
        <v>30</v>
      </c>
      <c r="B20" s="93">
        <v>25.0</v>
      </c>
      <c r="C20" s="96">
        <v>1.2</v>
      </c>
      <c r="D20" s="67">
        <f t="shared" si="22"/>
        <v>5</v>
      </c>
      <c r="E20" s="94">
        <v>6.0</v>
      </c>
      <c r="F20" s="66"/>
      <c r="G20" s="67" t="str">
        <f t="shared" si="23"/>
        <v>#DIV/0!</v>
      </c>
      <c r="H20" s="68"/>
      <c r="I20" s="96">
        <v>20.0</v>
      </c>
      <c r="J20" s="67">
        <f t="shared" si="24"/>
        <v>3.9</v>
      </c>
      <c r="K20" s="94">
        <v>78.0</v>
      </c>
      <c r="L20" s="66"/>
      <c r="M20" s="67" t="str">
        <f t="shared" si="25"/>
        <v>#DIV/0!</v>
      </c>
      <c r="N20" s="68"/>
      <c r="O20" s="96">
        <v>5.0</v>
      </c>
      <c r="P20" s="67">
        <f t="shared" si="26"/>
        <v>3.2</v>
      </c>
      <c r="Q20" s="94">
        <v>16.0</v>
      </c>
      <c r="R20" s="66">
        <f t="shared" si="46"/>
        <v>26.2</v>
      </c>
      <c r="S20" s="67">
        <f t="shared" si="27"/>
        <v>3.816793893</v>
      </c>
      <c r="T20" s="68">
        <f t="shared" si="47"/>
        <v>100</v>
      </c>
      <c r="U20" s="96">
        <v>2.0</v>
      </c>
      <c r="V20" s="67">
        <f t="shared" si="28"/>
        <v>5</v>
      </c>
      <c r="W20" s="94">
        <v>10.0</v>
      </c>
      <c r="X20" s="66"/>
      <c r="Y20" s="67" t="str">
        <f t="shared" si="29"/>
        <v>#DIV/0!</v>
      </c>
      <c r="Z20" s="68"/>
      <c r="AA20" s="96">
        <v>8.8</v>
      </c>
      <c r="AB20" s="67">
        <f t="shared" si="30"/>
        <v>3.9</v>
      </c>
      <c r="AC20" s="94">
        <v>34.32</v>
      </c>
      <c r="AD20" s="66"/>
      <c r="AE20" s="67" t="str">
        <f t="shared" si="31"/>
        <v>#DIV/0!</v>
      </c>
      <c r="AF20" s="68"/>
      <c r="AG20" s="96">
        <v>6.0</v>
      </c>
      <c r="AH20" s="67">
        <f t="shared" si="32"/>
        <v>3.2</v>
      </c>
      <c r="AI20" s="94">
        <v>19.2</v>
      </c>
      <c r="AJ20" s="66"/>
      <c r="AK20" s="67" t="str">
        <f t="shared" si="33"/>
        <v>#DIV/0!</v>
      </c>
      <c r="AL20" s="68"/>
      <c r="AM20" s="66"/>
      <c r="AN20" s="67" t="str">
        <f t="shared" si="34"/>
        <v>#DIV/0!</v>
      </c>
      <c r="AO20" s="68"/>
      <c r="AP20" s="66"/>
      <c r="AQ20" s="67" t="str">
        <f t="shared" si="35"/>
        <v>#DIV/0!</v>
      </c>
      <c r="AR20" s="68"/>
      <c r="AS20" s="66">
        <f t="shared" si="48"/>
        <v>16.8</v>
      </c>
      <c r="AT20" s="67">
        <f t="shared" si="36"/>
        <v>3.780952381</v>
      </c>
      <c r="AU20" s="68">
        <f t="shared" si="49"/>
        <v>63.52</v>
      </c>
      <c r="AV20" s="66">
        <f t="shared" si="50"/>
        <v>3.2</v>
      </c>
      <c r="AW20" s="67">
        <f t="shared" si="37"/>
        <v>5</v>
      </c>
      <c r="AX20" s="71">
        <f t="shared" ref="AX20:AY20" si="74">E20+W20</f>
        <v>16</v>
      </c>
      <c r="AY20" s="66">
        <f t="shared" si="74"/>
        <v>0</v>
      </c>
      <c r="AZ20" s="67" t="str">
        <f t="shared" si="39"/>
        <v>#DIV/0!</v>
      </c>
      <c r="BA20" s="72">
        <f t="shared" si="52"/>
        <v>0</v>
      </c>
      <c r="BB20" s="73">
        <f t="shared" si="53"/>
        <v>28.8</v>
      </c>
      <c r="BC20" s="67">
        <f t="shared" si="40"/>
        <v>3.9</v>
      </c>
      <c r="BD20" s="71">
        <f t="shared" ref="BD20:BE20" si="75">AL20+AC20+K20</f>
        <v>112.32</v>
      </c>
      <c r="BE20" s="66">
        <f t="shared" si="75"/>
        <v>0</v>
      </c>
      <c r="BF20" s="67" t="str">
        <f t="shared" si="42"/>
        <v>#DIV/0!</v>
      </c>
      <c r="BG20" s="72">
        <f t="shared" ref="BG20:BH20" si="76">AO20+AF20+N20</f>
        <v>0</v>
      </c>
      <c r="BH20" s="66">
        <f t="shared" si="76"/>
        <v>11</v>
      </c>
      <c r="BI20" s="67">
        <f t="shared" si="44"/>
        <v>3.2</v>
      </c>
      <c r="BJ20" s="72">
        <f t="shared" si="56"/>
        <v>35.2</v>
      </c>
      <c r="BK20" s="73">
        <f t="shared" si="57"/>
        <v>43</v>
      </c>
      <c r="BL20" s="67">
        <f t="shared" si="45"/>
        <v>3.802790698</v>
      </c>
      <c r="BM20" s="68">
        <f t="shared" si="58"/>
        <v>163.52</v>
      </c>
      <c r="BN20" s="76"/>
    </row>
    <row r="21" ht="14.25" customHeight="1">
      <c r="A21" s="65" t="s">
        <v>31</v>
      </c>
      <c r="B21" s="93">
        <v>3.0</v>
      </c>
      <c r="C21" s="66"/>
      <c r="D21" s="67" t="str">
        <f t="shared" si="22"/>
        <v>#DIV/0!</v>
      </c>
      <c r="E21" s="94">
        <v>0.0</v>
      </c>
      <c r="F21" s="66"/>
      <c r="G21" s="67" t="str">
        <f t="shared" si="23"/>
        <v>#DIV/0!</v>
      </c>
      <c r="H21" s="68"/>
      <c r="I21" s="96">
        <v>0.6</v>
      </c>
      <c r="J21" s="67">
        <f t="shared" si="24"/>
        <v>3.8</v>
      </c>
      <c r="K21" s="94">
        <v>2.28</v>
      </c>
      <c r="L21" s="66"/>
      <c r="M21" s="67" t="str">
        <f t="shared" si="25"/>
        <v>#DIV/0!</v>
      </c>
      <c r="N21" s="68"/>
      <c r="O21" s="96">
        <v>4.4</v>
      </c>
      <c r="P21" s="67">
        <f t="shared" si="26"/>
        <v>2.8</v>
      </c>
      <c r="Q21" s="94">
        <v>12.32</v>
      </c>
      <c r="R21" s="66">
        <f t="shared" si="46"/>
        <v>5</v>
      </c>
      <c r="S21" s="67">
        <f t="shared" si="27"/>
        <v>2.92</v>
      </c>
      <c r="T21" s="68">
        <f t="shared" si="47"/>
        <v>14.6</v>
      </c>
      <c r="U21" s="66"/>
      <c r="V21" s="67" t="str">
        <f t="shared" si="28"/>
        <v>#DIV/0!</v>
      </c>
      <c r="W21" s="94">
        <v>0.0</v>
      </c>
      <c r="X21" s="66"/>
      <c r="Y21" s="67" t="str">
        <f t="shared" si="29"/>
        <v>#DIV/0!</v>
      </c>
      <c r="Z21" s="68"/>
      <c r="AA21" s="66"/>
      <c r="AB21" s="67" t="str">
        <f t="shared" si="30"/>
        <v>#DIV/0!</v>
      </c>
      <c r="AC21" s="94">
        <v>0.0</v>
      </c>
      <c r="AD21" s="66"/>
      <c r="AE21" s="67" t="str">
        <f t="shared" si="31"/>
        <v>#DIV/0!</v>
      </c>
      <c r="AF21" s="68"/>
      <c r="AG21" s="66"/>
      <c r="AH21" s="67" t="str">
        <f t="shared" si="32"/>
        <v>#DIV/0!</v>
      </c>
      <c r="AI21" s="94">
        <v>0.0</v>
      </c>
      <c r="AJ21" s="66"/>
      <c r="AK21" s="67" t="str">
        <f t="shared" si="33"/>
        <v>#DIV/0!</v>
      </c>
      <c r="AL21" s="68"/>
      <c r="AM21" s="66"/>
      <c r="AN21" s="67" t="str">
        <f t="shared" si="34"/>
        <v>#DIV/0!</v>
      </c>
      <c r="AO21" s="68"/>
      <c r="AP21" s="66"/>
      <c r="AQ21" s="67" t="str">
        <f t="shared" si="35"/>
        <v>#DIV/0!</v>
      </c>
      <c r="AR21" s="68"/>
      <c r="AS21" s="66">
        <f t="shared" si="48"/>
        <v>0</v>
      </c>
      <c r="AT21" s="67" t="str">
        <f t="shared" si="36"/>
        <v>#DIV/0!</v>
      </c>
      <c r="AU21" s="68">
        <f t="shared" si="49"/>
        <v>0</v>
      </c>
      <c r="AV21" s="66">
        <f t="shared" si="50"/>
        <v>0</v>
      </c>
      <c r="AW21" s="67" t="str">
        <f t="shared" si="37"/>
        <v>#DIV/0!</v>
      </c>
      <c r="AX21" s="71">
        <f t="shared" ref="AX21:AY21" si="77">E21+W21</f>
        <v>0</v>
      </c>
      <c r="AY21" s="66">
        <f t="shared" si="77"/>
        <v>0</v>
      </c>
      <c r="AZ21" s="67" t="str">
        <f t="shared" si="39"/>
        <v>#DIV/0!</v>
      </c>
      <c r="BA21" s="72">
        <f t="shared" si="52"/>
        <v>0</v>
      </c>
      <c r="BB21" s="73">
        <f t="shared" si="53"/>
        <v>0.6</v>
      </c>
      <c r="BC21" s="67">
        <f t="shared" si="40"/>
        <v>3.8</v>
      </c>
      <c r="BD21" s="71">
        <f t="shared" ref="BD21:BE21" si="78">AL21+AC21+K21</f>
        <v>2.28</v>
      </c>
      <c r="BE21" s="66">
        <f t="shared" si="78"/>
        <v>0</v>
      </c>
      <c r="BF21" s="67" t="str">
        <f t="shared" si="42"/>
        <v>#DIV/0!</v>
      </c>
      <c r="BG21" s="72">
        <f t="shared" ref="BG21:BH21" si="79">AO21+AF21+N21</f>
        <v>0</v>
      </c>
      <c r="BH21" s="66">
        <f t="shared" si="79"/>
        <v>4.4</v>
      </c>
      <c r="BI21" s="67">
        <f t="shared" si="44"/>
        <v>2.8</v>
      </c>
      <c r="BJ21" s="72">
        <f t="shared" si="56"/>
        <v>12.32</v>
      </c>
      <c r="BK21" s="73">
        <f t="shared" si="57"/>
        <v>5</v>
      </c>
      <c r="BL21" s="67">
        <f t="shared" si="45"/>
        <v>2.92</v>
      </c>
      <c r="BM21" s="68">
        <f t="shared" si="58"/>
        <v>14.6</v>
      </c>
      <c r="BN21" s="76"/>
    </row>
    <row r="22" ht="14.25" customHeight="1">
      <c r="A22" s="65" t="s">
        <v>32</v>
      </c>
      <c r="B22" s="93">
        <v>2.0</v>
      </c>
      <c r="C22" s="66"/>
      <c r="D22" s="67" t="str">
        <f t="shared" si="22"/>
        <v>#DIV/0!</v>
      </c>
      <c r="E22" s="94">
        <v>0.0</v>
      </c>
      <c r="F22" s="66"/>
      <c r="G22" s="67" t="str">
        <f t="shared" si="23"/>
        <v>#DIV/0!</v>
      </c>
      <c r="H22" s="68"/>
      <c r="I22" s="66"/>
      <c r="J22" s="67" t="str">
        <f t="shared" si="24"/>
        <v>#DIV/0!</v>
      </c>
      <c r="K22" s="94">
        <v>0.0</v>
      </c>
      <c r="L22" s="66"/>
      <c r="M22" s="67" t="str">
        <f t="shared" si="25"/>
        <v>#DIV/0!</v>
      </c>
      <c r="N22" s="68"/>
      <c r="O22" s="96">
        <v>0.9</v>
      </c>
      <c r="P22" s="67">
        <f t="shared" si="26"/>
        <v>3.2</v>
      </c>
      <c r="Q22" s="94">
        <v>2.88</v>
      </c>
      <c r="R22" s="66">
        <f t="shared" si="46"/>
        <v>0.9</v>
      </c>
      <c r="S22" s="67">
        <f t="shared" si="27"/>
        <v>3.2</v>
      </c>
      <c r="T22" s="68">
        <f t="shared" si="47"/>
        <v>2.88</v>
      </c>
      <c r="U22" s="66"/>
      <c r="V22" s="67" t="str">
        <f t="shared" si="28"/>
        <v>#DIV/0!</v>
      </c>
      <c r="W22" s="94">
        <v>0.0</v>
      </c>
      <c r="X22" s="66"/>
      <c r="Y22" s="67" t="str">
        <f t="shared" si="29"/>
        <v>#DIV/0!</v>
      </c>
      <c r="Z22" s="68"/>
      <c r="AA22" s="96">
        <v>0.6</v>
      </c>
      <c r="AB22" s="67">
        <f t="shared" si="30"/>
        <v>3.9</v>
      </c>
      <c r="AC22" s="94">
        <v>2.34</v>
      </c>
      <c r="AD22" s="66"/>
      <c r="AE22" s="67" t="str">
        <f t="shared" si="31"/>
        <v>#DIV/0!</v>
      </c>
      <c r="AF22" s="68"/>
      <c r="AG22" s="66"/>
      <c r="AH22" s="67" t="str">
        <f t="shared" si="32"/>
        <v>#DIV/0!</v>
      </c>
      <c r="AI22" s="94">
        <v>0.0</v>
      </c>
      <c r="AJ22" s="66"/>
      <c r="AK22" s="67" t="str">
        <f t="shared" si="33"/>
        <v>#DIV/0!</v>
      </c>
      <c r="AL22" s="68"/>
      <c r="AM22" s="66"/>
      <c r="AN22" s="67" t="str">
        <f t="shared" si="34"/>
        <v>#DIV/0!</v>
      </c>
      <c r="AO22" s="68"/>
      <c r="AP22" s="66"/>
      <c r="AQ22" s="67" t="str">
        <f t="shared" si="35"/>
        <v>#DIV/0!</v>
      </c>
      <c r="AR22" s="68"/>
      <c r="AS22" s="66">
        <f t="shared" si="48"/>
        <v>0.6</v>
      </c>
      <c r="AT22" s="67">
        <f t="shared" si="36"/>
        <v>3.9</v>
      </c>
      <c r="AU22" s="68">
        <f t="shared" si="49"/>
        <v>2.34</v>
      </c>
      <c r="AV22" s="66">
        <f t="shared" si="50"/>
        <v>0</v>
      </c>
      <c r="AW22" s="67" t="str">
        <f t="shared" si="37"/>
        <v>#DIV/0!</v>
      </c>
      <c r="AX22" s="71">
        <f t="shared" ref="AX22:AY22" si="80">E22+W22</f>
        <v>0</v>
      </c>
      <c r="AY22" s="66">
        <f t="shared" si="80"/>
        <v>0</v>
      </c>
      <c r="AZ22" s="67" t="str">
        <f t="shared" si="39"/>
        <v>#DIV/0!</v>
      </c>
      <c r="BA22" s="72">
        <f t="shared" si="52"/>
        <v>0</v>
      </c>
      <c r="BB22" s="73">
        <f t="shared" si="53"/>
        <v>0.6</v>
      </c>
      <c r="BC22" s="67">
        <f t="shared" si="40"/>
        <v>3.9</v>
      </c>
      <c r="BD22" s="71">
        <f t="shared" ref="BD22:BE22" si="81">AL22+AC22+K22</f>
        <v>2.34</v>
      </c>
      <c r="BE22" s="66">
        <f t="shared" si="81"/>
        <v>0</v>
      </c>
      <c r="BF22" s="67" t="str">
        <f t="shared" si="42"/>
        <v>#DIV/0!</v>
      </c>
      <c r="BG22" s="72">
        <f t="shared" ref="BG22:BH22" si="82">AO22+AF22+N22</f>
        <v>0</v>
      </c>
      <c r="BH22" s="66">
        <f t="shared" si="82"/>
        <v>0.9</v>
      </c>
      <c r="BI22" s="67">
        <f t="shared" si="44"/>
        <v>3.2</v>
      </c>
      <c r="BJ22" s="72">
        <f t="shared" si="56"/>
        <v>2.88</v>
      </c>
      <c r="BK22" s="73">
        <f t="shared" si="57"/>
        <v>1.5</v>
      </c>
      <c r="BL22" s="67">
        <f t="shared" si="45"/>
        <v>3.48</v>
      </c>
      <c r="BM22" s="68">
        <f t="shared" si="58"/>
        <v>5.22</v>
      </c>
      <c r="BN22" s="76"/>
    </row>
    <row r="23" ht="14.25" customHeight="1">
      <c r="A23" s="65" t="s">
        <v>33</v>
      </c>
      <c r="B23" s="93">
        <v>0.0</v>
      </c>
      <c r="C23" s="66"/>
      <c r="D23" s="67" t="str">
        <f t="shared" si="22"/>
        <v>#DIV/0!</v>
      </c>
      <c r="E23" s="94">
        <v>0.0</v>
      </c>
      <c r="F23" s="66"/>
      <c r="G23" s="67" t="str">
        <f t="shared" si="23"/>
        <v>#DIV/0!</v>
      </c>
      <c r="H23" s="68"/>
      <c r="I23" s="66"/>
      <c r="J23" s="67" t="str">
        <f t="shared" si="24"/>
        <v>#DIV/0!</v>
      </c>
      <c r="K23" s="94">
        <v>0.0</v>
      </c>
      <c r="L23" s="66"/>
      <c r="M23" s="67" t="str">
        <f t="shared" si="25"/>
        <v>#DIV/0!</v>
      </c>
      <c r="N23" s="68"/>
      <c r="O23" s="66"/>
      <c r="P23" s="67" t="str">
        <f t="shared" si="26"/>
        <v>#DIV/0!</v>
      </c>
      <c r="Q23" s="94">
        <v>0.0</v>
      </c>
      <c r="R23" s="66">
        <f t="shared" si="46"/>
        <v>0</v>
      </c>
      <c r="S23" s="67" t="str">
        <f t="shared" si="27"/>
        <v>#DIV/0!</v>
      </c>
      <c r="T23" s="68">
        <f t="shared" si="47"/>
        <v>0</v>
      </c>
      <c r="U23" s="66"/>
      <c r="V23" s="67" t="str">
        <f t="shared" si="28"/>
        <v>#DIV/0!</v>
      </c>
      <c r="W23" s="94">
        <v>0.0</v>
      </c>
      <c r="X23" s="66"/>
      <c r="Y23" s="67" t="str">
        <f t="shared" si="29"/>
        <v>#DIV/0!</v>
      </c>
      <c r="Z23" s="68"/>
      <c r="AA23" s="66"/>
      <c r="AB23" s="67" t="str">
        <f t="shared" si="30"/>
        <v>#DIV/0!</v>
      </c>
      <c r="AC23" s="94">
        <v>0.0</v>
      </c>
      <c r="AD23" s="66"/>
      <c r="AE23" s="67" t="str">
        <f t="shared" si="31"/>
        <v>#DIV/0!</v>
      </c>
      <c r="AF23" s="68"/>
      <c r="AG23" s="66"/>
      <c r="AH23" s="67" t="str">
        <f t="shared" si="32"/>
        <v>#DIV/0!</v>
      </c>
      <c r="AI23" s="94">
        <v>0.0</v>
      </c>
      <c r="AJ23" s="66"/>
      <c r="AK23" s="67" t="str">
        <f t="shared" si="33"/>
        <v>#DIV/0!</v>
      </c>
      <c r="AL23" s="68"/>
      <c r="AM23" s="66"/>
      <c r="AN23" s="67" t="str">
        <f t="shared" si="34"/>
        <v>#DIV/0!</v>
      </c>
      <c r="AO23" s="68"/>
      <c r="AP23" s="66"/>
      <c r="AQ23" s="67" t="str">
        <f t="shared" si="35"/>
        <v>#DIV/0!</v>
      </c>
      <c r="AR23" s="68"/>
      <c r="AS23" s="66">
        <f t="shared" si="48"/>
        <v>0</v>
      </c>
      <c r="AT23" s="67" t="str">
        <f t="shared" si="36"/>
        <v>#DIV/0!</v>
      </c>
      <c r="AU23" s="68">
        <f t="shared" si="49"/>
        <v>0</v>
      </c>
      <c r="AV23" s="66">
        <f t="shared" si="50"/>
        <v>0</v>
      </c>
      <c r="AW23" s="67" t="str">
        <f t="shared" si="37"/>
        <v>#DIV/0!</v>
      </c>
      <c r="AX23" s="71">
        <f t="shared" ref="AX23:AY23" si="83">E23+W23</f>
        <v>0</v>
      </c>
      <c r="AY23" s="66">
        <f t="shared" si="83"/>
        <v>0</v>
      </c>
      <c r="AZ23" s="67" t="str">
        <f t="shared" si="39"/>
        <v>#DIV/0!</v>
      </c>
      <c r="BA23" s="72">
        <f t="shared" si="52"/>
        <v>0</v>
      </c>
      <c r="BB23" s="73">
        <f t="shared" si="53"/>
        <v>0</v>
      </c>
      <c r="BC23" s="67" t="str">
        <f t="shared" si="40"/>
        <v>#DIV/0!</v>
      </c>
      <c r="BD23" s="71">
        <f t="shared" ref="BD23:BE23" si="84">AL23+AC23+K23</f>
        <v>0</v>
      </c>
      <c r="BE23" s="66">
        <f t="shared" si="84"/>
        <v>0</v>
      </c>
      <c r="BF23" s="67" t="str">
        <f t="shared" si="42"/>
        <v>#DIV/0!</v>
      </c>
      <c r="BG23" s="72">
        <f t="shared" ref="BG23:BH23" si="85">AO23+AF23+N23</f>
        <v>0</v>
      </c>
      <c r="BH23" s="66">
        <f t="shared" si="85"/>
        <v>0</v>
      </c>
      <c r="BI23" s="67" t="str">
        <f t="shared" si="44"/>
        <v>#DIV/0!</v>
      </c>
      <c r="BJ23" s="72">
        <f t="shared" si="56"/>
        <v>0</v>
      </c>
      <c r="BK23" s="73">
        <f t="shared" si="57"/>
        <v>0</v>
      </c>
      <c r="BL23" s="67" t="str">
        <f t="shared" si="45"/>
        <v>#DIV/0!</v>
      </c>
      <c r="BM23" s="68">
        <f t="shared" si="58"/>
        <v>0</v>
      </c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79">
        <f t="shared" si="46"/>
        <v>0</v>
      </c>
      <c r="S24" s="80"/>
      <c r="T24" s="81">
        <f t="shared" si="47"/>
        <v>0</v>
      </c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/>
      <c r="AT24" s="80"/>
      <c r="AU24" s="81"/>
      <c r="AV24" s="79">
        <f t="shared" si="50"/>
        <v>0</v>
      </c>
      <c r="AW24" s="80" t="str">
        <f t="shared" si="37"/>
        <v>#DIV/0!</v>
      </c>
      <c r="AX24" s="82">
        <f t="shared" ref="AX24:AY24" si="86">E24+W24</f>
        <v>0</v>
      </c>
      <c r="AY24" s="79">
        <f t="shared" si="86"/>
        <v>0</v>
      </c>
      <c r="AZ24" s="80" t="str">
        <f t="shared" si="39"/>
        <v>#DIV/0!</v>
      </c>
      <c r="BA24" s="83">
        <f t="shared" si="52"/>
        <v>0</v>
      </c>
      <c r="BB24" s="84">
        <f t="shared" si="53"/>
        <v>0</v>
      </c>
      <c r="BC24" s="80" t="str">
        <f t="shared" si="40"/>
        <v>#DIV/0!</v>
      </c>
      <c r="BD24" s="82">
        <f t="shared" ref="BD24:BE24" si="87">AL24+AC24+K24</f>
        <v>0</v>
      </c>
      <c r="BE24" s="79">
        <f t="shared" si="87"/>
        <v>0</v>
      </c>
      <c r="BF24" s="80" t="str">
        <f t="shared" si="42"/>
        <v>#DIV/0!</v>
      </c>
      <c r="BG24" s="83">
        <f t="shared" ref="BG24:BH24" si="88">AO24+AF24+N24</f>
        <v>0</v>
      </c>
      <c r="BH24" s="79">
        <f t="shared" si="88"/>
        <v>0</v>
      </c>
      <c r="BI24" s="80" t="str">
        <f t="shared" si="44"/>
        <v>#DIV/0!</v>
      </c>
      <c r="BJ24" s="83">
        <f t="shared" si="56"/>
        <v>0</v>
      </c>
      <c r="BK24" s="84">
        <f t="shared" si="57"/>
        <v>0</v>
      </c>
      <c r="BL24" s="80" t="str">
        <f t="shared" si="45"/>
        <v>#DIV/0!</v>
      </c>
      <c r="BM24" s="81">
        <f t="shared" si="58"/>
        <v>0</v>
      </c>
      <c r="BN24" s="85"/>
    </row>
    <row r="25" ht="14.25" customHeight="1">
      <c r="A25" s="86" t="s">
        <v>34</v>
      </c>
      <c r="B25" s="86"/>
    </row>
    <row r="26" ht="14.25" customHeight="1">
      <c r="A26" s="87" t="s">
        <v>39</v>
      </c>
      <c r="B26" s="87"/>
    </row>
    <row r="27" ht="14.25" customHeight="1">
      <c r="A27" s="88" t="s">
        <v>40</v>
      </c>
      <c r="B27" s="88"/>
    </row>
    <row r="28" ht="14.25" customHeight="1">
      <c r="F28" s="103"/>
    </row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scale="40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14.25" customHeight="1">
      <c r="A6" s="90" t="s">
        <v>45</v>
      </c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91" t="s">
        <v>38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109</v>
      </c>
      <c r="C12" s="56">
        <f t="shared" si="1"/>
        <v>61.8</v>
      </c>
      <c r="D12" s="57">
        <f t="shared" ref="D12:D23" si="22">E12/C12</f>
        <v>5.459708738</v>
      </c>
      <c r="E12" s="58">
        <f t="shared" ref="E12:F12" si="2">SUM(E13:E24)</f>
        <v>337.41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56">
        <f t="shared" si="3"/>
        <v>54.9</v>
      </c>
      <c r="J12" s="57">
        <f t="shared" ref="J12:J23" si="24">K12/I12</f>
        <v>4</v>
      </c>
      <c r="K12" s="58">
        <f t="shared" ref="K12:L12" si="4">SUM(K13:K24)</f>
        <v>219.6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56">
        <f t="shared" si="5"/>
        <v>7.7</v>
      </c>
      <c r="P12" s="57">
        <f t="shared" ref="P12:P23" si="26">Q12/O12</f>
        <v>3.2</v>
      </c>
      <c r="Q12" s="58">
        <f t="shared" ref="Q12:R12" si="6">SUM(Q13:Q24)</f>
        <v>24.64</v>
      </c>
      <c r="R12" s="56">
        <f t="shared" si="6"/>
        <v>0</v>
      </c>
      <c r="S12" s="57" t="str">
        <f t="shared" ref="S12:S23" si="27">T12/R12</f>
        <v>#DIV/0!</v>
      </c>
      <c r="T12" s="58">
        <f t="shared" ref="T12:U12" si="7">SUM(T13:T24)</f>
        <v>0</v>
      </c>
      <c r="U12" s="56">
        <f t="shared" si="7"/>
        <v>10</v>
      </c>
      <c r="V12" s="57">
        <f t="shared" ref="V12:V23" si="28">W12/U12</f>
        <v>5.1</v>
      </c>
      <c r="W12" s="58">
        <f t="shared" ref="W12:X12" si="8">SUM(W13:W24)</f>
        <v>51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56">
        <f t="shared" si="9"/>
        <v>32.3</v>
      </c>
      <c r="AB12" s="57">
        <f t="shared" ref="AB12:AB23" si="30">AC12/AA12</f>
        <v>3.981733746</v>
      </c>
      <c r="AC12" s="58">
        <f t="shared" ref="AC12:AD12" si="10">SUM(AC13:AC24)</f>
        <v>128.61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56">
        <f t="shared" si="11"/>
        <v>9.8</v>
      </c>
      <c r="AH12" s="57">
        <f t="shared" ref="AH12:AH23" si="32">AI12/AG12</f>
        <v>3.2</v>
      </c>
      <c r="AI12" s="58">
        <f t="shared" ref="AI12:AJ12" si="12">SUM(AI13:AI24)</f>
        <v>31.36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56">
        <f t="shared" si="15"/>
        <v>0</v>
      </c>
      <c r="AT12" s="57" t="str">
        <f t="shared" ref="AT12:AT23" si="36">AU12/AS12</f>
        <v>#DIV/0!</v>
      </c>
      <c r="AU12" s="58">
        <f t="shared" ref="AU12:AV12" si="16">SUM(AU13:AU24)</f>
        <v>0</v>
      </c>
      <c r="AV12" s="56">
        <f t="shared" si="16"/>
        <v>71.8</v>
      </c>
      <c r="AW12" s="57">
        <f t="shared" ref="AW12:AW24" si="37">AX12/AV12</f>
        <v>5.409610028</v>
      </c>
      <c r="AX12" s="59">
        <f t="shared" ref="AX12:AY12" si="17">SUM(AX13:AX24)</f>
        <v>388.41</v>
      </c>
      <c r="AY12" s="56">
        <f t="shared" si="17"/>
        <v>0</v>
      </c>
      <c r="AZ12" s="57" t="str">
        <f t="shared" ref="AZ12:AZ24" si="39">BA12/AY12</f>
        <v>#DIV/0!</v>
      </c>
      <c r="BA12" s="60">
        <f t="shared" ref="BA12:BB12" si="18">SUM(BA13:BA24)</f>
        <v>0</v>
      </c>
      <c r="BB12" s="61">
        <f t="shared" si="18"/>
        <v>87.2</v>
      </c>
      <c r="BC12" s="57">
        <f t="shared" ref="BC12:BC24" si="40">BD12/BB12</f>
        <v>3.993233945</v>
      </c>
      <c r="BD12" s="59">
        <f t="shared" ref="BD12:BE12" si="19">SUM(BD13:BD24)</f>
        <v>348.21</v>
      </c>
      <c r="BE12" s="56">
        <f t="shared" si="19"/>
        <v>0</v>
      </c>
      <c r="BF12" s="57" t="str">
        <f t="shared" ref="BF12:BF24" si="42">BG12/BE12</f>
        <v>#DIV/0!</v>
      </c>
      <c r="BG12" s="60">
        <f t="shared" ref="BG12:BH12" si="20">SUM(BG13:BG24)</f>
        <v>0</v>
      </c>
      <c r="BH12" s="56">
        <f t="shared" si="20"/>
        <v>17.5</v>
      </c>
      <c r="BI12" s="57">
        <f t="shared" ref="BI12:BI24" si="44">BJ12/BH12</f>
        <v>3.2</v>
      </c>
      <c r="BJ12" s="60">
        <f t="shared" ref="BJ12:BK12" si="21">SUM(BJ13:BJ24)</f>
        <v>56</v>
      </c>
      <c r="BK12" s="61">
        <f t="shared" si="21"/>
        <v>176.5</v>
      </c>
      <c r="BL12" s="57">
        <f t="shared" ref="BL12:BL24" si="45">BM12/BK12</f>
        <v>4.490764873</v>
      </c>
      <c r="BM12" s="58">
        <f>SUM(BM13:BM24)</f>
        <v>792.62</v>
      </c>
      <c r="BN12" s="64"/>
    </row>
    <row r="13" ht="14.25" customHeight="1">
      <c r="A13" s="65" t="s">
        <v>23</v>
      </c>
      <c r="B13" s="93">
        <v>0.0</v>
      </c>
      <c r="C13" s="66"/>
      <c r="D13" s="67" t="str">
        <f t="shared" si="22"/>
        <v>#DIV/0!</v>
      </c>
      <c r="E13" s="94">
        <v>0.0</v>
      </c>
      <c r="F13" s="66"/>
      <c r="G13" s="67" t="str">
        <f t="shared" si="23"/>
        <v>#DIV/0!</v>
      </c>
      <c r="H13" s="68"/>
      <c r="I13" s="66"/>
      <c r="J13" s="67" t="str">
        <f t="shared" si="24"/>
        <v>#DIV/0!</v>
      </c>
      <c r="K13" s="94">
        <v>0.0</v>
      </c>
      <c r="L13" s="66"/>
      <c r="M13" s="67" t="str">
        <f t="shared" si="25"/>
        <v>#DIV/0!</v>
      </c>
      <c r="N13" s="68"/>
      <c r="O13" s="66"/>
      <c r="P13" s="67" t="str">
        <f t="shared" si="26"/>
        <v>#DIV/0!</v>
      </c>
      <c r="Q13" s="94">
        <v>0.0</v>
      </c>
      <c r="R13" s="66"/>
      <c r="S13" s="67" t="str">
        <f t="shared" si="27"/>
        <v>#DIV/0!</v>
      </c>
      <c r="T13" s="68"/>
      <c r="U13" s="66"/>
      <c r="V13" s="67" t="str">
        <f t="shared" si="28"/>
        <v>#DIV/0!</v>
      </c>
      <c r="W13" s="94">
        <v>0.0</v>
      </c>
      <c r="X13" s="66"/>
      <c r="Y13" s="67" t="str">
        <f t="shared" si="29"/>
        <v>#DIV/0!</v>
      </c>
      <c r="Z13" s="68"/>
      <c r="AA13" s="66"/>
      <c r="AB13" s="67" t="str">
        <f t="shared" si="30"/>
        <v>#DIV/0!</v>
      </c>
      <c r="AC13" s="94">
        <v>0.0</v>
      </c>
      <c r="AD13" s="66"/>
      <c r="AE13" s="67" t="str">
        <f t="shared" si="31"/>
        <v>#DIV/0!</v>
      </c>
      <c r="AF13" s="68"/>
      <c r="AG13" s="66"/>
      <c r="AH13" s="67" t="str">
        <f t="shared" si="32"/>
        <v>#DIV/0!</v>
      </c>
      <c r="AI13" s="94">
        <v>0.0</v>
      </c>
      <c r="AJ13" s="66"/>
      <c r="AK13" s="67" t="str">
        <f t="shared" si="33"/>
        <v>#DIV/0!</v>
      </c>
      <c r="AL13" s="68"/>
      <c r="AM13" s="66"/>
      <c r="AN13" s="67" t="str">
        <f t="shared" si="34"/>
        <v>#DIV/0!</v>
      </c>
      <c r="AO13" s="68"/>
      <c r="AP13" s="66"/>
      <c r="AQ13" s="67" t="str">
        <f t="shared" si="35"/>
        <v>#DIV/0!</v>
      </c>
      <c r="AR13" s="68"/>
      <c r="AS13" s="66"/>
      <c r="AT13" s="67" t="str">
        <f t="shared" si="36"/>
        <v>#DIV/0!</v>
      </c>
      <c r="AU13" s="68"/>
      <c r="AV13" s="66">
        <f t="shared" ref="AV13:AV24" si="46">C13+U13</f>
        <v>0</v>
      </c>
      <c r="AW13" s="67" t="str">
        <f t="shared" si="37"/>
        <v>#DIV/0!</v>
      </c>
      <c r="AX13" s="71">
        <f t="shared" ref="AX13:AY13" si="38">E13+W13</f>
        <v>0</v>
      </c>
      <c r="AY13" s="66">
        <f t="shared" si="38"/>
        <v>0</v>
      </c>
      <c r="AZ13" s="67" t="str">
        <f t="shared" si="39"/>
        <v>#DIV/0!</v>
      </c>
      <c r="BA13" s="72">
        <f t="shared" ref="BA13:BA24" si="48">H13+Z13</f>
        <v>0</v>
      </c>
      <c r="BB13" s="73">
        <f t="shared" ref="BB13:BB24" si="49">AJ13+AA13+I13</f>
        <v>0</v>
      </c>
      <c r="BC13" s="67" t="str">
        <f t="shared" si="40"/>
        <v>#DIV/0!</v>
      </c>
      <c r="BD13" s="71">
        <f t="shared" ref="BD13:BE13" si="41">AL13+AC13+K13</f>
        <v>0</v>
      </c>
      <c r="BE13" s="66">
        <f t="shared" si="41"/>
        <v>0</v>
      </c>
      <c r="BF13" s="67" t="str">
        <f t="shared" si="42"/>
        <v>#DIV/0!</v>
      </c>
      <c r="BG13" s="72">
        <f t="shared" ref="BG13:BH13" si="43">AO13+AF13+N13</f>
        <v>0</v>
      </c>
      <c r="BH13" s="66">
        <f t="shared" si="43"/>
        <v>0</v>
      </c>
      <c r="BI13" s="67" t="str">
        <f t="shared" si="44"/>
        <v>#DIV/0!</v>
      </c>
      <c r="BJ13" s="72">
        <f t="shared" ref="BJ13:BJ24" si="52">AR13+AI13+Q13</f>
        <v>0</v>
      </c>
      <c r="BK13" s="73">
        <f t="shared" ref="BK13:BK24" si="53">AV13+AY13+BB13+BE13+BH13</f>
        <v>0</v>
      </c>
      <c r="BL13" s="67" t="str">
        <f t="shared" si="45"/>
        <v>#DIV/0!</v>
      </c>
      <c r="BM13" s="68">
        <f t="shared" ref="BM13:BM24" si="54">AX13+BA13+BD13+BG13+BJ13</f>
        <v>0</v>
      </c>
      <c r="BN13" s="76"/>
    </row>
    <row r="14" ht="14.25" customHeight="1">
      <c r="A14" s="65" t="s">
        <v>24</v>
      </c>
      <c r="B14" s="93">
        <v>0.0</v>
      </c>
      <c r="C14" s="66"/>
      <c r="D14" s="67" t="str">
        <f t="shared" si="22"/>
        <v>#DIV/0!</v>
      </c>
      <c r="E14" s="94">
        <v>0.0</v>
      </c>
      <c r="F14" s="66"/>
      <c r="G14" s="67" t="str">
        <f t="shared" si="23"/>
        <v>#DIV/0!</v>
      </c>
      <c r="H14" s="68"/>
      <c r="I14" s="66"/>
      <c r="J14" s="67" t="str">
        <f t="shared" si="24"/>
        <v>#DIV/0!</v>
      </c>
      <c r="K14" s="94">
        <v>0.0</v>
      </c>
      <c r="L14" s="66"/>
      <c r="M14" s="67" t="str">
        <f t="shared" si="25"/>
        <v>#DIV/0!</v>
      </c>
      <c r="N14" s="68"/>
      <c r="O14" s="66"/>
      <c r="P14" s="67" t="str">
        <f t="shared" si="26"/>
        <v>#DIV/0!</v>
      </c>
      <c r="Q14" s="94">
        <v>0.0</v>
      </c>
      <c r="R14" s="66"/>
      <c r="S14" s="67" t="str">
        <f t="shared" si="27"/>
        <v>#DIV/0!</v>
      </c>
      <c r="T14" s="68"/>
      <c r="U14" s="66"/>
      <c r="V14" s="67" t="str">
        <f t="shared" si="28"/>
        <v>#DIV/0!</v>
      </c>
      <c r="W14" s="94">
        <v>0.0</v>
      </c>
      <c r="X14" s="66"/>
      <c r="Y14" s="67" t="str">
        <f t="shared" si="29"/>
        <v>#DIV/0!</v>
      </c>
      <c r="Z14" s="68"/>
      <c r="AA14" s="66"/>
      <c r="AB14" s="67" t="str">
        <f t="shared" si="30"/>
        <v>#DIV/0!</v>
      </c>
      <c r="AC14" s="94">
        <v>0.0</v>
      </c>
      <c r="AD14" s="66"/>
      <c r="AE14" s="67" t="str">
        <f t="shared" si="31"/>
        <v>#DIV/0!</v>
      </c>
      <c r="AF14" s="68"/>
      <c r="AG14" s="66"/>
      <c r="AH14" s="67" t="str">
        <f t="shared" si="32"/>
        <v>#DIV/0!</v>
      </c>
      <c r="AI14" s="94">
        <v>0.0</v>
      </c>
      <c r="AJ14" s="66"/>
      <c r="AK14" s="67" t="str">
        <f t="shared" si="33"/>
        <v>#DIV/0!</v>
      </c>
      <c r="AL14" s="68"/>
      <c r="AM14" s="66"/>
      <c r="AN14" s="67" t="str">
        <f t="shared" si="34"/>
        <v>#DIV/0!</v>
      </c>
      <c r="AO14" s="68"/>
      <c r="AP14" s="66"/>
      <c r="AQ14" s="67" t="str">
        <f t="shared" si="35"/>
        <v>#DIV/0!</v>
      </c>
      <c r="AR14" s="68"/>
      <c r="AS14" s="66"/>
      <c r="AT14" s="67" t="str">
        <f t="shared" si="36"/>
        <v>#DIV/0!</v>
      </c>
      <c r="AU14" s="68"/>
      <c r="AV14" s="66">
        <f t="shared" si="46"/>
        <v>0</v>
      </c>
      <c r="AW14" s="67" t="str">
        <f t="shared" si="37"/>
        <v>#DIV/0!</v>
      </c>
      <c r="AX14" s="71">
        <f t="shared" ref="AX14:AY14" si="47">E14+W14</f>
        <v>0</v>
      </c>
      <c r="AY14" s="66">
        <f t="shared" si="47"/>
        <v>0</v>
      </c>
      <c r="AZ14" s="67" t="str">
        <f t="shared" si="39"/>
        <v>#DIV/0!</v>
      </c>
      <c r="BA14" s="72">
        <f t="shared" si="48"/>
        <v>0</v>
      </c>
      <c r="BB14" s="73">
        <f t="shared" si="49"/>
        <v>0</v>
      </c>
      <c r="BC14" s="67" t="str">
        <f t="shared" si="40"/>
        <v>#DIV/0!</v>
      </c>
      <c r="BD14" s="71">
        <f t="shared" ref="BD14:BE14" si="50">AL14+AC14+K14</f>
        <v>0</v>
      </c>
      <c r="BE14" s="66">
        <f t="shared" si="50"/>
        <v>0</v>
      </c>
      <c r="BF14" s="67" t="str">
        <f t="shared" si="42"/>
        <v>#DIV/0!</v>
      </c>
      <c r="BG14" s="72">
        <f t="shared" ref="BG14:BH14" si="51">AO14+AF14+N14</f>
        <v>0</v>
      </c>
      <c r="BH14" s="66">
        <f t="shared" si="51"/>
        <v>0</v>
      </c>
      <c r="BI14" s="67" t="str">
        <f t="shared" si="44"/>
        <v>#DIV/0!</v>
      </c>
      <c r="BJ14" s="72">
        <f t="shared" si="52"/>
        <v>0</v>
      </c>
      <c r="BK14" s="73">
        <f t="shared" si="53"/>
        <v>0</v>
      </c>
      <c r="BL14" s="67" t="str">
        <f t="shared" si="45"/>
        <v>#DIV/0!</v>
      </c>
      <c r="BM14" s="68">
        <f t="shared" si="54"/>
        <v>0</v>
      </c>
      <c r="BN14" s="76"/>
    </row>
    <row r="15" ht="14.25" customHeight="1">
      <c r="A15" s="65" t="s">
        <v>25</v>
      </c>
      <c r="B15" s="93">
        <v>0.0</v>
      </c>
      <c r="C15" s="66"/>
      <c r="D15" s="67" t="str">
        <f t="shared" si="22"/>
        <v>#DIV/0!</v>
      </c>
      <c r="E15" s="94">
        <v>0.0</v>
      </c>
      <c r="F15" s="66"/>
      <c r="G15" s="67" t="str">
        <f t="shared" si="23"/>
        <v>#DIV/0!</v>
      </c>
      <c r="H15" s="68"/>
      <c r="I15" s="66"/>
      <c r="J15" s="67" t="str">
        <f t="shared" si="24"/>
        <v>#DIV/0!</v>
      </c>
      <c r="K15" s="94">
        <v>0.0</v>
      </c>
      <c r="L15" s="66"/>
      <c r="M15" s="67" t="str">
        <f t="shared" si="25"/>
        <v>#DIV/0!</v>
      </c>
      <c r="N15" s="68"/>
      <c r="O15" s="66"/>
      <c r="P15" s="67" t="str">
        <f t="shared" si="26"/>
        <v>#DIV/0!</v>
      </c>
      <c r="Q15" s="94">
        <v>0.0</v>
      </c>
      <c r="R15" s="66"/>
      <c r="S15" s="67" t="str">
        <f t="shared" si="27"/>
        <v>#DIV/0!</v>
      </c>
      <c r="T15" s="68"/>
      <c r="U15" s="66"/>
      <c r="V15" s="67" t="str">
        <f t="shared" si="28"/>
        <v>#DIV/0!</v>
      </c>
      <c r="W15" s="94">
        <v>0.0</v>
      </c>
      <c r="X15" s="66"/>
      <c r="Y15" s="67" t="str">
        <f t="shared" si="29"/>
        <v>#DIV/0!</v>
      </c>
      <c r="Z15" s="68"/>
      <c r="AA15" s="66"/>
      <c r="AB15" s="67" t="str">
        <f t="shared" si="30"/>
        <v>#DIV/0!</v>
      </c>
      <c r="AC15" s="94">
        <v>0.0</v>
      </c>
      <c r="AD15" s="66"/>
      <c r="AE15" s="67" t="str">
        <f t="shared" si="31"/>
        <v>#DIV/0!</v>
      </c>
      <c r="AF15" s="68"/>
      <c r="AG15" s="66"/>
      <c r="AH15" s="67" t="str">
        <f t="shared" si="32"/>
        <v>#DIV/0!</v>
      </c>
      <c r="AI15" s="94">
        <v>0.0</v>
      </c>
      <c r="AJ15" s="66"/>
      <c r="AK15" s="67" t="str">
        <f t="shared" si="33"/>
        <v>#DIV/0!</v>
      </c>
      <c r="AL15" s="68"/>
      <c r="AM15" s="66"/>
      <c r="AN15" s="67" t="str">
        <f t="shared" si="34"/>
        <v>#DIV/0!</v>
      </c>
      <c r="AO15" s="68"/>
      <c r="AP15" s="66"/>
      <c r="AQ15" s="67" t="str">
        <f t="shared" si="35"/>
        <v>#DIV/0!</v>
      </c>
      <c r="AR15" s="68"/>
      <c r="AS15" s="66"/>
      <c r="AT15" s="67" t="str">
        <f t="shared" si="36"/>
        <v>#DIV/0!</v>
      </c>
      <c r="AU15" s="68"/>
      <c r="AV15" s="66">
        <f t="shared" si="46"/>
        <v>0</v>
      </c>
      <c r="AW15" s="67" t="str">
        <f t="shared" si="37"/>
        <v>#DIV/0!</v>
      </c>
      <c r="AX15" s="71">
        <f t="shared" ref="AX15:AY15" si="55">E15+W15</f>
        <v>0</v>
      </c>
      <c r="AY15" s="66">
        <f t="shared" si="55"/>
        <v>0</v>
      </c>
      <c r="AZ15" s="67" t="str">
        <f t="shared" si="39"/>
        <v>#DIV/0!</v>
      </c>
      <c r="BA15" s="72">
        <f t="shared" si="48"/>
        <v>0</v>
      </c>
      <c r="BB15" s="73">
        <f t="shared" si="49"/>
        <v>0</v>
      </c>
      <c r="BC15" s="67" t="str">
        <f t="shared" si="40"/>
        <v>#DIV/0!</v>
      </c>
      <c r="BD15" s="71">
        <f t="shared" ref="BD15:BE15" si="56">AL15+AC15+K15</f>
        <v>0</v>
      </c>
      <c r="BE15" s="66">
        <f t="shared" si="56"/>
        <v>0</v>
      </c>
      <c r="BF15" s="67" t="str">
        <f t="shared" si="42"/>
        <v>#DIV/0!</v>
      </c>
      <c r="BG15" s="72">
        <f t="shared" ref="BG15:BH15" si="57">AO15+AF15+N15</f>
        <v>0</v>
      </c>
      <c r="BH15" s="66">
        <f t="shared" si="57"/>
        <v>0</v>
      </c>
      <c r="BI15" s="67" t="str">
        <f t="shared" si="44"/>
        <v>#DIV/0!</v>
      </c>
      <c r="BJ15" s="72">
        <f t="shared" si="52"/>
        <v>0</v>
      </c>
      <c r="BK15" s="73">
        <f t="shared" si="53"/>
        <v>0</v>
      </c>
      <c r="BL15" s="67" t="str">
        <f t="shared" si="45"/>
        <v>#DIV/0!</v>
      </c>
      <c r="BM15" s="68">
        <f t="shared" si="54"/>
        <v>0</v>
      </c>
      <c r="BN15" s="76"/>
    </row>
    <row r="16" ht="14.25" customHeight="1">
      <c r="A16" s="65" t="s">
        <v>26</v>
      </c>
      <c r="B16" s="93">
        <v>0.0</v>
      </c>
      <c r="C16" s="66"/>
      <c r="D16" s="67" t="str">
        <f t="shared" si="22"/>
        <v>#DIV/0!</v>
      </c>
      <c r="E16" s="94">
        <v>0.0</v>
      </c>
      <c r="F16" s="66"/>
      <c r="G16" s="67" t="str">
        <f t="shared" si="23"/>
        <v>#DIV/0!</v>
      </c>
      <c r="H16" s="68"/>
      <c r="I16" s="66"/>
      <c r="J16" s="67" t="str">
        <f t="shared" si="24"/>
        <v>#DIV/0!</v>
      </c>
      <c r="K16" s="94">
        <v>0.0</v>
      </c>
      <c r="L16" s="66"/>
      <c r="M16" s="67" t="str">
        <f t="shared" si="25"/>
        <v>#DIV/0!</v>
      </c>
      <c r="N16" s="68"/>
      <c r="O16" s="66"/>
      <c r="P16" s="67" t="str">
        <f t="shared" si="26"/>
        <v>#DIV/0!</v>
      </c>
      <c r="Q16" s="94">
        <v>0.0</v>
      </c>
      <c r="R16" s="66"/>
      <c r="S16" s="67" t="str">
        <f t="shared" si="27"/>
        <v>#DIV/0!</v>
      </c>
      <c r="T16" s="68"/>
      <c r="U16" s="66"/>
      <c r="V16" s="67" t="str">
        <f t="shared" si="28"/>
        <v>#DIV/0!</v>
      </c>
      <c r="W16" s="94">
        <v>0.0</v>
      </c>
      <c r="X16" s="66"/>
      <c r="Y16" s="67" t="str">
        <f t="shared" si="29"/>
        <v>#DIV/0!</v>
      </c>
      <c r="Z16" s="68"/>
      <c r="AA16" s="66"/>
      <c r="AB16" s="67" t="str">
        <f t="shared" si="30"/>
        <v>#DIV/0!</v>
      </c>
      <c r="AC16" s="94">
        <v>0.0</v>
      </c>
      <c r="AD16" s="66"/>
      <c r="AE16" s="67" t="str">
        <f t="shared" si="31"/>
        <v>#DIV/0!</v>
      </c>
      <c r="AF16" s="68"/>
      <c r="AG16" s="66"/>
      <c r="AH16" s="67" t="str">
        <f t="shared" si="32"/>
        <v>#DIV/0!</v>
      </c>
      <c r="AI16" s="94">
        <v>0.0</v>
      </c>
      <c r="AJ16" s="66"/>
      <c r="AK16" s="67" t="str">
        <f t="shared" si="33"/>
        <v>#DIV/0!</v>
      </c>
      <c r="AL16" s="68"/>
      <c r="AM16" s="66"/>
      <c r="AN16" s="67" t="str">
        <f t="shared" si="34"/>
        <v>#DIV/0!</v>
      </c>
      <c r="AO16" s="68"/>
      <c r="AP16" s="66"/>
      <c r="AQ16" s="67" t="str">
        <f t="shared" si="35"/>
        <v>#DIV/0!</v>
      </c>
      <c r="AR16" s="68"/>
      <c r="AS16" s="66"/>
      <c r="AT16" s="67" t="str">
        <f t="shared" si="36"/>
        <v>#DIV/0!</v>
      </c>
      <c r="AU16" s="68"/>
      <c r="AV16" s="66">
        <f t="shared" si="46"/>
        <v>0</v>
      </c>
      <c r="AW16" s="67" t="str">
        <f t="shared" si="37"/>
        <v>#DIV/0!</v>
      </c>
      <c r="AX16" s="71">
        <f t="shared" ref="AX16:AY16" si="58">E16+W16</f>
        <v>0</v>
      </c>
      <c r="AY16" s="66">
        <f t="shared" si="58"/>
        <v>0</v>
      </c>
      <c r="AZ16" s="67" t="str">
        <f t="shared" si="39"/>
        <v>#DIV/0!</v>
      </c>
      <c r="BA16" s="72">
        <f t="shared" si="48"/>
        <v>0</v>
      </c>
      <c r="BB16" s="73">
        <f t="shared" si="49"/>
        <v>0</v>
      </c>
      <c r="BC16" s="67" t="str">
        <f t="shared" si="40"/>
        <v>#DIV/0!</v>
      </c>
      <c r="BD16" s="71">
        <f t="shared" ref="BD16:BE16" si="59">AL16+AC16+K16</f>
        <v>0</v>
      </c>
      <c r="BE16" s="66">
        <f t="shared" si="59"/>
        <v>0</v>
      </c>
      <c r="BF16" s="67" t="str">
        <f t="shared" si="42"/>
        <v>#DIV/0!</v>
      </c>
      <c r="BG16" s="72">
        <f t="shared" ref="BG16:BH16" si="60">AO16+AF16+N16</f>
        <v>0</v>
      </c>
      <c r="BH16" s="66">
        <f t="shared" si="60"/>
        <v>0</v>
      </c>
      <c r="BI16" s="67" t="str">
        <f t="shared" si="44"/>
        <v>#DIV/0!</v>
      </c>
      <c r="BJ16" s="72">
        <f t="shared" si="52"/>
        <v>0</v>
      </c>
      <c r="BK16" s="73">
        <f t="shared" si="53"/>
        <v>0</v>
      </c>
      <c r="BL16" s="67" t="str">
        <f t="shared" si="45"/>
        <v>#DIV/0!</v>
      </c>
      <c r="BM16" s="68">
        <f t="shared" si="54"/>
        <v>0</v>
      </c>
      <c r="BN16" s="76"/>
    </row>
    <row r="17" ht="14.25" customHeight="1">
      <c r="A17" s="65" t="s">
        <v>27</v>
      </c>
      <c r="B17" s="93">
        <v>0.0</v>
      </c>
      <c r="C17" s="66"/>
      <c r="D17" s="67" t="str">
        <f t="shared" si="22"/>
        <v>#DIV/0!</v>
      </c>
      <c r="E17" s="94">
        <v>0.0</v>
      </c>
      <c r="F17" s="66"/>
      <c r="G17" s="67" t="str">
        <f t="shared" si="23"/>
        <v>#DIV/0!</v>
      </c>
      <c r="H17" s="68"/>
      <c r="I17" s="66"/>
      <c r="J17" s="67" t="str">
        <f t="shared" si="24"/>
        <v>#DIV/0!</v>
      </c>
      <c r="K17" s="94">
        <v>0.0</v>
      </c>
      <c r="L17" s="66"/>
      <c r="M17" s="67" t="str">
        <f t="shared" si="25"/>
        <v>#DIV/0!</v>
      </c>
      <c r="N17" s="68"/>
      <c r="O17" s="66"/>
      <c r="P17" s="67" t="str">
        <f t="shared" si="26"/>
        <v>#DIV/0!</v>
      </c>
      <c r="Q17" s="94">
        <v>0.0</v>
      </c>
      <c r="R17" s="66"/>
      <c r="S17" s="67" t="str">
        <f t="shared" si="27"/>
        <v>#DIV/0!</v>
      </c>
      <c r="T17" s="68"/>
      <c r="U17" s="66"/>
      <c r="V17" s="67" t="str">
        <f t="shared" si="28"/>
        <v>#DIV/0!</v>
      </c>
      <c r="W17" s="94">
        <v>0.0</v>
      </c>
      <c r="X17" s="66"/>
      <c r="Y17" s="67" t="str">
        <f t="shared" si="29"/>
        <v>#DIV/0!</v>
      </c>
      <c r="Z17" s="68"/>
      <c r="AA17" s="66"/>
      <c r="AB17" s="67" t="str">
        <f t="shared" si="30"/>
        <v>#DIV/0!</v>
      </c>
      <c r="AC17" s="94">
        <v>0.0</v>
      </c>
      <c r="AD17" s="66"/>
      <c r="AE17" s="67" t="str">
        <f t="shared" si="31"/>
        <v>#DIV/0!</v>
      </c>
      <c r="AF17" s="68"/>
      <c r="AG17" s="66"/>
      <c r="AH17" s="67" t="str">
        <f t="shared" si="32"/>
        <v>#DIV/0!</v>
      </c>
      <c r="AI17" s="94">
        <v>0.0</v>
      </c>
      <c r="AJ17" s="66"/>
      <c r="AK17" s="67" t="str">
        <f t="shared" si="33"/>
        <v>#DIV/0!</v>
      </c>
      <c r="AL17" s="68"/>
      <c r="AM17" s="66"/>
      <c r="AN17" s="67" t="str">
        <f t="shared" si="34"/>
        <v>#DIV/0!</v>
      </c>
      <c r="AO17" s="68"/>
      <c r="AP17" s="66"/>
      <c r="AQ17" s="67" t="str">
        <f t="shared" si="35"/>
        <v>#DIV/0!</v>
      </c>
      <c r="AR17" s="68"/>
      <c r="AS17" s="66"/>
      <c r="AT17" s="67" t="str">
        <f t="shared" si="36"/>
        <v>#DIV/0!</v>
      </c>
      <c r="AU17" s="68"/>
      <c r="AV17" s="66">
        <f t="shared" si="46"/>
        <v>0</v>
      </c>
      <c r="AW17" s="67" t="str">
        <f t="shared" si="37"/>
        <v>#DIV/0!</v>
      </c>
      <c r="AX17" s="71">
        <f t="shared" ref="AX17:AY17" si="61">E17+W17</f>
        <v>0</v>
      </c>
      <c r="AY17" s="66">
        <f t="shared" si="61"/>
        <v>0</v>
      </c>
      <c r="AZ17" s="67" t="str">
        <f t="shared" si="39"/>
        <v>#DIV/0!</v>
      </c>
      <c r="BA17" s="72">
        <f t="shared" si="48"/>
        <v>0</v>
      </c>
      <c r="BB17" s="73">
        <f t="shared" si="49"/>
        <v>0</v>
      </c>
      <c r="BC17" s="67" t="str">
        <f t="shared" si="40"/>
        <v>#DIV/0!</v>
      </c>
      <c r="BD17" s="71">
        <f t="shared" ref="BD17:BE17" si="62">AL17+AC17+K17</f>
        <v>0</v>
      </c>
      <c r="BE17" s="66">
        <f t="shared" si="62"/>
        <v>0</v>
      </c>
      <c r="BF17" s="67" t="str">
        <f t="shared" si="42"/>
        <v>#DIV/0!</v>
      </c>
      <c r="BG17" s="72">
        <f t="shared" ref="BG17:BH17" si="63">AO17+AF17+N17</f>
        <v>0</v>
      </c>
      <c r="BH17" s="66">
        <f t="shared" si="63"/>
        <v>0</v>
      </c>
      <c r="BI17" s="67" t="str">
        <f t="shared" si="44"/>
        <v>#DIV/0!</v>
      </c>
      <c r="BJ17" s="72">
        <f t="shared" si="52"/>
        <v>0</v>
      </c>
      <c r="BK17" s="73">
        <f t="shared" si="53"/>
        <v>0</v>
      </c>
      <c r="BL17" s="67" t="str">
        <f t="shared" si="45"/>
        <v>#DIV/0!</v>
      </c>
      <c r="BM17" s="68">
        <f t="shared" si="54"/>
        <v>0</v>
      </c>
      <c r="BN17" s="76"/>
    </row>
    <row r="18" ht="14.25" customHeight="1">
      <c r="A18" s="65" t="s">
        <v>28</v>
      </c>
      <c r="B18" s="93">
        <v>15.0</v>
      </c>
      <c r="C18" s="66"/>
      <c r="D18" s="67" t="str">
        <f t="shared" si="22"/>
        <v>#DIV/0!</v>
      </c>
      <c r="E18" s="94">
        <v>0.0</v>
      </c>
      <c r="F18" s="66"/>
      <c r="G18" s="67" t="str">
        <f t="shared" si="23"/>
        <v>#DIV/0!</v>
      </c>
      <c r="H18" s="68"/>
      <c r="I18" s="96">
        <v>5.8</v>
      </c>
      <c r="J18" s="67">
        <f t="shared" si="24"/>
        <v>4</v>
      </c>
      <c r="K18" s="94">
        <v>23.2</v>
      </c>
      <c r="L18" s="66"/>
      <c r="M18" s="67" t="str">
        <f t="shared" si="25"/>
        <v>#DIV/0!</v>
      </c>
      <c r="N18" s="68"/>
      <c r="O18" s="66"/>
      <c r="P18" s="67" t="str">
        <f t="shared" si="26"/>
        <v>#DIV/0!</v>
      </c>
      <c r="Q18" s="94">
        <v>0.0</v>
      </c>
      <c r="R18" s="66"/>
      <c r="S18" s="67" t="str">
        <f t="shared" si="27"/>
        <v>#DIV/0!</v>
      </c>
      <c r="T18" s="68"/>
      <c r="U18" s="66"/>
      <c r="V18" s="67" t="str">
        <f t="shared" si="28"/>
        <v>#DIV/0!</v>
      </c>
      <c r="W18" s="94">
        <v>0.0</v>
      </c>
      <c r="X18" s="66"/>
      <c r="Y18" s="67" t="str">
        <f t="shared" si="29"/>
        <v>#DIV/0!</v>
      </c>
      <c r="Z18" s="68"/>
      <c r="AA18" s="96">
        <v>5.9</v>
      </c>
      <c r="AB18" s="67">
        <f t="shared" si="30"/>
        <v>3.9</v>
      </c>
      <c r="AC18" s="94">
        <v>23.01</v>
      </c>
      <c r="AD18" s="66"/>
      <c r="AE18" s="67" t="str">
        <f t="shared" si="31"/>
        <v>#DIV/0!</v>
      </c>
      <c r="AF18" s="68"/>
      <c r="AG18" s="96">
        <v>7.3</v>
      </c>
      <c r="AH18" s="67">
        <f t="shared" si="32"/>
        <v>3.2</v>
      </c>
      <c r="AI18" s="94">
        <v>23.36</v>
      </c>
      <c r="AJ18" s="66"/>
      <c r="AK18" s="67" t="str">
        <f t="shared" si="33"/>
        <v>#DIV/0!</v>
      </c>
      <c r="AL18" s="68"/>
      <c r="AM18" s="66"/>
      <c r="AN18" s="67" t="str">
        <f t="shared" si="34"/>
        <v>#DIV/0!</v>
      </c>
      <c r="AO18" s="68"/>
      <c r="AP18" s="66"/>
      <c r="AQ18" s="67" t="str">
        <f t="shared" si="35"/>
        <v>#DIV/0!</v>
      </c>
      <c r="AR18" s="68"/>
      <c r="AS18" s="66"/>
      <c r="AT18" s="67" t="str">
        <f t="shared" si="36"/>
        <v>#DIV/0!</v>
      </c>
      <c r="AU18" s="68"/>
      <c r="AV18" s="66">
        <f t="shared" si="46"/>
        <v>0</v>
      </c>
      <c r="AW18" s="67" t="str">
        <f t="shared" si="37"/>
        <v>#DIV/0!</v>
      </c>
      <c r="AX18" s="71">
        <f t="shared" ref="AX18:AY18" si="64">E18+W18</f>
        <v>0</v>
      </c>
      <c r="AY18" s="66">
        <f t="shared" si="64"/>
        <v>0</v>
      </c>
      <c r="AZ18" s="67" t="str">
        <f t="shared" si="39"/>
        <v>#DIV/0!</v>
      </c>
      <c r="BA18" s="72">
        <f t="shared" si="48"/>
        <v>0</v>
      </c>
      <c r="BB18" s="73">
        <f t="shared" si="49"/>
        <v>11.7</v>
      </c>
      <c r="BC18" s="67">
        <f t="shared" si="40"/>
        <v>3.94957265</v>
      </c>
      <c r="BD18" s="71">
        <f t="shared" ref="BD18:BE18" si="65">AL18+AC18+K18</f>
        <v>46.21</v>
      </c>
      <c r="BE18" s="66">
        <f t="shared" si="65"/>
        <v>0</v>
      </c>
      <c r="BF18" s="67" t="str">
        <f t="shared" si="42"/>
        <v>#DIV/0!</v>
      </c>
      <c r="BG18" s="72">
        <f t="shared" ref="BG18:BH18" si="66">AO18+AF18+N18</f>
        <v>0</v>
      </c>
      <c r="BH18" s="66">
        <f t="shared" si="66"/>
        <v>7.3</v>
      </c>
      <c r="BI18" s="67">
        <f t="shared" si="44"/>
        <v>3.2</v>
      </c>
      <c r="BJ18" s="72">
        <f t="shared" si="52"/>
        <v>23.36</v>
      </c>
      <c r="BK18" s="73">
        <f t="shared" si="53"/>
        <v>19</v>
      </c>
      <c r="BL18" s="67">
        <f t="shared" si="45"/>
        <v>3.661578947</v>
      </c>
      <c r="BM18" s="68">
        <f t="shared" si="54"/>
        <v>69.57</v>
      </c>
      <c r="BN18" s="76"/>
    </row>
    <row r="19" ht="14.25" customHeight="1">
      <c r="A19" s="65" t="s">
        <v>29</v>
      </c>
      <c r="B19" s="93">
        <v>0.0</v>
      </c>
      <c r="C19" s="66"/>
      <c r="D19" s="67" t="str">
        <f t="shared" si="22"/>
        <v>#DIV/0!</v>
      </c>
      <c r="E19" s="94">
        <v>0.0</v>
      </c>
      <c r="F19" s="66"/>
      <c r="G19" s="67" t="str">
        <f t="shared" si="23"/>
        <v>#DIV/0!</v>
      </c>
      <c r="H19" s="68"/>
      <c r="I19" s="66"/>
      <c r="J19" s="67" t="str">
        <f t="shared" si="24"/>
        <v>#DIV/0!</v>
      </c>
      <c r="K19" s="94">
        <v>0.0</v>
      </c>
      <c r="L19" s="66"/>
      <c r="M19" s="67" t="str">
        <f t="shared" si="25"/>
        <v>#DIV/0!</v>
      </c>
      <c r="N19" s="68"/>
      <c r="O19" s="66"/>
      <c r="P19" s="67" t="str">
        <f t="shared" si="26"/>
        <v>#DIV/0!</v>
      </c>
      <c r="Q19" s="94">
        <v>0.0</v>
      </c>
      <c r="R19" s="66"/>
      <c r="S19" s="67" t="str">
        <f t="shared" si="27"/>
        <v>#DIV/0!</v>
      </c>
      <c r="T19" s="68"/>
      <c r="U19" s="66"/>
      <c r="V19" s="67" t="str">
        <f t="shared" si="28"/>
        <v>#DIV/0!</v>
      </c>
      <c r="W19" s="94">
        <v>0.0</v>
      </c>
      <c r="X19" s="66"/>
      <c r="Y19" s="67" t="str">
        <f t="shared" si="29"/>
        <v>#DIV/0!</v>
      </c>
      <c r="Z19" s="68"/>
      <c r="AA19" s="66"/>
      <c r="AB19" s="67" t="str">
        <f t="shared" si="30"/>
        <v>#DIV/0!</v>
      </c>
      <c r="AC19" s="94">
        <v>0.0</v>
      </c>
      <c r="AD19" s="66"/>
      <c r="AE19" s="67" t="str">
        <f t="shared" si="31"/>
        <v>#DIV/0!</v>
      </c>
      <c r="AF19" s="68"/>
      <c r="AG19" s="66"/>
      <c r="AH19" s="67" t="str">
        <f t="shared" si="32"/>
        <v>#DIV/0!</v>
      </c>
      <c r="AI19" s="94">
        <v>0.0</v>
      </c>
      <c r="AJ19" s="66"/>
      <c r="AK19" s="67" t="str">
        <f t="shared" si="33"/>
        <v>#DIV/0!</v>
      </c>
      <c r="AL19" s="68"/>
      <c r="AM19" s="66"/>
      <c r="AN19" s="67" t="str">
        <f t="shared" si="34"/>
        <v>#DIV/0!</v>
      </c>
      <c r="AO19" s="68"/>
      <c r="AP19" s="66"/>
      <c r="AQ19" s="67" t="str">
        <f t="shared" si="35"/>
        <v>#DIV/0!</v>
      </c>
      <c r="AR19" s="68"/>
      <c r="AS19" s="66"/>
      <c r="AT19" s="67" t="str">
        <f t="shared" si="36"/>
        <v>#DIV/0!</v>
      </c>
      <c r="AU19" s="68"/>
      <c r="AV19" s="66">
        <f t="shared" si="46"/>
        <v>0</v>
      </c>
      <c r="AW19" s="67" t="str">
        <f t="shared" si="37"/>
        <v>#DIV/0!</v>
      </c>
      <c r="AX19" s="71">
        <f t="shared" ref="AX19:AY19" si="67">E19+W19</f>
        <v>0</v>
      </c>
      <c r="AY19" s="66">
        <f t="shared" si="67"/>
        <v>0</v>
      </c>
      <c r="AZ19" s="67" t="str">
        <f t="shared" si="39"/>
        <v>#DIV/0!</v>
      </c>
      <c r="BA19" s="72">
        <f t="shared" si="48"/>
        <v>0</v>
      </c>
      <c r="BB19" s="73">
        <f t="shared" si="49"/>
        <v>0</v>
      </c>
      <c r="BC19" s="67" t="str">
        <f t="shared" si="40"/>
        <v>#DIV/0!</v>
      </c>
      <c r="BD19" s="71">
        <f t="shared" ref="BD19:BE19" si="68">AL19+AC19+K19</f>
        <v>0</v>
      </c>
      <c r="BE19" s="66">
        <f t="shared" si="68"/>
        <v>0</v>
      </c>
      <c r="BF19" s="67" t="str">
        <f t="shared" si="42"/>
        <v>#DIV/0!</v>
      </c>
      <c r="BG19" s="72">
        <f t="shared" ref="BG19:BH19" si="69">AO19+AF19+N19</f>
        <v>0</v>
      </c>
      <c r="BH19" s="66">
        <f t="shared" si="69"/>
        <v>0</v>
      </c>
      <c r="BI19" s="67" t="str">
        <f t="shared" si="44"/>
        <v>#DIV/0!</v>
      </c>
      <c r="BJ19" s="72">
        <f t="shared" si="52"/>
        <v>0</v>
      </c>
      <c r="BK19" s="73">
        <f t="shared" si="53"/>
        <v>0</v>
      </c>
      <c r="BL19" s="67" t="str">
        <f t="shared" si="45"/>
        <v>#DIV/0!</v>
      </c>
      <c r="BM19" s="68">
        <f t="shared" si="54"/>
        <v>0</v>
      </c>
      <c r="BN19" s="76"/>
    </row>
    <row r="20" ht="14.25" customHeight="1">
      <c r="A20" s="65" t="s">
        <v>30</v>
      </c>
      <c r="B20" s="93">
        <v>70.0</v>
      </c>
      <c r="C20" s="96">
        <v>8.3</v>
      </c>
      <c r="D20" s="67">
        <f t="shared" si="22"/>
        <v>5.2</v>
      </c>
      <c r="E20" s="94">
        <v>43.16</v>
      </c>
      <c r="F20" s="66"/>
      <c r="G20" s="67" t="str">
        <f t="shared" si="23"/>
        <v>#DIV/0!</v>
      </c>
      <c r="H20" s="68"/>
      <c r="I20" s="96">
        <v>49.1</v>
      </c>
      <c r="J20" s="67">
        <f t="shared" si="24"/>
        <v>4</v>
      </c>
      <c r="K20" s="94">
        <v>196.4</v>
      </c>
      <c r="L20" s="66"/>
      <c r="M20" s="67" t="str">
        <f t="shared" si="25"/>
        <v>#DIV/0!</v>
      </c>
      <c r="N20" s="68"/>
      <c r="O20" s="96">
        <v>7.7</v>
      </c>
      <c r="P20" s="67">
        <f t="shared" si="26"/>
        <v>3.2</v>
      </c>
      <c r="Q20" s="94">
        <v>24.64</v>
      </c>
      <c r="R20" s="66"/>
      <c r="S20" s="67" t="str">
        <f t="shared" si="27"/>
        <v>#DIV/0!</v>
      </c>
      <c r="T20" s="68"/>
      <c r="U20" s="96">
        <v>10.0</v>
      </c>
      <c r="V20" s="67">
        <f t="shared" si="28"/>
        <v>5.1</v>
      </c>
      <c r="W20" s="94">
        <v>51.0</v>
      </c>
      <c r="X20" s="66"/>
      <c r="Y20" s="67" t="str">
        <f t="shared" si="29"/>
        <v>#DIV/0!</v>
      </c>
      <c r="Z20" s="68"/>
      <c r="AA20" s="96">
        <v>26.4</v>
      </c>
      <c r="AB20" s="67">
        <f t="shared" si="30"/>
        <v>4</v>
      </c>
      <c r="AC20" s="94">
        <v>105.6</v>
      </c>
      <c r="AD20" s="66"/>
      <c r="AE20" s="67" t="str">
        <f t="shared" si="31"/>
        <v>#DIV/0!</v>
      </c>
      <c r="AF20" s="68"/>
      <c r="AG20" s="96">
        <v>2.5</v>
      </c>
      <c r="AH20" s="67">
        <f t="shared" si="32"/>
        <v>3.2</v>
      </c>
      <c r="AI20" s="94">
        <v>8.0</v>
      </c>
      <c r="AJ20" s="66"/>
      <c r="AK20" s="67" t="str">
        <f t="shared" si="33"/>
        <v>#DIV/0!</v>
      </c>
      <c r="AL20" s="68"/>
      <c r="AM20" s="66"/>
      <c r="AN20" s="67" t="str">
        <f t="shared" si="34"/>
        <v>#DIV/0!</v>
      </c>
      <c r="AO20" s="68"/>
      <c r="AP20" s="66"/>
      <c r="AQ20" s="67" t="str">
        <f t="shared" si="35"/>
        <v>#DIV/0!</v>
      </c>
      <c r="AR20" s="68"/>
      <c r="AS20" s="66"/>
      <c r="AT20" s="67" t="str">
        <f t="shared" si="36"/>
        <v>#DIV/0!</v>
      </c>
      <c r="AU20" s="68"/>
      <c r="AV20" s="66">
        <f t="shared" si="46"/>
        <v>18.3</v>
      </c>
      <c r="AW20" s="67">
        <f t="shared" si="37"/>
        <v>5.145355191</v>
      </c>
      <c r="AX20" s="71">
        <f t="shared" ref="AX20:AY20" si="70">E20+W20</f>
        <v>94.16</v>
      </c>
      <c r="AY20" s="66">
        <f t="shared" si="70"/>
        <v>0</v>
      </c>
      <c r="AZ20" s="67" t="str">
        <f t="shared" si="39"/>
        <v>#DIV/0!</v>
      </c>
      <c r="BA20" s="72">
        <f t="shared" si="48"/>
        <v>0</v>
      </c>
      <c r="BB20" s="73">
        <f t="shared" si="49"/>
        <v>75.5</v>
      </c>
      <c r="BC20" s="67">
        <f t="shared" si="40"/>
        <v>4</v>
      </c>
      <c r="BD20" s="71">
        <f t="shared" ref="BD20:BE20" si="71">AL20+AC20+K20</f>
        <v>302</v>
      </c>
      <c r="BE20" s="66">
        <f t="shared" si="71"/>
        <v>0</v>
      </c>
      <c r="BF20" s="67" t="str">
        <f t="shared" si="42"/>
        <v>#DIV/0!</v>
      </c>
      <c r="BG20" s="72">
        <f t="shared" ref="BG20:BH20" si="72">AO20+AF20+N20</f>
        <v>0</v>
      </c>
      <c r="BH20" s="66">
        <f t="shared" si="72"/>
        <v>10.2</v>
      </c>
      <c r="BI20" s="67">
        <f t="shared" si="44"/>
        <v>3.2</v>
      </c>
      <c r="BJ20" s="72">
        <f t="shared" si="52"/>
        <v>32.64</v>
      </c>
      <c r="BK20" s="73">
        <f t="shared" si="53"/>
        <v>104</v>
      </c>
      <c r="BL20" s="67">
        <f t="shared" si="45"/>
        <v>4.123076923</v>
      </c>
      <c r="BM20" s="68">
        <f t="shared" si="54"/>
        <v>428.8</v>
      </c>
      <c r="BN20" s="76"/>
    </row>
    <row r="21" ht="14.25" customHeight="1">
      <c r="A21" s="65" t="s">
        <v>31</v>
      </c>
      <c r="B21" s="93">
        <v>24.0</v>
      </c>
      <c r="C21" s="96">
        <v>53.5</v>
      </c>
      <c r="D21" s="67">
        <f t="shared" si="22"/>
        <v>5.5</v>
      </c>
      <c r="E21" s="94">
        <v>294.25</v>
      </c>
      <c r="F21" s="66"/>
      <c r="G21" s="67" t="str">
        <f t="shared" si="23"/>
        <v>#DIV/0!</v>
      </c>
      <c r="H21" s="68"/>
      <c r="I21" s="66"/>
      <c r="J21" s="67" t="str">
        <f t="shared" si="24"/>
        <v>#DIV/0!</v>
      </c>
      <c r="K21" s="94">
        <v>0.0</v>
      </c>
      <c r="L21" s="66"/>
      <c r="M21" s="67" t="str">
        <f t="shared" si="25"/>
        <v>#DIV/0!</v>
      </c>
      <c r="N21" s="68"/>
      <c r="O21" s="66"/>
      <c r="P21" s="67" t="str">
        <f t="shared" si="26"/>
        <v>#DIV/0!</v>
      </c>
      <c r="Q21" s="94">
        <v>0.0</v>
      </c>
      <c r="R21" s="66"/>
      <c r="S21" s="67" t="str">
        <f t="shared" si="27"/>
        <v>#DIV/0!</v>
      </c>
      <c r="T21" s="68"/>
      <c r="U21" s="66"/>
      <c r="V21" s="67" t="str">
        <f t="shared" si="28"/>
        <v>#DIV/0!</v>
      </c>
      <c r="W21" s="94">
        <v>0.0</v>
      </c>
      <c r="X21" s="66"/>
      <c r="Y21" s="67" t="str">
        <f t="shared" si="29"/>
        <v>#DIV/0!</v>
      </c>
      <c r="Z21" s="68"/>
      <c r="AA21" s="66"/>
      <c r="AB21" s="67" t="str">
        <f t="shared" si="30"/>
        <v>#DIV/0!</v>
      </c>
      <c r="AC21" s="94">
        <v>0.0</v>
      </c>
      <c r="AD21" s="66"/>
      <c r="AE21" s="67" t="str">
        <f t="shared" si="31"/>
        <v>#DIV/0!</v>
      </c>
      <c r="AF21" s="68"/>
      <c r="AG21" s="66"/>
      <c r="AH21" s="67" t="str">
        <f t="shared" si="32"/>
        <v>#DIV/0!</v>
      </c>
      <c r="AI21" s="94">
        <v>0.0</v>
      </c>
      <c r="AJ21" s="66"/>
      <c r="AK21" s="67" t="str">
        <f t="shared" si="33"/>
        <v>#DIV/0!</v>
      </c>
      <c r="AL21" s="68"/>
      <c r="AM21" s="66"/>
      <c r="AN21" s="67" t="str">
        <f t="shared" si="34"/>
        <v>#DIV/0!</v>
      </c>
      <c r="AO21" s="68"/>
      <c r="AP21" s="66"/>
      <c r="AQ21" s="67" t="str">
        <f t="shared" si="35"/>
        <v>#DIV/0!</v>
      </c>
      <c r="AR21" s="68"/>
      <c r="AS21" s="66"/>
      <c r="AT21" s="67" t="str">
        <f t="shared" si="36"/>
        <v>#DIV/0!</v>
      </c>
      <c r="AU21" s="68"/>
      <c r="AV21" s="66">
        <f t="shared" si="46"/>
        <v>53.5</v>
      </c>
      <c r="AW21" s="67">
        <f t="shared" si="37"/>
        <v>5.5</v>
      </c>
      <c r="AX21" s="71">
        <f t="shared" ref="AX21:AY21" si="73">E21+W21</f>
        <v>294.25</v>
      </c>
      <c r="AY21" s="66">
        <f t="shared" si="73"/>
        <v>0</v>
      </c>
      <c r="AZ21" s="67" t="str">
        <f t="shared" si="39"/>
        <v>#DIV/0!</v>
      </c>
      <c r="BA21" s="72">
        <f t="shared" si="48"/>
        <v>0</v>
      </c>
      <c r="BB21" s="73">
        <f t="shared" si="49"/>
        <v>0</v>
      </c>
      <c r="BC21" s="67" t="str">
        <f t="shared" si="40"/>
        <v>#DIV/0!</v>
      </c>
      <c r="BD21" s="71">
        <f t="shared" ref="BD21:BE21" si="74">AL21+AC21+K21</f>
        <v>0</v>
      </c>
      <c r="BE21" s="66">
        <f t="shared" si="74"/>
        <v>0</v>
      </c>
      <c r="BF21" s="67" t="str">
        <f t="shared" si="42"/>
        <v>#DIV/0!</v>
      </c>
      <c r="BG21" s="72">
        <f t="shared" ref="BG21:BH21" si="75">AO21+AF21+N21</f>
        <v>0</v>
      </c>
      <c r="BH21" s="66">
        <f t="shared" si="75"/>
        <v>0</v>
      </c>
      <c r="BI21" s="67" t="str">
        <f t="shared" si="44"/>
        <v>#DIV/0!</v>
      </c>
      <c r="BJ21" s="72">
        <f t="shared" si="52"/>
        <v>0</v>
      </c>
      <c r="BK21" s="73">
        <f t="shared" si="53"/>
        <v>53.5</v>
      </c>
      <c r="BL21" s="67">
        <f t="shared" si="45"/>
        <v>5.5</v>
      </c>
      <c r="BM21" s="68">
        <f t="shared" si="54"/>
        <v>294.25</v>
      </c>
      <c r="BN21" s="76"/>
    </row>
    <row r="22" ht="14.25" customHeight="1">
      <c r="A22" s="65" t="s">
        <v>32</v>
      </c>
      <c r="B22" s="93">
        <v>0.0</v>
      </c>
      <c r="C22" s="66"/>
      <c r="D22" s="67" t="str">
        <f t="shared" si="22"/>
        <v>#DIV/0!</v>
      </c>
      <c r="E22" s="94">
        <v>0.0</v>
      </c>
      <c r="F22" s="66"/>
      <c r="G22" s="67" t="str">
        <f t="shared" si="23"/>
        <v>#DIV/0!</v>
      </c>
      <c r="H22" s="68"/>
      <c r="I22" s="66"/>
      <c r="J22" s="67" t="str">
        <f t="shared" si="24"/>
        <v>#DIV/0!</v>
      </c>
      <c r="K22" s="94">
        <v>0.0</v>
      </c>
      <c r="L22" s="66"/>
      <c r="M22" s="67" t="str">
        <f t="shared" si="25"/>
        <v>#DIV/0!</v>
      </c>
      <c r="N22" s="68"/>
      <c r="O22" s="66"/>
      <c r="P22" s="67" t="str">
        <f t="shared" si="26"/>
        <v>#DIV/0!</v>
      </c>
      <c r="Q22" s="94">
        <v>0.0</v>
      </c>
      <c r="R22" s="66"/>
      <c r="S22" s="67" t="str">
        <f t="shared" si="27"/>
        <v>#DIV/0!</v>
      </c>
      <c r="T22" s="68"/>
      <c r="U22" s="66"/>
      <c r="V22" s="67" t="str">
        <f t="shared" si="28"/>
        <v>#DIV/0!</v>
      </c>
      <c r="W22" s="94">
        <v>0.0</v>
      </c>
      <c r="X22" s="66"/>
      <c r="Y22" s="67" t="str">
        <f t="shared" si="29"/>
        <v>#DIV/0!</v>
      </c>
      <c r="Z22" s="68"/>
      <c r="AA22" s="66"/>
      <c r="AB22" s="67" t="str">
        <f t="shared" si="30"/>
        <v>#DIV/0!</v>
      </c>
      <c r="AC22" s="94">
        <v>0.0</v>
      </c>
      <c r="AD22" s="66"/>
      <c r="AE22" s="67" t="str">
        <f t="shared" si="31"/>
        <v>#DIV/0!</v>
      </c>
      <c r="AF22" s="68"/>
      <c r="AG22" s="66"/>
      <c r="AH22" s="67" t="str">
        <f t="shared" si="32"/>
        <v>#DIV/0!</v>
      </c>
      <c r="AI22" s="94">
        <v>0.0</v>
      </c>
      <c r="AJ22" s="66"/>
      <c r="AK22" s="67" t="str">
        <f t="shared" si="33"/>
        <v>#DIV/0!</v>
      </c>
      <c r="AL22" s="68"/>
      <c r="AM22" s="66"/>
      <c r="AN22" s="67" t="str">
        <f t="shared" si="34"/>
        <v>#DIV/0!</v>
      </c>
      <c r="AO22" s="68"/>
      <c r="AP22" s="66"/>
      <c r="AQ22" s="67" t="str">
        <f t="shared" si="35"/>
        <v>#DIV/0!</v>
      </c>
      <c r="AR22" s="68"/>
      <c r="AS22" s="66"/>
      <c r="AT22" s="67" t="str">
        <f t="shared" si="36"/>
        <v>#DIV/0!</v>
      </c>
      <c r="AU22" s="68"/>
      <c r="AV22" s="66">
        <f t="shared" si="46"/>
        <v>0</v>
      </c>
      <c r="AW22" s="67" t="str">
        <f t="shared" si="37"/>
        <v>#DIV/0!</v>
      </c>
      <c r="AX22" s="71">
        <f t="shared" ref="AX22:AY22" si="76">E22+W22</f>
        <v>0</v>
      </c>
      <c r="AY22" s="66">
        <f t="shared" si="76"/>
        <v>0</v>
      </c>
      <c r="AZ22" s="67" t="str">
        <f t="shared" si="39"/>
        <v>#DIV/0!</v>
      </c>
      <c r="BA22" s="72">
        <f t="shared" si="48"/>
        <v>0</v>
      </c>
      <c r="BB22" s="73">
        <f t="shared" si="49"/>
        <v>0</v>
      </c>
      <c r="BC22" s="67" t="str">
        <f t="shared" si="40"/>
        <v>#DIV/0!</v>
      </c>
      <c r="BD22" s="71">
        <f t="shared" ref="BD22:BE22" si="77">AL22+AC22+K22</f>
        <v>0</v>
      </c>
      <c r="BE22" s="66">
        <f t="shared" si="77"/>
        <v>0</v>
      </c>
      <c r="BF22" s="67" t="str">
        <f t="shared" si="42"/>
        <v>#DIV/0!</v>
      </c>
      <c r="BG22" s="72">
        <f t="shared" ref="BG22:BH22" si="78">AO22+AF22+N22</f>
        <v>0</v>
      </c>
      <c r="BH22" s="66">
        <f t="shared" si="78"/>
        <v>0</v>
      </c>
      <c r="BI22" s="67" t="str">
        <f t="shared" si="44"/>
        <v>#DIV/0!</v>
      </c>
      <c r="BJ22" s="72">
        <f t="shared" si="52"/>
        <v>0</v>
      </c>
      <c r="BK22" s="73">
        <f t="shared" si="53"/>
        <v>0</v>
      </c>
      <c r="BL22" s="67" t="str">
        <f t="shared" si="45"/>
        <v>#DIV/0!</v>
      </c>
      <c r="BM22" s="68">
        <f t="shared" si="54"/>
        <v>0</v>
      </c>
      <c r="BN22" s="76"/>
    </row>
    <row r="23" ht="14.25" customHeight="1">
      <c r="A23" s="65" t="s">
        <v>33</v>
      </c>
      <c r="B23" s="93">
        <v>0.0</v>
      </c>
      <c r="C23" s="66"/>
      <c r="D23" s="67" t="str">
        <f t="shared" si="22"/>
        <v>#DIV/0!</v>
      </c>
      <c r="E23" s="94">
        <v>0.0</v>
      </c>
      <c r="F23" s="66"/>
      <c r="G23" s="67" t="str">
        <f t="shared" si="23"/>
        <v>#DIV/0!</v>
      </c>
      <c r="H23" s="68"/>
      <c r="I23" s="66"/>
      <c r="J23" s="67" t="str">
        <f t="shared" si="24"/>
        <v>#DIV/0!</v>
      </c>
      <c r="K23" s="94">
        <v>0.0</v>
      </c>
      <c r="L23" s="66"/>
      <c r="M23" s="67" t="str">
        <f t="shared" si="25"/>
        <v>#DIV/0!</v>
      </c>
      <c r="N23" s="68"/>
      <c r="O23" s="66"/>
      <c r="P23" s="67" t="str">
        <f t="shared" si="26"/>
        <v>#DIV/0!</v>
      </c>
      <c r="Q23" s="94">
        <v>0.0</v>
      </c>
      <c r="R23" s="66"/>
      <c r="S23" s="67" t="str">
        <f t="shared" si="27"/>
        <v>#DIV/0!</v>
      </c>
      <c r="T23" s="68"/>
      <c r="U23" s="66"/>
      <c r="V23" s="67" t="str">
        <f t="shared" si="28"/>
        <v>#DIV/0!</v>
      </c>
      <c r="W23" s="94">
        <v>0.0</v>
      </c>
      <c r="X23" s="66"/>
      <c r="Y23" s="67" t="str">
        <f t="shared" si="29"/>
        <v>#DIV/0!</v>
      </c>
      <c r="Z23" s="68"/>
      <c r="AA23" s="66"/>
      <c r="AB23" s="67" t="str">
        <f t="shared" si="30"/>
        <v>#DIV/0!</v>
      </c>
      <c r="AC23" s="94">
        <v>0.0</v>
      </c>
      <c r="AD23" s="66"/>
      <c r="AE23" s="67" t="str">
        <f t="shared" si="31"/>
        <v>#DIV/0!</v>
      </c>
      <c r="AF23" s="68"/>
      <c r="AG23" s="66"/>
      <c r="AH23" s="67" t="str">
        <f t="shared" si="32"/>
        <v>#DIV/0!</v>
      </c>
      <c r="AI23" s="94">
        <v>0.0</v>
      </c>
      <c r="AJ23" s="66"/>
      <c r="AK23" s="67" t="str">
        <f t="shared" si="33"/>
        <v>#DIV/0!</v>
      </c>
      <c r="AL23" s="68"/>
      <c r="AM23" s="66"/>
      <c r="AN23" s="67" t="str">
        <f t="shared" si="34"/>
        <v>#DIV/0!</v>
      </c>
      <c r="AO23" s="68"/>
      <c r="AP23" s="66"/>
      <c r="AQ23" s="67" t="str">
        <f t="shared" si="35"/>
        <v>#DIV/0!</v>
      </c>
      <c r="AR23" s="68"/>
      <c r="AS23" s="66"/>
      <c r="AT23" s="67" t="str">
        <f t="shared" si="36"/>
        <v>#DIV/0!</v>
      </c>
      <c r="AU23" s="68"/>
      <c r="AV23" s="66">
        <f t="shared" si="46"/>
        <v>0</v>
      </c>
      <c r="AW23" s="67" t="str">
        <f t="shared" si="37"/>
        <v>#DIV/0!</v>
      </c>
      <c r="AX23" s="71">
        <f t="shared" ref="AX23:AY23" si="79">E23+W23</f>
        <v>0</v>
      </c>
      <c r="AY23" s="66">
        <f t="shared" si="79"/>
        <v>0</v>
      </c>
      <c r="AZ23" s="67" t="str">
        <f t="shared" si="39"/>
        <v>#DIV/0!</v>
      </c>
      <c r="BA23" s="72">
        <f t="shared" si="48"/>
        <v>0</v>
      </c>
      <c r="BB23" s="73">
        <f t="shared" si="49"/>
        <v>0</v>
      </c>
      <c r="BC23" s="67" t="str">
        <f t="shared" si="40"/>
        <v>#DIV/0!</v>
      </c>
      <c r="BD23" s="71">
        <f t="shared" ref="BD23:BE23" si="80">AL23+AC23+K23</f>
        <v>0</v>
      </c>
      <c r="BE23" s="66">
        <f t="shared" si="80"/>
        <v>0</v>
      </c>
      <c r="BF23" s="67" t="str">
        <f t="shared" si="42"/>
        <v>#DIV/0!</v>
      </c>
      <c r="BG23" s="72">
        <f t="shared" ref="BG23:BH23" si="81">AO23+AF23+N23</f>
        <v>0</v>
      </c>
      <c r="BH23" s="66">
        <f t="shared" si="81"/>
        <v>0</v>
      </c>
      <c r="BI23" s="67" t="str">
        <f t="shared" si="44"/>
        <v>#DIV/0!</v>
      </c>
      <c r="BJ23" s="72">
        <f t="shared" si="52"/>
        <v>0</v>
      </c>
      <c r="BK23" s="73">
        <f t="shared" si="53"/>
        <v>0</v>
      </c>
      <c r="BL23" s="67" t="str">
        <f t="shared" si="45"/>
        <v>#DIV/0!</v>
      </c>
      <c r="BM23" s="68">
        <f t="shared" si="54"/>
        <v>0</v>
      </c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79"/>
      <c r="S24" s="80"/>
      <c r="T24" s="81"/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/>
      <c r="AT24" s="80"/>
      <c r="AU24" s="81"/>
      <c r="AV24" s="79">
        <f t="shared" si="46"/>
        <v>0</v>
      </c>
      <c r="AW24" s="80" t="str">
        <f t="shared" si="37"/>
        <v>#DIV/0!</v>
      </c>
      <c r="AX24" s="82">
        <f t="shared" ref="AX24:AY24" si="82">E24+W24</f>
        <v>0</v>
      </c>
      <c r="AY24" s="79">
        <f t="shared" si="82"/>
        <v>0</v>
      </c>
      <c r="AZ24" s="80" t="str">
        <f t="shared" si="39"/>
        <v>#DIV/0!</v>
      </c>
      <c r="BA24" s="83">
        <f t="shared" si="48"/>
        <v>0</v>
      </c>
      <c r="BB24" s="84">
        <f t="shared" si="49"/>
        <v>0</v>
      </c>
      <c r="BC24" s="80" t="str">
        <f t="shared" si="40"/>
        <v>#DIV/0!</v>
      </c>
      <c r="BD24" s="82">
        <f t="shared" ref="BD24:BE24" si="83">AL24+AC24+K24</f>
        <v>0</v>
      </c>
      <c r="BE24" s="79">
        <f t="shared" si="83"/>
        <v>0</v>
      </c>
      <c r="BF24" s="80" t="str">
        <f t="shared" si="42"/>
        <v>#DIV/0!</v>
      </c>
      <c r="BG24" s="83">
        <f t="shared" ref="BG24:BH24" si="84">AO24+AF24+N24</f>
        <v>0</v>
      </c>
      <c r="BH24" s="79">
        <f t="shared" si="84"/>
        <v>0</v>
      </c>
      <c r="BI24" s="80" t="str">
        <f t="shared" si="44"/>
        <v>#DIV/0!</v>
      </c>
      <c r="BJ24" s="83">
        <f t="shared" si="52"/>
        <v>0</v>
      </c>
      <c r="BK24" s="84">
        <f t="shared" si="53"/>
        <v>0</v>
      </c>
      <c r="BL24" s="80" t="str">
        <f t="shared" si="45"/>
        <v>#DIV/0!</v>
      </c>
      <c r="BM24" s="81">
        <f t="shared" si="54"/>
        <v>0</v>
      </c>
      <c r="BN24" s="85"/>
    </row>
    <row r="25" ht="14.25" customHeight="1">
      <c r="A25" s="86" t="s">
        <v>34</v>
      </c>
      <c r="B25" s="86"/>
    </row>
    <row r="26" ht="14.25" customHeight="1">
      <c r="A26" s="87" t="s">
        <v>39</v>
      </c>
      <c r="B26" s="87"/>
    </row>
    <row r="27" ht="14.25" customHeight="1">
      <c r="A27" s="88" t="s">
        <v>40</v>
      </c>
      <c r="B27" s="88"/>
      <c r="H27" s="103"/>
    </row>
    <row r="28" ht="14.25" customHeight="1"/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scale="40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21.75" customHeight="1">
      <c r="A6" s="90" t="s">
        <v>46</v>
      </c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91" t="s">
        <v>38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274</v>
      </c>
      <c r="C12" s="56">
        <f t="shared" si="1"/>
        <v>280.5</v>
      </c>
      <c r="D12" s="57">
        <f t="shared" ref="D12:D23" si="22">E12/C12</f>
        <v>5.292869875</v>
      </c>
      <c r="E12" s="58">
        <f t="shared" ref="E12:F12" si="2">SUM(E13:E24)</f>
        <v>1484.65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56">
        <f t="shared" si="3"/>
        <v>61.4</v>
      </c>
      <c r="J12" s="57">
        <f t="shared" ref="J12:J23" si="24">K12/I12</f>
        <v>3.955211726</v>
      </c>
      <c r="K12" s="58">
        <f t="shared" ref="K12:L12" si="4">SUM(K13:K24)</f>
        <v>242.85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56">
        <f t="shared" si="5"/>
        <v>26.2</v>
      </c>
      <c r="P12" s="57">
        <f t="shared" ref="P12:P23" si="26">Q12/O12</f>
        <v>3.2</v>
      </c>
      <c r="Q12" s="58">
        <f t="shared" ref="Q12:R12" si="6">SUM(Q13:Q24)</f>
        <v>83.84</v>
      </c>
      <c r="R12" s="56">
        <f t="shared" si="6"/>
        <v>0</v>
      </c>
      <c r="S12" s="57" t="str">
        <f t="shared" ref="S12:S23" si="27">T12/R12</f>
        <v>#DIV/0!</v>
      </c>
      <c r="T12" s="58">
        <f t="shared" ref="T12:U12" si="7">SUM(T13:T24)</f>
        <v>0</v>
      </c>
      <c r="U12" s="56">
        <f t="shared" si="7"/>
        <v>32.3</v>
      </c>
      <c r="V12" s="57">
        <f t="shared" ref="V12:V23" si="28">W12/U12</f>
        <v>5.103095975</v>
      </c>
      <c r="W12" s="58">
        <f t="shared" ref="W12:X12" si="8">SUM(W13:W24)</f>
        <v>164.83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56">
        <f t="shared" si="9"/>
        <v>46.5</v>
      </c>
      <c r="AB12" s="57">
        <f t="shared" ref="AB12:AB23" si="30">AC12/AA12</f>
        <v>3.651182796</v>
      </c>
      <c r="AC12" s="58">
        <f t="shared" ref="AC12:AD12" si="10">SUM(AC13:AC24)</f>
        <v>169.78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56">
        <f t="shared" si="11"/>
        <v>34.1</v>
      </c>
      <c r="AH12" s="57">
        <f t="shared" ref="AH12:AH23" si="32">AI12/AG12</f>
        <v>3</v>
      </c>
      <c r="AI12" s="58">
        <f t="shared" ref="AI12:AJ12" si="12">SUM(AI13:AI24)</f>
        <v>102.3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56">
        <f t="shared" si="15"/>
        <v>0</v>
      </c>
      <c r="AT12" s="57" t="str">
        <f t="shared" ref="AT12:AT23" si="36">AU12/AS12</f>
        <v>#DIV/0!</v>
      </c>
      <c r="AU12" s="58">
        <f t="shared" ref="AU12:AV12" si="16">SUM(AU13:AU24)</f>
        <v>0</v>
      </c>
      <c r="AV12" s="56">
        <f t="shared" si="16"/>
        <v>312.8</v>
      </c>
      <c r="AW12" s="57">
        <f t="shared" ref="AW12:AW24" si="37">AX12/AV12</f>
        <v>5.273273657</v>
      </c>
      <c r="AX12" s="59">
        <f t="shared" ref="AX12:AY12" si="17">SUM(AX13:AX24)</f>
        <v>1649.48</v>
      </c>
      <c r="AY12" s="56">
        <f t="shared" si="17"/>
        <v>0</v>
      </c>
      <c r="AZ12" s="57" t="str">
        <f t="shared" ref="AZ12:AZ24" si="39">BA12/AY12</f>
        <v>#DIV/0!</v>
      </c>
      <c r="BA12" s="60">
        <f t="shared" ref="BA12:BB12" si="18">SUM(BA13:BA24)</f>
        <v>0</v>
      </c>
      <c r="BB12" s="61">
        <f t="shared" si="18"/>
        <v>107.9</v>
      </c>
      <c r="BC12" s="57">
        <f t="shared" ref="BC12:BC24" si="40">BD12/BB12</f>
        <v>3.824189064</v>
      </c>
      <c r="BD12" s="59">
        <f t="shared" ref="BD12:BE12" si="19">SUM(BD13:BD24)</f>
        <v>412.63</v>
      </c>
      <c r="BE12" s="56">
        <f t="shared" si="19"/>
        <v>0</v>
      </c>
      <c r="BF12" s="57" t="str">
        <f t="shared" ref="BF12:BF24" si="42">BG12/BE12</f>
        <v>#DIV/0!</v>
      </c>
      <c r="BG12" s="60">
        <f t="shared" ref="BG12:BH12" si="20">SUM(BG13:BG24)</f>
        <v>0</v>
      </c>
      <c r="BH12" s="56">
        <f t="shared" si="20"/>
        <v>60.3</v>
      </c>
      <c r="BI12" s="57">
        <f t="shared" ref="BI12:BI24" si="44">BJ12/BH12</f>
        <v>3.086898839</v>
      </c>
      <c r="BJ12" s="60">
        <f t="shared" ref="BJ12:BK12" si="21">SUM(BJ13:BJ24)</f>
        <v>186.14</v>
      </c>
      <c r="BK12" s="61">
        <f t="shared" si="21"/>
        <v>481</v>
      </c>
      <c r="BL12" s="57">
        <f t="shared" ref="BL12:BL24" si="45">BM12/BK12</f>
        <v>4.674116424</v>
      </c>
      <c r="BM12" s="58">
        <f>SUM(BM13:BM24)</f>
        <v>2248.25</v>
      </c>
      <c r="BN12" s="64"/>
    </row>
    <row r="13" ht="14.25" customHeight="1">
      <c r="A13" s="65" t="s">
        <v>23</v>
      </c>
      <c r="B13" s="93">
        <v>59.0</v>
      </c>
      <c r="C13" s="96">
        <v>1.0</v>
      </c>
      <c r="D13" s="67">
        <f t="shared" si="22"/>
        <v>5</v>
      </c>
      <c r="E13" s="94">
        <v>5.0</v>
      </c>
      <c r="F13" s="66"/>
      <c r="G13" s="67" t="str">
        <f t="shared" si="23"/>
        <v>#DIV/0!</v>
      </c>
      <c r="H13" s="68"/>
      <c r="I13" s="96">
        <v>5.5</v>
      </c>
      <c r="J13" s="67">
        <f t="shared" si="24"/>
        <v>3.9</v>
      </c>
      <c r="K13" s="94">
        <v>21.45</v>
      </c>
      <c r="L13" s="66"/>
      <c r="M13" s="67" t="str">
        <f t="shared" si="25"/>
        <v>#DIV/0!</v>
      </c>
      <c r="N13" s="68"/>
      <c r="O13" s="96">
        <v>8.1</v>
      </c>
      <c r="P13" s="67">
        <f t="shared" si="26"/>
        <v>3.2</v>
      </c>
      <c r="Q13" s="94">
        <v>25.92</v>
      </c>
      <c r="R13" s="66"/>
      <c r="S13" s="67" t="str">
        <f t="shared" si="27"/>
        <v>#DIV/0!</v>
      </c>
      <c r="T13" s="68"/>
      <c r="U13" s="96">
        <v>10.3</v>
      </c>
      <c r="V13" s="67">
        <f t="shared" si="28"/>
        <v>5.1</v>
      </c>
      <c r="W13" s="94">
        <v>52.53</v>
      </c>
      <c r="X13" s="66"/>
      <c r="Y13" s="67" t="str">
        <f t="shared" si="29"/>
        <v>#DIV/0!</v>
      </c>
      <c r="Z13" s="68"/>
      <c r="AA13" s="96">
        <v>24.0</v>
      </c>
      <c r="AB13" s="67">
        <f t="shared" si="30"/>
        <v>3.6</v>
      </c>
      <c r="AC13" s="94">
        <v>86.4</v>
      </c>
      <c r="AD13" s="66"/>
      <c r="AE13" s="67" t="str">
        <f t="shared" si="31"/>
        <v>#DIV/0!</v>
      </c>
      <c r="AF13" s="68"/>
      <c r="AG13" s="96">
        <v>23.6</v>
      </c>
      <c r="AH13" s="67">
        <f t="shared" si="32"/>
        <v>3</v>
      </c>
      <c r="AI13" s="94">
        <v>70.8</v>
      </c>
      <c r="AJ13" s="66"/>
      <c r="AK13" s="67" t="str">
        <f t="shared" si="33"/>
        <v>#DIV/0!</v>
      </c>
      <c r="AL13" s="68"/>
      <c r="AM13" s="66"/>
      <c r="AN13" s="67" t="str">
        <f t="shared" si="34"/>
        <v>#DIV/0!</v>
      </c>
      <c r="AO13" s="68"/>
      <c r="AP13" s="66"/>
      <c r="AQ13" s="67" t="str">
        <f t="shared" si="35"/>
        <v>#DIV/0!</v>
      </c>
      <c r="AR13" s="68"/>
      <c r="AS13" s="66"/>
      <c r="AT13" s="67" t="str">
        <f t="shared" si="36"/>
        <v>#DIV/0!</v>
      </c>
      <c r="AU13" s="68"/>
      <c r="AV13" s="96">
        <f t="shared" ref="AV13:AV24" si="46">C13+U13</f>
        <v>11.3</v>
      </c>
      <c r="AW13" s="104">
        <f t="shared" si="37"/>
        <v>5.091150442</v>
      </c>
      <c r="AX13" s="105">
        <f t="shared" ref="AX13:AY13" si="38">E13+W13</f>
        <v>57.53</v>
      </c>
      <c r="AY13" s="96">
        <f t="shared" si="38"/>
        <v>0</v>
      </c>
      <c r="AZ13" s="104" t="str">
        <f t="shared" si="39"/>
        <v>#DIV/0!</v>
      </c>
      <c r="BA13" s="106">
        <f t="shared" ref="BA13:BA24" si="48">H13+Z13</f>
        <v>0</v>
      </c>
      <c r="BB13" s="107">
        <f t="shared" ref="BB13:BB24" si="49">AJ13+AA13+I13</f>
        <v>29.5</v>
      </c>
      <c r="BC13" s="104">
        <f t="shared" si="40"/>
        <v>3.655932203</v>
      </c>
      <c r="BD13" s="105">
        <f t="shared" ref="BD13:BE13" si="41">AL13+AC13+K13</f>
        <v>107.85</v>
      </c>
      <c r="BE13" s="96">
        <f t="shared" si="41"/>
        <v>0</v>
      </c>
      <c r="BF13" s="104" t="str">
        <f t="shared" si="42"/>
        <v>#DIV/0!</v>
      </c>
      <c r="BG13" s="106">
        <f t="shared" ref="BG13:BH13" si="43">AO13+AF13+N13</f>
        <v>0</v>
      </c>
      <c r="BH13" s="96">
        <f t="shared" si="43"/>
        <v>31.7</v>
      </c>
      <c r="BI13" s="104">
        <f t="shared" si="44"/>
        <v>3.051104101</v>
      </c>
      <c r="BJ13" s="106">
        <f t="shared" ref="BJ13:BJ24" si="52">AR13+AI13+Q13</f>
        <v>96.72</v>
      </c>
      <c r="BK13" s="107">
        <f t="shared" ref="BK13:BK24" si="53">AV13+AY13+BB13+BE13+BH13</f>
        <v>72.5</v>
      </c>
      <c r="BL13" s="104">
        <f t="shared" si="45"/>
        <v>3.615172414</v>
      </c>
      <c r="BM13" s="94">
        <f t="shared" ref="BM13:BM24" si="54">AX13+BA13+BD13+BG13+BJ13</f>
        <v>262.1</v>
      </c>
      <c r="BN13" s="76"/>
    </row>
    <row r="14" ht="14.25" customHeight="1">
      <c r="A14" s="65" t="s">
        <v>24</v>
      </c>
      <c r="B14" s="93">
        <v>25.0</v>
      </c>
      <c r="C14" s="96">
        <v>3.8</v>
      </c>
      <c r="D14" s="67">
        <f t="shared" si="22"/>
        <v>5</v>
      </c>
      <c r="E14" s="94">
        <v>19.0</v>
      </c>
      <c r="F14" s="66"/>
      <c r="G14" s="67" t="str">
        <f t="shared" si="23"/>
        <v>#DIV/0!</v>
      </c>
      <c r="H14" s="68"/>
      <c r="I14" s="96">
        <v>15.3</v>
      </c>
      <c r="J14" s="67">
        <f t="shared" si="24"/>
        <v>4</v>
      </c>
      <c r="K14" s="94">
        <v>61.2</v>
      </c>
      <c r="L14" s="66"/>
      <c r="M14" s="67" t="str">
        <f t="shared" si="25"/>
        <v>#DIV/0!</v>
      </c>
      <c r="N14" s="68"/>
      <c r="O14" s="96">
        <v>11.7</v>
      </c>
      <c r="P14" s="67">
        <f t="shared" si="26"/>
        <v>3.2</v>
      </c>
      <c r="Q14" s="94">
        <v>37.44</v>
      </c>
      <c r="R14" s="66"/>
      <c r="S14" s="67" t="str">
        <f t="shared" si="27"/>
        <v>#DIV/0!</v>
      </c>
      <c r="T14" s="68"/>
      <c r="U14" s="66"/>
      <c r="V14" s="67" t="str">
        <f t="shared" si="28"/>
        <v>#DIV/0!</v>
      </c>
      <c r="W14" s="94">
        <v>0.0</v>
      </c>
      <c r="X14" s="66"/>
      <c r="Y14" s="67" t="str">
        <f t="shared" si="29"/>
        <v>#DIV/0!</v>
      </c>
      <c r="Z14" s="68"/>
      <c r="AA14" s="66"/>
      <c r="AB14" s="67" t="str">
        <f t="shared" si="30"/>
        <v>#DIV/0!</v>
      </c>
      <c r="AC14" s="94">
        <v>0.0</v>
      </c>
      <c r="AD14" s="66"/>
      <c r="AE14" s="67" t="str">
        <f t="shared" si="31"/>
        <v>#DIV/0!</v>
      </c>
      <c r="AF14" s="68"/>
      <c r="AG14" s="66"/>
      <c r="AH14" s="67" t="str">
        <f t="shared" si="32"/>
        <v>#DIV/0!</v>
      </c>
      <c r="AI14" s="94">
        <v>0.0</v>
      </c>
      <c r="AJ14" s="66"/>
      <c r="AK14" s="67" t="str">
        <f t="shared" si="33"/>
        <v>#DIV/0!</v>
      </c>
      <c r="AL14" s="68"/>
      <c r="AM14" s="66"/>
      <c r="AN14" s="67" t="str">
        <f t="shared" si="34"/>
        <v>#DIV/0!</v>
      </c>
      <c r="AO14" s="68"/>
      <c r="AP14" s="66"/>
      <c r="AQ14" s="67" t="str">
        <f t="shared" si="35"/>
        <v>#DIV/0!</v>
      </c>
      <c r="AR14" s="68"/>
      <c r="AS14" s="66"/>
      <c r="AT14" s="67" t="str">
        <f t="shared" si="36"/>
        <v>#DIV/0!</v>
      </c>
      <c r="AU14" s="68"/>
      <c r="AV14" s="96">
        <f t="shared" si="46"/>
        <v>3.8</v>
      </c>
      <c r="AW14" s="104">
        <f t="shared" si="37"/>
        <v>5</v>
      </c>
      <c r="AX14" s="105">
        <f t="shared" ref="AX14:AY14" si="47">E14+W14</f>
        <v>19</v>
      </c>
      <c r="AY14" s="96">
        <f t="shared" si="47"/>
        <v>0</v>
      </c>
      <c r="AZ14" s="104" t="str">
        <f t="shared" si="39"/>
        <v>#DIV/0!</v>
      </c>
      <c r="BA14" s="106">
        <f t="shared" si="48"/>
        <v>0</v>
      </c>
      <c r="BB14" s="107">
        <f t="shared" si="49"/>
        <v>15.3</v>
      </c>
      <c r="BC14" s="104">
        <f t="shared" si="40"/>
        <v>4</v>
      </c>
      <c r="BD14" s="105">
        <f t="shared" ref="BD14:BE14" si="50">AL14+AC14+K14</f>
        <v>61.2</v>
      </c>
      <c r="BE14" s="96">
        <f t="shared" si="50"/>
        <v>0</v>
      </c>
      <c r="BF14" s="104" t="str">
        <f t="shared" si="42"/>
        <v>#DIV/0!</v>
      </c>
      <c r="BG14" s="106">
        <f t="shared" ref="BG14:BH14" si="51">AO14+AF14+N14</f>
        <v>0</v>
      </c>
      <c r="BH14" s="96">
        <f t="shared" si="51"/>
        <v>11.7</v>
      </c>
      <c r="BI14" s="104">
        <f t="shared" si="44"/>
        <v>3.2</v>
      </c>
      <c r="BJ14" s="106">
        <f t="shared" si="52"/>
        <v>37.44</v>
      </c>
      <c r="BK14" s="107">
        <f t="shared" si="53"/>
        <v>30.8</v>
      </c>
      <c r="BL14" s="104">
        <f t="shared" si="45"/>
        <v>3.819480519</v>
      </c>
      <c r="BM14" s="94">
        <f t="shared" si="54"/>
        <v>117.64</v>
      </c>
      <c r="BN14" s="76"/>
    </row>
    <row r="15" ht="14.25" customHeight="1">
      <c r="A15" s="65" t="s">
        <v>25</v>
      </c>
      <c r="B15" s="93">
        <v>137.0</v>
      </c>
      <c r="C15" s="96">
        <v>272.9</v>
      </c>
      <c r="D15" s="67">
        <f t="shared" si="22"/>
        <v>5.3</v>
      </c>
      <c r="E15" s="94">
        <v>1446.37</v>
      </c>
      <c r="F15" s="66"/>
      <c r="G15" s="67" t="str">
        <f t="shared" si="23"/>
        <v>#DIV/0!</v>
      </c>
      <c r="H15" s="68"/>
      <c r="I15" s="66"/>
      <c r="J15" s="67" t="str">
        <f t="shared" si="24"/>
        <v>#DIV/0!</v>
      </c>
      <c r="K15" s="94">
        <v>0.0</v>
      </c>
      <c r="L15" s="66"/>
      <c r="M15" s="67" t="str">
        <f t="shared" si="25"/>
        <v>#DIV/0!</v>
      </c>
      <c r="N15" s="68"/>
      <c r="O15" s="66"/>
      <c r="P15" s="67" t="str">
        <f t="shared" si="26"/>
        <v>#DIV/0!</v>
      </c>
      <c r="Q15" s="94">
        <v>0.0</v>
      </c>
      <c r="R15" s="66"/>
      <c r="S15" s="67" t="str">
        <f t="shared" si="27"/>
        <v>#DIV/0!</v>
      </c>
      <c r="T15" s="68"/>
      <c r="U15" s="96">
        <v>15.0</v>
      </c>
      <c r="V15" s="67">
        <f t="shared" si="28"/>
        <v>5.2</v>
      </c>
      <c r="W15" s="94">
        <v>78.0</v>
      </c>
      <c r="X15" s="66"/>
      <c r="Y15" s="67" t="str">
        <f t="shared" si="29"/>
        <v>#DIV/0!</v>
      </c>
      <c r="Z15" s="68"/>
      <c r="AA15" s="66"/>
      <c r="AB15" s="67" t="str">
        <f t="shared" si="30"/>
        <v>#DIV/0!</v>
      </c>
      <c r="AC15" s="94">
        <v>0.0</v>
      </c>
      <c r="AD15" s="66"/>
      <c r="AE15" s="67" t="str">
        <f t="shared" si="31"/>
        <v>#DIV/0!</v>
      </c>
      <c r="AF15" s="68"/>
      <c r="AG15" s="66"/>
      <c r="AH15" s="67" t="str">
        <f t="shared" si="32"/>
        <v>#DIV/0!</v>
      </c>
      <c r="AI15" s="94">
        <v>0.0</v>
      </c>
      <c r="AJ15" s="66"/>
      <c r="AK15" s="67" t="str">
        <f t="shared" si="33"/>
        <v>#DIV/0!</v>
      </c>
      <c r="AL15" s="68"/>
      <c r="AM15" s="66"/>
      <c r="AN15" s="67" t="str">
        <f t="shared" si="34"/>
        <v>#DIV/0!</v>
      </c>
      <c r="AO15" s="68"/>
      <c r="AP15" s="66"/>
      <c r="AQ15" s="67" t="str">
        <f t="shared" si="35"/>
        <v>#DIV/0!</v>
      </c>
      <c r="AR15" s="68"/>
      <c r="AS15" s="66"/>
      <c r="AT15" s="67" t="str">
        <f t="shared" si="36"/>
        <v>#DIV/0!</v>
      </c>
      <c r="AU15" s="68"/>
      <c r="AV15" s="96">
        <f t="shared" si="46"/>
        <v>287.9</v>
      </c>
      <c r="AW15" s="104">
        <f t="shared" si="37"/>
        <v>5.294789858</v>
      </c>
      <c r="AX15" s="105">
        <f t="shared" ref="AX15:AY15" si="55">E15+W15</f>
        <v>1524.37</v>
      </c>
      <c r="AY15" s="96">
        <f t="shared" si="55"/>
        <v>0</v>
      </c>
      <c r="AZ15" s="104" t="str">
        <f t="shared" si="39"/>
        <v>#DIV/0!</v>
      </c>
      <c r="BA15" s="106">
        <f t="shared" si="48"/>
        <v>0</v>
      </c>
      <c r="BB15" s="107">
        <f t="shared" si="49"/>
        <v>0</v>
      </c>
      <c r="BC15" s="104" t="str">
        <f t="shared" si="40"/>
        <v>#DIV/0!</v>
      </c>
      <c r="BD15" s="105">
        <f t="shared" ref="BD15:BE15" si="56">AL15+AC15+K15</f>
        <v>0</v>
      </c>
      <c r="BE15" s="96">
        <f t="shared" si="56"/>
        <v>0</v>
      </c>
      <c r="BF15" s="104" t="str">
        <f t="shared" si="42"/>
        <v>#DIV/0!</v>
      </c>
      <c r="BG15" s="106">
        <f t="shared" ref="BG15:BH15" si="57">AO15+AF15+N15</f>
        <v>0</v>
      </c>
      <c r="BH15" s="96">
        <f t="shared" si="57"/>
        <v>0</v>
      </c>
      <c r="BI15" s="104" t="str">
        <f t="shared" si="44"/>
        <v>#DIV/0!</v>
      </c>
      <c r="BJ15" s="106">
        <f t="shared" si="52"/>
        <v>0</v>
      </c>
      <c r="BK15" s="107">
        <f t="shared" si="53"/>
        <v>287.9</v>
      </c>
      <c r="BL15" s="104">
        <f t="shared" si="45"/>
        <v>5.294789858</v>
      </c>
      <c r="BM15" s="94">
        <f t="shared" si="54"/>
        <v>1524.37</v>
      </c>
      <c r="BN15" s="76"/>
    </row>
    <row r="16" ht="14.25" customHeight="1">
      <c r="A16" s="65" t="s">
        <v>26</v>
      </c>
      <c r="B16" s="93">
        <v>12.0</v>
      </c>
      <c r="C16" s="66"/>
      <c r="D16" s="67" t="str">
        <f t="shared" si="22"/>
        <v>#DIV/0!</v>
      </c>
      <c r="E16" s="94">
        <v>0.0</v>
      </c>
      <c r="F16" s="66"/>
      <c r="G16" s="67" t="str">
        <f t="shared" si="23"/>
        <v>#DIV/0!</v>
      </c>
      <c r="H16" s="68"/>
      <c r="I16" s="66"/>
      <c r="J16" s="67" t="str">
        <f t="shared" si="24"/>
        <v>#DIV/0!</v>
      </c>
      <c r="K16" s="94">
        <v>0.0</v>
      </c>
      <c r="L16" s="66"/>
      <c r="M16" s="67" t="str">
        <f t="shared" si="25"/>
        <v>#DIV/0!</v>
      </c>
      <c r="N16" s="68"/>
      <c r="O16" s="66"/>
      <c r="P16" s="67" t="str">
        <f t="shared" si="26"/>
        <v>#DIV/0!</v>
      </c>
      <c r="Q16" s="94">
        <v>0.0</v>
      </c>
      <c r="R16" s="66"/>
      <c r="S16" s="67" t="str">
        <f t="shared" si="27"/>
        <v>#DIV/0!</v>
      </c>
      <c r="T16" s="68"/>
      <c r="U16" s="96">
        <v>7.0</v>
      </c>
      <c r="V16" s="67">
        <f t="shared" si="28"/>
        <v>4.9</v>
      </c>
      <c r="W16" s="94">
        <v>34.3</v>
      </c>
      <c r="X16" s="66"/>
      <c r="Y16" s="67" t="str">
        <f t="shared" si="29"/>
        <v>#DIV/0!</v>
      </c>
      <c r="Z16" s="68"/>
      <c r="AA16" s="96">
        <v>11.3</v>
      </c>
      <c r="AB16" s="67">
        <f t="shared" si="30"/>
        <v>3.7</v>
      </c>
      <c r="AC16" s="94">
        <v>41.81</v>
      </c>
      <c r="AD16" s="66"/>
      <c r="AE16" s="67" t="str">
        <f t="shared" si="31"/>
        <v>#DIV/0!</v>
      </c>
      <c r="AF16" s="68"/>
      <c r="AG16" s="66"/>
      <c r="AH16" s="67" t="str">
        <f t="shared" si="32"/>
        <v>#DIV/0!</v>
      </c>
      <c r="AI16" s="94">
        <v>0.0</v>
      </c>
      <c r="AJ16" s="66"/>
      <c r="AK16" s="67" t="str">
        <f t="shared" si="33"/>
        <v>#DIV/0!</v>
      </c>
      <c r="AL16" s="68"/>
      <c r="AM16" s="66"/>
      <c r="AN16" s="67" t="str">
        <f t="shared" si="34"/>
        <v>#DIV/0!</v>
      </c>
      <c r="AO16" s="68"/>
      <c r="AP16" s="66"/>
      <c r="AQ16" s="67" t="str">
        <f t="shared" si="35"/>
        <v>#DIV/0!</v>
      </c>
      <c r="AR16" s="68"/>
      <c r="AS16" s="66"/>
      <c r="AT16" s="67" t="str">
        <f t="shared" si="36"/>
        <v>#DIV/0!</v>
      </c>
      <c r="AU16" s="68"/>
      <c r="AV16" s="96">
        <f t="shared" si="46"/>
        <v>7</v>
      </c>
      <c r="AW16" s="104">
        <f t="shared" si="37"/>
        <v>4.9</v>
      </c>
      <c r="AX16" s="105">
        <f t="shared" ref="AX16:AY16" si="58">E16+W16</f>
        <v>34.3</v>
      </c>
      <c r="AY16" s="96">
        <f t="shared" si="58"/>
        <v>0</v>
      </c>
      <c r="AZ16" s="104" t="str">
        <f t="shared" si="39"/>
        <v>#DIV/0!</v>
      </c>
      <c r="BA16" s="106">
        <f t="shared" si="48"/>
        <v>0</v>
      </c>
      <c r="BB16" s="107">
        <f t="shared" si="49"/>
        <v>11.3</v>
      </c>
      <c r="BC16" s="104">
        <f t="shared" si="40"/>
        <v>3.7</v>
      </c>
      <c r="BD16" s="105">
        <f t="shared" ref="BD16:BE16" si="59">AL16+AC16+K16</f>
        <v>41.81</v>
      </c>
      <c r="BE16" s="96">
        <f t="shared" si="59"/>
        <v>0</v>
      </c>
      <c r="BF16" s="104" t="str">
        <f t="shared" si="42"/>
        <v>#DIV/0!</v>
      </c>
      <c r="BG16" s="106">
        <f t="shared" ref="BG16:BH16" si="60">AO16+AF16+N16</f>
        <v>0</v>
      </c>
      <c r="BH16" s="96">
        <f t="shared" si="60"/>
        <v>0</v>
      </c>
      <c r="BI16" s="104" t="str">
        <f t="shared" si="44"/>
        <v>#DIV/0!</v>
      </c>
      <c r="BJ16" s="106">
        <f t="shared" si="52"/>
        <v>0</v>
      </c>
      <c r="BK16" s="107">
        <f t="shared" si="53"/>
        <v>18.3</v>
      </c>
      <c r="BL16" s="104">
        <f t="shared" si="45"/>
        <v>4.159016393</v>
      </c>
      <c r="BM16" s="94">
        <f t="shared" si="54"/>
        <v>76.11</v>
      </c>
      <c r="BN16" s="76"/>
    </row>
    <row r="17" ht="14.25" customHeight="1">
      <c r="A17" s="65" t="s">
        <v>27</v>
      </c>
      <c r="B17" s="93">
        <v>0.0</v>
      </c>
      <c r="C17" s="66"/>
      <c r="D17" s="67" t="str">
        <f t="shared" si="22"/>
        <v>#DIV/0!</v>
      </c>
      <c r="E17" s="94">
        <v>0.0</v>
      </c>
      <c r="F17" s="66"/>
      <c r="G17" s="67" t="str">
        <f t="shared" si="23"/>
        <v>#DIV/0!</v>
      </c>
      <c r="H17" s="68"/>
      <c r="I17" s="66"/>
      <c r="J17" s="67" t="str">
        <f t="shared" si="24"/>
        <v>#DIV/0!</v>
      </c>
      <c r="K17" s="94">
        <v>0.0</v>
      </c>
      <c r="L17" s="66"/>
      <c r="M17" s="67" t="str">
        <f t="shared" si="25"/>
        <v>#DIV/0!</v>
      </c>
      <c r="N17" s="68"/>
      <c r="O17" s="66"/>
      <c r="P17" s="67" t="str">
        <f t="shared" si="26"/>
        <v>#DIV/0!</v>
      </c>
      <c r="Q17" s="94">
        <v>0.0</v>
      </c>
      <c r="R17" s="66"/>
      <c r="S17" s="67" t="str">
        <f t="shared" si="27"/>
        <v>#DIV/0!</v>
      </c>
      <c r="T17" s="68"/>
      <c r="U17" s="66"/>
      <c r="V17" s="67" t="str">
        <f t="shared" si="28"/>
        <v>#DIV/0!</v>
      </c>
      <c r="W17" s="94">
        <v>0.0</v>
      </c>
      <c r="X17" s="66"/>
      <c r="Y17" s="67" t="str">
        <f t="shared" si="29"/>
        <v>#DIV/0!</v>
      </c>
      <c r="Z17" s="68"/>
      <c r="AA17" s="66"/>
      <c r="AB17" s="67" t="str">
        <f t="shared" si="30"/>
        <v>#DIV/0!</v>
      </c>
      <c r="AC17" s="94">
        <v>0.0</v>
      </c>
      <c r="AD17" s="66"/>
      <c r="AE17" s="67" t="str">
        <f t="shared" si="31"/>
        <v>#DIV/0!</v>
      </c>
      <c r="AF17" s="68"/>
      <c r="AG17" s="66"/>
      <c r="AH17" s="67" t="str">
        <f t="shared" si="32"/>
        <v>#DIV/0!</v>
      </c>
      <c r="AI17" s="94">
        <v>0.0</v>
      </c>
      <c r="AJ17" s="66"/>
      <c r="AK17" s="67" t="str">
        <f t="shared" si="33"/>
        <v>#DIV/0!</v>
      </c>
      <c r="AL17" s="68"/>
      <c r="AM17" s="66"/>
      <c r="AN17" s="67" t="str">
        <f t="shared" si="34"/>
        <v>#DIV/0!</v>
      </c>
      <c r="AO17" s="68"/>
      <c r="AP17" s="66"/>
      <c r="AQ17" s="67" t="str">
        <f t="shared" si="35"/>
        <v>#DIV/0!</v>
      </c>
      <c r="AR17" s="68"/>
      <c r="AS17" s="66"/>
      <c r="AT17" s="67" t="str">
        <f t="shared" si="36"/>
        <v>#DIV/0!</v>
      </c>
      <c r="AU17" s="68"/>
      <c r="AV17" s="96">
        <f t="shared" si="46"/>
        <v>0</v>
      </c>
      <c r="AW17" s="104" t="str">
        <f t="shared" si="37"/>
        <v>#DIV/0!</v>
      </c>
      <c r="AX17" s="105">
        <f t="shared" ref="AX17:AY17" si="61">E17+W17</f>
        <v>0</v>
      </c>
      <c r="AY17" s="96">
        <f t="shared" si="61"/>
        <v>0</v>
      </c>
      <c r="AZ17" s="104" t="str">
        <f t="shared" si="39"/>
        <v>#DIV/0!</v>
      </c>
      <c r="BA17" s="106">
        <f t="shared" si="48"/>
        <v>0</v>
      </c>
      <c r="BB17" s="107">
        <f t="shared" si="49"/>
        <v>0</v>
      </c>
      <c r="BC17" s="104" t="str">
        <f t="shared" si="40"/>
        <v>#DIV/0!</v>
      </c>
      <c r="BD17" s="105">
        <f t="shared" ref="BD17:BE17" si="62">AL17+AC17+K17</f>
        <v>0</v>
      </c>
      <c r="BE17" s="96">
        <f t="shared" si="62"/>
        <v>0</v>
      </c>
      <c r="BF17" s="104" t="str">
        <f t="shared" si="42"/>
        <v>#DIV/0!</v>
      </c>
      <c r="BG17" s="106">
        <f t="shared" ref="BG17:BH17" si="63">AO17+AF17+N17</f>
        <v>0</v>
      </c>
      <c r="BH17" s="96">
        <f t="shared" si="63"/>
        <v>0</v>
      </c>
      <c r="BI17" s="104" t="str">
        <f t="shared" si="44"/>
        <v>#DIV/0!</v>
      </c>
      <c r="BJ17" s="106">
        <f t="shared" si="52"/>
        <v>0</v>
      </c>
      <c r="BK17" s="107">
        <f t="shared" si="53"/>
        <v>0</v>
      </c>
      <c r="BL17" s="104" t="str">
        <f t="shared" si="45"/>
        <v>#DIV/0!</v>
      </c>
      <c r="BM17" s="94">
        <f t="shared" si="54"/>
        <v>0</v>
      </c>
      <c r="BN17" s="76"/>
    </row>
    <row r="18" ht="14.25" customHeight="1">
      <c r="A18" s="65" t="s">
        <v>28</v>
      </c>
      <c r="B18" s="93">
        <v>28.0</v>
      </c>
      <c r="C18" s="66"/>
      <c r="D18" s="67" t="str">
        <f t="shared" si="22"/>
        <v>#DIV/0!</v>
      </c>
      <c r="E18" s="94">
        <v>0.0</v>
      </c>
      <c r="F18" s="66"/>
      <c r="G18" s="67" t="str">
        <f t="shared" si="23"/>
        <v>#DIV/0!</v>
      </c>
      <c r="H18" s="68"/>
      <c r="I18" s="96">
        <v>20.8</v>
      </c>
      <c r="J18" s="67">
        <f t="shared" si="24"/>
        <v>4</v>
      </c>
      <c r="K18" s="94">
        <v>83.2</v>
      </c>
      <c r="L18" s="66"/>
      <c r="M18" s="67" t="str">
        <f t="shared" si="25"/>
        <v>#DIV/0!</v>
      </c>
      <c r="N18" s="68"/>
      <c r="O18" s="96">
        <v>5.2</v>
      </c>
      <c r="P18" s="67">
        <f t="shared" si="26"/>
        <v>3.2</v>
      </c>
      <c r="Q18" s="94">
        <v>16.64</v>
      </c>
      <c r="R18" s="66"/>
      <c r="S18" s="67" t="str">
        <f t="shared" si="27"/>
        <v>#DIV/0!</v>
      </c>
      <c r="T18" s="68"/>
      <c r="U18" s="66"/>
      <c r="V18" s="67" t="str">
        <f t="shared" si="28"/>
        <v>#DIV/0!</v>
      </c>
      <c r="W18" s="94">
        <v>0.0</v>
      </c>
      <c r="X18" s="66"/>
      <c r="Y18" s="67" t="str">
        <f t="shared" si="29"/>
        <v>#DIV/0!</v>
      </c>
      <c r="Z18" s="68"/>
      <c r="AA18" s="96">
        <v>9.9</v>
      </c>
      <c r="AB18" s="67">
        <f t="shared" si="30"/>
        <v>3.7</v>
      </c>
      <c r="AC18" s="94">
        <v>36.63</v>
      </c>
      <c r="AD18" s="66"/>
      <c r="AE18" s="67" t="str">
        <f t="shared" si="31"/>
        <v>#DIV/0!</v>
      </c>
      <c r="AF18" s="68"/>
      <c r="AG18" s="96">
        <v>10.5</v>
      </c>
      <c r="AH18" s="67">
        <f t="shared" si="32"/>
        <v>3</v>
      </c>
      <c r="AI18" s="94">
        <v>31.5</v>
      </c>
      <c r="AJ18" s="66"/>
      <c r="AK18" s="67" t="str">
        <f t="shared" si="33"/>
        <v>#DIV/0!</v>
      </c>
      <c r="AL18" s="68"/>
      <c r="AM18" s="66"/>
      <c r="AN18" s="67" t="str">
        <f t="shared" si="34"/>
        <v>#DIV/0!</v>
      </c>
      <c r="AO18" s="68"/>
      <c r="AP18" s="66"/>
      <c r="AQ18" s="67" t="str">
        <f t="shared" si="35"/>
        <v>#DIV/0!</v>
      </c>
      <c r="AR18" s="68"/>
      <c r="AS18" s="66"/>
      <c r="AT18" s="67" t="str">
        <f t="shared" si="36"/>
        <v>#DIV/0!</v>
      </c>
      <c r="AU18" s="68"/>
      <c r="AV18" s="96">
        <f t="shared" si="46"/>
        <v>0</v>
      </c>
      <c r="AW18" s="104" t="str">
        <f t="shared" si="37"/>
        <v>#DIV/0!</v>
      </c>
      <c r="AX18" s="105">
        <f t="shared" ref="AX18:AY18" si="64">E18+W18</f>
        <v>0</v>
      </c>
      <c r="AY18" s="96">
        <f t="shared" si="64"/>
        <v>0</v>
      </c>
      <c r="AZ18" s="104" t="str">
        <f t="shared" si="39"/>
        <v>#DIV/0!</v>
      </c>
      <c r="BA18" s="106">
        <f t="shared" si="48"/>
        <v>0</v>
      </c>
      <c r="BB18" s="107">
        <f t="shared" si="49"/>
        <v>30.7</v>
      </c>
      <c r="BC18" s="104">
        <f t="shared" si="40"/>
        <v>3.903257329</v>
      </c>
      <c r="BD18" s="105">
        <f t="shared" ref="BD18:BE18" si="65">AL18+AC18+K18</f>
        <v>119.83</v>
      </c>
      <c r="BE18" s="96">
        <f t="shared" si="65"/>
        <v>0</v>
      </c>
      <c r="BF18" s="104" t="str">
        <f t="shared" si="42"/>
        <v>#DIV/0!</v>
      </c>
      <c r="BG18" s="106">
        <f t="shared" ref="BG18:BH18" si="66">AO18+AF18+N18</f>
        <v>0</v>
      </c>
      <c r="BH18" s="96">
        <f t="shared" si="66"/>
        <v>15.7</v>
      </c>
      <c r="BI18" s="104">
        <f t="shared" si="44"/>
        <v>3.066242038</v>
      </c>
      <c r="BJ18" s="106">
        <f t="shared" si="52"/>
        <v>48.14</v>
      </c>
      <c r="BK18" s="107">
        <f t="shared" si="53"/>
        <v>46.4</v>
      </c>
      <c r="BL18" s="104">
        <f t="shared" si="45"/>
        <v>3.620043103</v>
      </c>
      <c r="BM18" s="94">
        <f t="shared" si="54"/>
        <v>167.97</v>
      </c>
      <c r="BN18" s="76"/>
    </row>
    <row r="19" ht="14.25" customHeight="1">
      <c r="A19" s="65" t="s">
        <v>29</v>
      </c>
      <c r="B19" s="93">
        <v>0.0</v>
      </c>
      <c r="C19" s="66"/>
      <c r="D19" s="67" t="str">
        <f t="shared" si="22"/>
        <v>#DIV/0!</v>
      </c>
      <c r="E19" s="94">
        <v>0.0</v>
      </c>
      <c r="F19" s="66"/>
      <c r="G19" s="67" t="str">
        <f t="shared" si="23"/>
        <v>#DIV/0!</v>
      </c>
      <c r="H19" s="68"/>
      <c r="I19" s="66"/>
      <c r="J19" s="67" t="str">
        <f t="shared" si="24"/>
        <v>#DIV/0!</v>
      </c>
      <c r="K19" s="94">
        <v>0.0</v>
      </c>
      <c r="L19" s="66"/>
      <c r="M19" s="67" t="str">
        <f t="shared" si="25"/>
        <v>#DIV/0!</v>
      </c>
      <c r="N19" s="68"/>
      <c r="O19" s="66"/>
      <c r="P19" s="67" t="str">
        <f t="shared" si="26"/>
        <v>#DIV/0!</v>
      </c>
      <c r="Q19" s="94">
        <v>0.0</v>
      </c>
      <c r="R19" s="66"/>
      <c r="S19" s="67" t="str">
        <f t="shared" si="27"/>
        <v>#DIV/0!</v>
      </c>
      <c r="T19" s="68"/>
      <c r="U19" s="66"/>
      <c r="V19" s="67" t="str">
        <f t="shared" si="28"/>
        <v>#DIV/0!</v>
      </c>
      <c r="W19" s="94">
        <v>0.0</v>
      </c>
      <c r="X19" s="66"/>
      <c r="Y19" s="67" t="str">
        <f t="shared" si="29"/>
        <v>#DIV/0!</v>
      </c>
      <c r="Z19" s="68"/>
      <c r="AA19" s="66"/>
      <c r="AB19" s="67" t="str">
        <f t="shared" si="30"/>
        <v>#DIV/0!</v>
      </c>
      <c r="AC19" s="94">
        <v>0.0</v>
      </c>
      <c r="AD19" s="66"/>
      <c r="AE19" s="67" t="str">
        <f t="shared" si="31"/>
        <v>#DIV/0!</v>
      </c>
      <c r="AF19" s="68"/>
      <c r="AG19" s="66"/>
      <c r="AH19" s="67" t="str">
        <f t="shared" si="32"/>
        <v>#DIV/0!</v>
      </c>
      <c r="AI19" s="94">
        <v>0.0</v>
      </c>
      <c r="AJ19" s="66"/>
      <c r="AK19" s="67" t="str">
        <f t="shared" si="33"/>
        <v>#DIV/0!</v>
      </c>
      <c r="AL19" s="68"/>
      <c r="AM19" s="66"/>
      <c r="AN19" s="67" t="str">
        <f t="shared" si="34"/>
        <v>#DIV/0!</v>
      </c>
      <c r="AO19" s="68"/>
      <c r="AP19" s="66"/>
      <c r="AQ19" s="67" t="str">
        <f t="shared" si="35"/>
        <v>#DIV/0!</v>
      </c>
      <c r="AR19" s="68"/>
      <c r="AS19" s="66"/>
      <c r="AT19" s="67" t="str">
        <f t="shared" si="36"/>
        <v>#DIV/0!</v>
      </c>
      <c r="AU19" s="68"/>
      <c r="AV19" s="96">
        <f t="shared" si="46"/>
        <v>0</v>
      </c>
      <c r="AW19" s="104" t="str">
        <f t="shared" si="37"/>
        <v>#DIV/0!</v>
      </c>
      <c r="AX19" s="105">
        <f t="shared" ref="AX19:AY19" si="67">E19+W19</f>
        <v>0</v>
      </c>
      <c r="AY19" s="96">
        <f t="shared" si="67"/>
        <v>0</v>
      </c>
      <c r="AZ19" s="104" t="str">
        <f t="shared" si="39"/>
        <v>#DIV/0!</v>
      </c>
      <c r="BA19" s="106">
        <f t="shared" si="48"/>
        <v>0</v>
      </c>
      <c r="BB19" s="107">
        <f t="shared" si="49"/>
        <v>0</v>
      </c>
      <c r="BC19" s="104" t="str">
        <f t="shared" si="40"/>
        <v>#DIV/0!</v>
      </c>
      <c r="BD19" s="105">
        <f t="shared" ref="BD19:BE19" si="68">AL19+AC19+K19</f>
        <v>0</v>
      </c>
      <c r="BE19" s="96">
        <f t="shared" si="68"/>
        <v>0</v>
      </c>
      <c r="BF19" s="104" t="str">
        <f t="shared" si="42"/>
        <v>#DIV/0!</v>
      </c>
      <c r="BG19" s="106">
        <f t="shared" ref="BG19:BH19" si="69">AO19+AF19+N19</f>
        <v>0</v>
      </c>
      <c r="BH19" s="96">
        <f t="shared" si="69"/>
        <v>0</v>
      </c>
      <c r="BI19" s="104" t="str">
        <f t="shared" si="44"/>
        <v>#DIV/0!</v>
      </c>
      <c r="BJ19" s="106">
        <f t="shared" si="52"/>
        <v>0</v>
      </c>
      <c r="BK19" s="107">
        <f t="shared" si="53"/>
        <v>0</v>
      </c>
      <c r="BL19" s="104" t="str">
        <f t="shared" si="45"/>
        <v>#DIV/0!</v>
      </c>
      <c r="BM19" s="94">
        <f t="shared" si="54"/>
        <v>0</v>
      </c>
      <c r="BN19" s="76"/>
    </row>
    <row r="20" ht="14.25" customHeight="1">
      <c r="A20" s="65" t="s">
        <v>30</v>
      </c>
      <c r="B20" s="93">
        <v>8.0</v>
      </c>
      <c r="C20" s="96">
        <v>2.8</v>
      </c>
      <c r="D20" s="67">
        <f t="shared" si="22"/>
        <v>5.1</v>
      </c>
      <c r="E20" s="94">
        <v>14.28</v>
      </c>
      <c r="F20" s="66"/>
      <c r="G20" s="67" t="str">
        <f t="shared" si="23"/>
        <v>#DIV/0!</v>
      </c>
      <c r="H20" s="68"/>
      <c r="I20" s="96">
        <v>8.8</v>
      </c>
      <c r="J20" s="67">
        <f t="shared" si="24"/>
        <v>4</v>
      </c>
      <c r="K20" s="94">
        <v>35.2</v>
      </c>
      <c r="L20" s="66"/>
      <c r="M20" s="67" t="str">
        <f t="shared" si="25"/>
        <v>#DIV/0!</v>
      </c>
      <c r="N20" s="68"/>
      <c r="O20" s="96">
        <v>1.2</v>
      </c>
      <c r="P20" s="67">
        <f t="shared" si="26"/>
        <v>3.2</v>
      </c>
      <c r="Q20" s="94">
        <v>3.84</v>
      </c>
      <c r="R20" s="66"/>
      <c r="S20" s="67" t="str">
        <f t="shared" si="27"/>
        <v>#DIV/0!</v>
      </c>
      <c r="T20" s="68"/>
      <c r="U20" s="66"/>
      <c r="V20" s="67" t="str">
        <f t="shared" si="28"/>
        <v>#DIV/0!</v>
      </c>
      <c r="W20" s="94">
        <v>0.0</v>
      </c>
      <c r="X20" s="66"/>
      <c r="Y20" s="67" t="str">
        <f t="shared" si="29"/>
        <v>#DIV/0!</v>
      </c>
      <c r="Z20" s="68"/>
      <c r="AA20" s="96">
        <v>1.3</v>
      </c>
      <c r="AB20" s="67">
        <f t="shared" si="30"/>
        <v>3.8</v>
      </c>
      <c r="AC20" s="94">
        <v>4.94</v>
      </c>
      <c r="AD20" s="66"/>
      <c r="AE20" s="67" t="str">
        <f t="shared" si="31"/>
        <v>#DIV/0!</v>
      </c>
      <c r="AF20" s="68"/>
      <c r="AG20" s="66"/>
      <c r="AH20" s="67" t="str">
        <f t="shared" si="32"/>
        <v>#DIV/0!</v>
      </c>
      <c r="AI20" s="94">
        <v>0.0</v>
      </c>
      <c r="AJ20" s="66"/>
      <c r="AK20" s="67" t="str">
        <f t="shared" si="33"/>
        <v>#DIV/0!</v>
      </c>
      <c r="AL20" s="68"/>
      <c r="AM20" s="66"/>
      <c r="AN20" s="67" t="str">
        <f t="shared" si="34"/>
        <v>#DIV/0!</v>
      </c>
      <c r="AO20" s="68"/>
      <c r="AP20" s="66"/>
      <c r="AQ20" s="67" t="str">
        <f t="shared" si="35"/>
        <v>#DIV/0!</v>
      </c>
      <c r="AR20" s="68"/>
      <c r="AS20" s="66"/>
      <c r="AT20" s="67" t="str">
        <f t="shared" si="36"/>
        <v>#DIV/0!</v>
      </c>
      <c r="AU20" s="68"/>
      <c r="AV20" s="96">
        <f t="shared" si="46"/>
        <v>2.8</v>
      </c>
      <c r="AW20" s="104">
        <f t="shared" si="37"/>
        <v>5.1</v>
      </c>
      <c r="AX20" s="105">
        <f t="shared" ref="AX20:AY20" si="70">E20+W20</f>
        <v>14.28</v>
      </c>
      <c r="AY20" s="96">
        <f t="shared" si="70"/>
        <v>0</v>
      </c>
      <c r="AZ20" s="104" t="str">
        <f t="shared" si="39"/>
        <v>#DIV/0!</v>
      </c>
      <c r="BA20" s="106">
        <f t="shared" si="48"/>
        <v>0</v>
      </c>
      <c r="BB20" s="107">
        <f t="shared" si="49"/>
        <v>10.1</v>
      </c>
      <c r="BC20" s="104">
        <f t="shared" si="40"/>
        <v>3.974257426</v>
      </c>
      <c r="BD20" s="105">
        <f t="shared" ref="BD20:BE20" si="71">AL20+AC20+K20</f>
        <v>40.14</v>
      </c>
      <c r="BE20" s="96">
        <f t="shared" si="71"/>
        <v>0</v>
      </c>
      <c r="BF20" s="104" t="str">
        <f t="shared" si="42"/>
        <v>#DIV/0!</v>
      </c>
      <c r="BG20" s="106">
        <f t="shared" ref="BG20:BH20" si="72">AO20+AF20+N20</f>
        <v>0</v>
      </c>
      <c r="BH20" s="96">
        <f t="shared" si="72"/>
        <v>1.2</v>
      </c>
      <c r="BI20" s="104">
        <f t="shared" si="44"/>
        <v>3.2</v>
      </c>
      <c r="BJ20" s="106">
        <f t="shared" si="52"/>
        <v>3.84</v>
      </c>
      <c r="BK20" s="107">
        <f t="shared" si="53"/>
        <v>14.1</v>
      </c>
      <c r="BL20" s="104">
        <f t="shared" si="45"/>
        <v>4.131914894</v>
      </c>
      <c r="BM20" s="94">
        <f t="shared" si="54"/>
        <v>58.26</v>
      </c>
      <c r="BN20" s="76"/>
    </row>
    <row r="21" ht="14.25" customHeight="1">
      <c r="A21" s="65" t="s">
        <v>31</v>
      </c>
      <c r="B21" s="93">
        <v>5.0</v>
      </c>
      <c r="C21" s="66"/>
      <c r="D21" s="67" t="str">
        <f t="shared" si="22"/>
        <v>#DIV/0!</v>
      </c>
      <c r="E21" s="94">
        <v>0.0</v>
      </c>
      <c r="F21" s="66"/>
      <c r="G21" s="67" t="str">
        <f t="shared" si="23"/>
        <v>#DIV/0!</v>
      </c>
      <c r="H21" s="68"/>
      <c r="I21" s="96">
        <v>11.0</v>
      </c>
      <c r="J21" s="67">
        <f t="shared" si="24"/>
        <v>3.8</v>
      </c>
      <c r="K21" s="94">
        <v>41.8</v>
      </c>
      <c r="L21" s="66"/>
      <c r="M21" s="67" t="str">
        <f t="shared" si="25"/>
        <v>#DIV/0!</v>
      </c>
      <c r="N21" s="68"/>
      <c r="O21" s="66"/>
      <c r="P21" s="67" t="str">
        <f t="shared" si="26"/>
        <v>#DIV/0!</v>
      </c>
      <c r="Q21" s="94">
        <v>0.0</v>
      </c>
      <c r="R21" s="66"/>
      <c r="S21" s="67" t="str">
        <f t="shared" si="27"/>
        <v>#DIV/0!</v>
      </c>
      <c r="T21" s="68"/>
      <c r="U21" s="66"/>
      <c r="V21" s="67" t="str">
        <f t="shared" si="28"/>
        <v>#DIV/0!</v>
      </c>
      <c r="W21" s="94">
        <v>0.0</v>
      </c>
      <c r="X21" s="66"/>
      <c r="Y21" s="67" t="str">
        <f t="shared" si="29"/>
        <v>#DIV/0!</v>
      </c>
      <c r="Z21" s="68"/>
      <c r="AA21" s="66"/>
      <c r="AB21" s="67" t="str">
        <f t="shared" si="30"/>
        <v>#DIV/0!</v>
      </c>
      <c r="AC21" s="94">
        <v>0.0</v>
      </c>
      <c r="AD21" s="66"/>
      <c r="AE21" s="67" t="str">
        <f t="shared" si="31"/>
        <v>#DIV/0!</v>
      </c>
      <c r="AF21" s="68"/>
      <c r="AG21" s="66"/>
      <c r="AH21" s="67" t="str">
        <f t="shared" si="32"/>
        <v>#DIV/0!</v>
      </c>
      <c r="AI21" s="94">
        <v>0.0</v>
      </c>
      <c r="AJ21" s="66"/>
      <c r="AK21" s="67" t="str">
        <f t="shared" si="33"/>
        <v>#DIV/0!</v>
      </c>
      <c r="AL21" s="68"/>
      <c r="AM21" s="66"/>
      <c r="AN21" s="67" t="str">
        <f t="shared" si="34"/>
        <v>#DIV/0!</v>
      </c>
      <c r="AO21" s="68"/>
      <c r="AP21" s="66"/>
      <c r="AQ21" s="67" t="str">
        <f t="shared" si="35"/>
        <v>#DIV/0!</v>
      </c>
      <c r="AR21" s="68"/>
      <c r="AS21" s="66"/>
      <c r="AT21" s="67" t="str">
        <f t="shared" si="36"/>
        <v>#DIV/0!</v>
      </c>
      <c r="AU21" s="68"/>
      <c r="AV21" s="96">
        <f t="shared" si="46"/>
        <v>0</v>
      </c>
      <c r="AW21" s="104" t="str">
        <f t="shared" si="37"/>
        <v>#DIV/0!</v>
      </c>
      <c r="AX21" s="105">
        <f t="shared" ref="AX21:AY21" si="73">E21+W21</f>
        <v>0</v>
      </c>
      <c r="AY21" s="96">
        <f t="shared" si="73"/>
        <v>0</v>
      </c>
      <c r="AZ21" s="104" t="str">
        <f t="shared" si="39"/>
        <v>#DIV/0!</v>
      </c>
      <c r="BA21" s="106">
        <f t="shared" si="48"/>
        <v>0</v>
      </c>
      <c r="BB21" s="107">
        <f t="shared" si="49"/>
        <v>11</v>
      </c>
      <c r="BC21" s="104">
        <f t="shared" si="40"/>
        <v>3.8</v>
      </c>
      <c r="BD21" s="105">
        <f t="shared" ref="BD21:BE21" si="74">AL21+AC21+K21</f>
        <v>41.8</v>
      </c>
      <c r="BE21" s="96">
        <f t="shared" si="74"/>
        <v>0</v>
      </c>
      <c r="BF21" s="104" t="str">
        <f t="shared" si="42"/>
        <v>#DIV/0!</v>
      </c>
      <c r="BG21" s="106">
        <f t="shared" ref="BG21:BH21" si="75">AO21+AF21+N21</f>
        <v>0</v>
      </c>
      <c r="BH21" s="96">
        <f t="shared" si="75"/>
        <v>0</v>
      </c>
      <c r="BI21" s="104" t="str">
        <f t="shared" si="44"/>
        <v>#DIV/0!</v>
      </c>
      <c r="BJ21" s="106">
        <f t="shared" si="52"/>
        <v>0</v>
      </c>
      <c r="BK21" s="107">
        <f t="shared" si="53"/>
        <v>11</v>
      </c>
      <c r="BL21" s="104">
        <f t="shared" si="45"/>
        <v>3.8</v>
      </c>
      <c r="BM21" s="94">
        <f t="shared" si="54"/>
        <v>41.8</v>
      </c>
      <c r="BN21" s="76"/>
    </row>
    <row r="22" ht="14.25" customHeight="1">
      <c r="A22" s="65" t="s">
        <v>32</v>
      </c>
      <c r="B22" s="93">
        <v>0.0</v>
      </c>
      <c r="C22" s="66"/>
      <c r="D22" s="67" t="str">
        <f t="shared" si="22"/>
        <v>#DIV/0!</v>
      </c>
      <c r="E22" s="94">
        <v>0.0</v>
      </c>
      <c r="F22" s="66"/>
      <c r="G22" s="67" t="str">
        <f t="shared" si="23"/>
        <v>#DIV/0!</v>
      </c>
      <c r="H22" s="68"/>
      <c r="I22" s="66"/>
      <c r="J22" s="67" t="str">
        <f t="shared" si="24"/>
        <v>#DIV/0!</v>
      </c>
      <c r="K22" s="94">
        <v>0.0</v>
      </c>
      <c r="L22" s="66"/>
      <c r="M22" s="67" t="str">
        <f t="shared" si="25"/>
        <v>#DIV/0!</v>
      </c>
      <c r="N22" s="68"/>
      <c r="O22" s="66"/>
      <c r="P22" s="67" t="str">
        <f t="shared" si="26"/>
        <v>#DIV/0!</v>
      </c>
      <c r="Q22" s="94">
        <v>0.0</v>
      </c>
      <c r="R22" s="66"/>
      <c r="S22" s="67" t="str">
        <f t="shared" si="27"/>
        <v>#DIV/0!</v>
      </c>
      <c r="T22" s="68"/>
      <c r="U22" s="66"/>
      <c r="V22" s="67" t="str">
        <f t="shared" si="28"/>
        <v>#DIV/0!</v>
      </c>
      <c r="W22" s="94">
        <v>0.0</v>
      </c>
      <c r="X22" s="66"/>
      <c r="Y22" s="67" t="str">
        <f t="shared" si="29"/>
        <v>#DIV/0!</v>
      </c>
      <c r="Z22" s="68"/>
      <c r="AA22" s="66"/>
      <c r="AB22" s="67" t="str">
        <f t="shared" si="30"/>
        <v>#DIV/0!</v>
      </c>
      <c r="AC22" s="94">
        <v>0.0</v>
      </c>
      <c r="AD22" s="66"/>
      <c r="AE22" s="67" t="str">
        <f t="shared" si="31"/>
        <v>#DIV/0!</v>
      </c>
      <c r="AF22" s="68"/>
      <c r="AG22" s="66"/>
      <c r="AH22" s="67" t="str">
        <f t="shared" si="32"/>
        <v>#DIV/0!</v>
      </c>
      <c r="AI22" s="94">
        <v>0.0</v>
      </c>
      <c r="AJ22" s="66"/>
      <c r="AK22" s="67" t="str">
        <f t="shared" si="33"/>
        <v>#DIV/0!</v>
      </c>
      <c r="AL22" s="68"/>
      <c r="AM22" s="66"/>
      <c r="AN22" s="67" t="str">
        <f t="shared" si="34"/>
        <v>#DIV/0!</v>
      </c>
      <c r="AO22" s="68"/>
      <c r="AP22" s="66"/>
      <c r="AQ22" s="67" t="str">
        <f t="shared" si="35"/>
        <v>#DIV/0!</v>
      </c>
      <c r="AR22" s="68"/>
      <c r="AS22" s="66"/>
      <c r="AT22" s="67" t="str">
        <f t="shared" si="36"/>
        <v>#DIV/0!</v>
      </c>
      <c r="AU22" s="68"/>
      <c r="AV22" s="96">
        <f t="shared" si="46"/>
        <v>0</v>
      </c>
      <c r="AW22" s="104" t="str">
        <f t="shared" si="37"/>
        <v>#DIV/0!</v>
      </c>
      <c r="AX22" s="105">
        <f t="shared" ref="AX22:AY22" si="76">E22+W22</f>
        <v>0</v>
      </c>
      <c r="AY22" s="96">
        <f t="shared" si="76"/>
        <v>0</v>
      </c>
      <c r="AZ22" s="104" t="str">
        <f t="shared" si="39"/>
        <v>#DIV/0!</v>
      </c>
      <c r="BA22" s="106">
        <f t="shared" si="48"/>
        <v>0</v>
      </c>
      <c r="BB22" s="107">
        <f t="shared" si="49"/>
        <v>0</v>
      </c>
      <c r="BC22" s="104" t="str">
        <f t="shared" si="40"/>
        <v>#DIV/0!</v>
      </c>
      <c r="BD22" s="105">
        <f t="shared" ref="BD22:BE22" si="77">AL22+AC22+K22</f>
        <v>0</v>
      </c>
      <c r="BE22" s="96">
        <f t="shared" si="77"/>
        <v>0</v>
      </c>
      <c r="BF22" s="104" t="str">
        <f t="shared" si="42"/>
        <v>#DIV/0!</v>
      </c>
      <c r="BG22" s="106">
        <f t="shared" ref="BG22:BH22" si="78">AO22+AF22+N22</f>
        <v>0</v>
      </c>
      <c r="BH22" s="96">
        <f t="shared" si="78"/>
        <v>0</v>
      </c>
      <c r="BI22" s="104" t="str">
        <f t="shared" si="44"/>
        <v>#DIV/0!</v>
      </c>
      <c r="BJ22" s="106">
        <f t="shared" si="52"/>
        <v>0</v>
      </c>
      <c r="BK22" s="107">
        <f t="shared" si="53"/>
        <v>0</v>
      </c>
      <c r="BL22" s="104" t="str">
        <f t="shared" si="45"/>
        <v>#DIV/0!</v>
      </c>
      <c r="BM22" s="94">
        <f t="shared" si="54"/>
        <v>0</v>
      </c>
      <c r="BN22" s="76"/>
    </row>
    <row r="23" ht="14.25" customHeight="1">
      <c r="A23" s="65" t="s">
        <v>33</v>
      </c>
      <c r="B23" s="93">
        <v>0.0</v>
      </c>
      <c r="C23" s="66"/>
      <c r="D23" s="67" t="str">
        <f t="shared" si="22"/>
        <v>#DIV/0!</v>
      </c>
      <c r="E23" s="94">
        <v>0.0</v>
      </c>
      <c r="F23" s="66"/>
      <c r="G23" s="67" t="str">
        <f t="shared" si="23"/>
        <v>#DIV/0!</v>
      </c>
      <c r="H23" s="68"/>
      <c r="I23" s="66"/>
      <c r="J23" s="67" t="str">
        <f t="shared" si="24"/>
        <v>#DIV/0!</v>
      </c>
      <c r="K23" s="94">
        <v>0.0</v>
      </c>
      <c r="L23" s="66"/>
      <c r="M23" s="67" t="str">
        <f t="shared" si="25"/>
        <v>#DIV/0!</v>
      </c>
      <c r="N23" s="68"/>
      <c r="O23" s="66"/>
      <c r="P23" s="67" t="str">
        <f t="shared" si="26"/>
        <v>#DIV/0!</v>
      </c>
      <c r="Q23" s="94">
        <v>0.0</v>
      </c>
      <c r="R23" s="66"/>
      <c r="S23" s="67" t="str">
        <f t="shared" si="27"/>
        <v>#DIV/0!</v>
      </c>
      <c r="T23" s="68"/>
      <c r="U23" s="66"/>
      <c r="V23" s="67" t="str">
        <f t="shared" si="28"/>
        <v>#DIV/0!</v>
      </c>
      <c r="W23" s="94">
        <v>0.0</v>
      </c>
      <c r="X23" s="66"/>
      <c r="Y23" s="67" t="str">
        <f t="shared" si="29"/>
        <v>#DIV/0!</v>
      </c>
      <c r="Z23" s="68"/>
      <c r="AA23" s="66"/>
      <c r="AB23" s="67" t="str">
        <f t="shared" si="30"/>
        <v>#DIV/0!</v>
      </c>
      <c r="AC23" s="94">
        <v>0.0</v>
      </c>
      <c r="AD23" s="66"/>
      <c r="AE23" s="67" t="str">
        <f t="shared" si="31"/>
        <v>#DIV/0!</v>
      </c>
      <c r="AF23" s="68"/>
      <c r="AG23" s="66"/>
      <c r="AH23" s="67" t="str">
        <f t="shared" si="32"/>
        <v>#DIV/0!</v>
      </c>
      <c r="AI23" s="94">
        <v>0.0</v>
      </c>
      <c r="AJ23" s="66"/>
      <c r="AK23" s="67" t="str">
        <f t="shared" si="33"/>
        <v>#DIV/0!</v>
      </c>
      <c r="AL23" s="68"/>
      <c r="AM23" s="66"/>
      <c r="AN23" s="67" t="str">
        <f t="shared" si="34"/>
        <v>#DIV/0!</v>
      </c>
      <c r="AO23" s="68"/>
      <c r="AP23" s="66"/>
      <c r="AQ23" s="67" t="str">
        <f t="shared" si="35"/>
        <v>#DIV/0!</v>
      </c>
      <c r="AR23" s="68"/>
      <c r="AS23" s="66"/>
      <c r="AT23" s="67" t="str">
        <f t="shared" si="36"/>
        <v>#DIV/0!</v>
      </c>
      <c r="AU23" s="68"/>
      <c r="AV23" s="96">
        <f t="shared" si="46"/>
        <v>0</v>
      </c>
      <c r="AW23" s="104" t="str">
        <f t="shared" si="37"/>
        <v>#DIV/0!</v>
      </c>
      <c r="AX23" s="105">
        <f t="shared" ref="AX23:AY23" si="79">E23+W23</f>
        <v>0</v>
      </c>
      <c r="AY23" s="96">
        <f t="shared" si="79"/>
        <v>0</v>
      </c>
      <c r="AZ23" s="104" t="str">
        <f t="shared" si="39"/>
        <v>#DIV/0!</v>
      </c>
      <c r="BA23" s="106">
        <f t="shared" si="48"/>
        <v>0</v>
      </c>
      <c r="BB23" s="107">
        <f t="shared" si="49"/>
        <v>0</v>
      </c>
      <c r="BC23" s="104" t="str">
        <f t="shared" si="40"/>
        <v>#DIV/0!</v>
      </c>
      <c r="BD23" s="105">
        <f t="shared" ref="BD23:BE23" si="80">AL23+AC23+K23</f>
        <v>0</v>
      </c>
      <c r="BE23" s="96">
        <f t="shared" si="80"/>
        <v>0</v>
      </c>
      <c r="BF23" s="104" t="str">
        <f t="shared" si="42"/>
        <v>#DIV/0!</v>
      </c>
      <c r="BG23" s="106">
        <f t="shared" ref="BG23:BH23" si="81">AO23+AF23+N23</f>
        <v>0</v>
      </c>
      <c r="BH23" s="96">
        <f t="shared" si="81"/>
        <v>0</v>
      </c>
      <c r="BI23" s="104" t="str">
        <f t="shared" si="44"/>
        <v>#DIV/0!</v>
      </c>
      <c r="BJ23" s="106">
        <f t="shared" si="52"/>
        <v>0</v>
      </c>
      <c r="BK23" s="107">
        <f t="shared" si="53"/>
        <v>0</v>
      </c>
      <c r="BL23" s="104" t="str">
        <f t="shared" si="45"/>
        <v>#DIV/0!</v>
      </c>
      <c r="BM23" s="94">
        <f t="shared" si="54"/>
        <v>0</v>
      </c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79"/>
      <c r="S24" s="80"/>
      <c r="T24" s="81"/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/>
      <c r="AT24" s="80"/>
      <c r="AU24" s="81"/>
      <c r="AV24" s="101">
        <f t="shared" si="46"/>
        <v>0</v>
      </c>
      <c r="AW24" s="108" t="str">
        <f t="shared" si="37"/>
        <v>#DIV/0!</v>
      </c>
      <c r="AX24" s="109">
        <f t="shared" ref="AX24:AY24" si="82">E24+W24</f>
        <v>0</v>
      </c>
      <c r="AY24" s="101">
        <f t="shared" si="82"/>
        <v>0</v>
      </c>
      <c r="AZ24" s="108" t="str">
        <f t="shared" si="39"/>
        <v>#DIV/0!</v>
      </c>
      <c r="BA24" s="110">
        <f t="shared" si="48"/>
        <v>0</v>
      </c>
      <c r="BB24" s="111">
        <f t="shared" si="49"/>
        <v>0</v>
      </c>
      <c r="BC24" s="108" t="str">
        <f t="shared" si="40"/>
        <v>#DIV/0!</v>
      </c>
      <c r="BD24" s="109">
        <f t="shared" ref="BD24:BE24" si="83">AL24+AC24+K24</f>
        <v>0</v>
      </c>
      <c r="BE24" s="101">
        <f t="shared" si="83"/>
        <v>0</v>
      </c>
      <c r="BF24" s="108" t="str">
        <f t="shared" si="42"/>
        <v>#DIV/0!</v>
      </c>
      <c r="BG24" s="110">
        <f t="shared" ref="BG24:BH24" si="84">AO24+AF24+N24</f>
        <v>0</v>
      </c>
      <c r="BH24" s="101">
        <f t="shared" si="84"/>
        <v>0</v>
      </c>
      <c r="BI24" s="108" t="str">
        <f t="shared" si="44"/>
        <v>#DIV/0!</v>
      </c>
      <c r="BJ24" s="110">
        <f t="shared" si="52"/>
        <v>0</v>
      </c>
      <c r="BK24" s="111">
        <f t="shared" si="53"/>
        <v>0</v>
      </c>
      <c r="BL24" s="108" t="str">
        <f t="shared" si="45"/>
        <v>#DIV/0!</v>
      </c>
      <c r="BM24" s="102">
        <f t="shared" si="54"/>
        <v>0</v>
      </c>
      <c r="BN24" s="85"/>
    </row>
    <row r="25" ht="14.25" customHeight="1">
      <c r="A25" s="86" t="s">
        <v>34</v>
      </c>
      <c r="B25" s="86"/>
    </row>
    <row r="26" ht="14.25" customHeight="1">
      <c r="A26" s="87" t="s">
        <v>39</v>
      </c>
      <c r="B26" s="87"/>
    </row>
    <row r="27" ht="14.25" customHeight="1">
      <c r="A27" s="88" t="s">
        <v>40</v>
      </c>
      <c r="B27" s="88"/>
    </row>
    <row r="28" ht="14.25" customHeight="1">
      <c r="G28" s="103"/>
    </row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scale="40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14.25" customHeight="1">
      <c r="A6" s="90" t="s">
        <v>47</v>
      </c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91" t="s">
        <v>38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272</v>
      </c>
      <c r="C12" s="92">
        <f t="shared" si="1"/>
        <v>115</v>
      </c>
      <c r="D12" s="57">
        <f t="shared" ref="D12:D23" si="22">E12/C12</f>
        <v>5.244695652</v>
      </c>
      <c r="E12" s="63">
        <f t="shared" ref="E12:F12" si="2">SUM(E13:E24)</f>
        <v>603.14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92">
        <f t="shared" si="3"/>
        <v>296.7</v>
      </c>
      <c r="J12" s="57">
        <f t="shared" ref="J12:J23" si="24">K12/I12</f>
        <v>3.959555106</v>
      </c>
      <c r="K12" s="63">
        <f t="shared" ref="K12:L12" si="4">SUM(K13:K24)</f>
        <v>1174.8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92">
        <f t="shared" si="5"/>
        <v>23.1</v>
      </c>
      <c r="P12" s="57">
        <f t="shared" ref="P12:P23" si="26">Q12/O12</f>
        <v>3.2</v>
      </c>
      <c r="Q12" s="63">
        <f t="shared" ref="Q12:R12" si="6">SUM(Q13:Q24)</f>
        <v>73.92</v>
      </c>
      <c r="R12" s="56">
        <f t="shared" si="6"/>
        <v>0</v>
      </c>
      <c r="S12" s="57" t="str">
        <f t="shared" ref="S12:S23" si="27">T12/R12</f>
        <v>#DIV/0!</v>
      </c>
      <c r="T12" s="58">
        <f t="shared" ref="T12:U12" si="7">SUM(T13:T24)</f>
        <v>0</v>
      </c>
      <c r="U12" s="92">
        <f t="shared" si="7"/>
        <v>80.4</v>
      </c>
      <c r="V12" s="57">
        <f t="shared" ref="V12:V23" si="28">W12/U12</f>
        <v>4.929850746</v>
      </c>
      <c r="W12" s="63">
        <f t="shared" ref="W12:X12" si="8">SUM(W13:W24)</f>
        <v>396.36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92">
        <f t="shared" si="9"/>
        <v>222.1</v>
      </c>
      <c r="AB12" s="57">
        <f t="shared" ref="AB12:AB23" si="30">AC12/AA12</f>
        <v>3.801846015</v>
      </c>
      <c r="AC12" s="63">
        <f t="shared" ref="AC12:AD12" si="10">SUM(AC13:AC24)</f>
        <v>844.39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92">
        <f t="shared" si="11"/>
        <v>18</v>
      </c>
      <c r="AH12" s="57">
        <f t="shared" ref="AH12:AH23" si="32">AI12/AG12</f>
        <v>3.177777778</v>
      </c>
      <c r="AI12" s="63">
        <f t="shared" ref="AI12:AJ12" si="12">SUM(AI13:AI24)</f>
        <v>57.2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56">
        <f t="shared" si="15"/>
        <v>0</v>
      </c>
      <c r="AT12" s="57" t="str">
        <f t="shared" ref="AT12:AT23" si="36">AU12/AS12</f>
        <v>#DIV/0!</v>
      </c>
      <c r="AU12" s="58">
        <f t="shared" ref="AU12:AV12" si="16">SUM(AU13:AU24)</f>
        <v>0</v>
      </c>
      <c r="AV12" s="56">
        <f t="shared" si="16"/>
        <v>195.4</v>
      </c>
      <c r="AW12" s="57">
        <f t="shared" ref="AW12:AW24" si="37">AX12/AV12</f>
        <v>5.115148414</v>
      </c>
      <c r="AX12" s="59">
        <f t="shared" ref="AX12:AY12" si="17">SUM(AX13:AX24)</f>
        <v>999.5</v>
      </c>
      <c r="AY12" s="56">
        <f t="shared" si="17"/>
        <v>0</v>
      </c>
      <c r="AZ12" s="57" t="str">
        <f t="shared" ref="AZ12:AZ24" si="39">BA12/AY12</f>
        <v>#DIV/0!</v>
      </c>
      <c r="BA12" s="60">
        <f t="shared" ref="BA12:BB12" si="18">SUM(BA13:BA24)</f>
        <v>0</v>
      </c>
      <c r="BB12" s="61">
        <f t="shared" si="18"/>
        <v>518.8</v>
      </c>
      <c r="BC12" s="57">
        <f t="shared" ref="BC12:BC24" si="40">BD12/BB12</f>
        <v>3.892039322</v>
      </c>
      <c r="BD12" s="59">
        <f t="shared" ref="BD12:BE12" si="19">SUM(BD13:BD24)</f>
        <v>2019.19</v>
      </c>
      <c r="BE12" s="56">
        <f t="shared" si="19"/>
        <v>0</v>
      </c>
      <c r="BF12" s="57" t="str">
        <f t="shared" ref="BF12:BF24" si="42">BG12/BE12</f>
        <v>#DIV/0!</v>
      </c>
      <c r="BG12" s="60">
        <f t="shared" ref="BG12:BH12" si="20">SUM(BG13:BG24)</f>
        <v>0</v>
      </c>
      <c r="BH12" s="56">
        <f t="shared" si="20"/>
        <v>41.1</v>
      </c>
      <c r="BI12" s="57">
        <f t="shared" ref="BI12:BI24" si="44">BJ12/BH12</f>
        <v>3.19026764</v>
      </c>
      <c r="BJ12" s="60">
        <f t="shared" ref="BJ12:BK12" si="21">SUM(BJ13:BJ24)</f>
        <v>131.12</v>
      </c>
      <c r="BK12" s="62">
        <f t="shared" si="21"/>
        <v>755.3</v>
      </c>
      <c r="BL12" s="57">
        <f t="shared" ref="BL12:BL24" si="45">BM12/BK12</f>
        <v>4.170276711</v>
      </c>
      <c r="BM12" s="63">
        <f>SUM(BM13:BM24)</f>
        <v>3149.81</v>
      </c>
      <c r="BN12" s="64"/>
    </row>
    <row r="13" ht="14.25" customHeight="1">
      <c r="A13" s="65" t="s">
        <v>23</v>
      </c>
      <c r="B13" s="93">
        <v>11.0</v>
      </c>
      <c r="C13" s="96">
        <v>2.0</v>
      </c>
      <c r="D13" s="67">
        <f t="shared" si="22"/>
        <v>5</v>
      </c>
      <c r="E13" s="94">
        <v>10.0</v>
      </c>
      <c r="F13" s="66"/>
      <c r="G13" s="67" t="str">
        <f t="shared" si="23"/>
        <v>#DIV/0!</v>
      </c>
      <c r="H13" s="68"/>
      <c r="I13" s="96">
        <v>5.0</v>
      </c>
      <c r="J13" s="67">
        <f t="shared" si="24"/>
        <v>3.9</v>
      </c>
      <c r="K13" s="94">
        <v>19.5</v>
      </c>
      <c r="L13" s="66"/>
      <c r="M13" s="67" t="str">
        <f t="shared" si="25"/>
        <v>#DIV/0!</v>
      </c>
      <c r="N13" s="68"/>
      <c r="O13" s="96">
        <v>2.0</v>
      </c>
      <c r="P13" s="67">
        <f t="shared" si="26"/>
        <v>3.2</v>
      </c>
      <c r="Q13" s="94">
        <v>6.4</v>
      </c>
      <c r="R13" s="66"/>
      <c r="S13" s="67" t="str">
        <f t="shared" si="27"/>
        <v>#DIV/0!</v>
      </c>
      <c r="T13" s="68"/>
      <c r="U13" s="96">
        <v>3.0</v>
      </c>
      <c r="V13" s="67">
        <f t="shared" si="28"/>
        <v>5.1</v>
      </c>
      <c r="W13" s="94">
        <v>15.3</v>
      </c>
      <c r="X13" s="66"/>
      <c r="Y13" s="67" t="str">
        <f t="shared" si="29"/>
        <v>#DIV/0!</v>
      </c>
      <c r="Z13" s="68"/>
      <c r="AA13" s="96">
        <v>5.0</v>
      </c>
      <c r="AB13" s="67">
        <f t="shared" si="30"/>
        <v>3.6</v>
      </c>
      <c r="AC13" s="94">
        <v>18.0</v>
      </c>
      <c r="AD13" s="66"/>
      <c r="AE13" s="67" t="str">
        <f t="shared" si="31"/>
        <v>#DIV/0!</v>
      </c>
      <c r="AF13" s="68"/>
      <c r="AG13" s="96">
        <v>2.0</v>
      </c>
      <c r="AH13" s="67">
        <f t="shared" si="32"/>
        <v>3</v>
      </c>
      <c r="AI13" s="94">
        <v>6.0</v>
      </c>
      <c r="AJ13" s="66"/>
      <c r="AK13" s="67" t="str">
        <f t="shared" si="33"/>
        <v>#DIV/0!</v>
      </c>
      <c r="AL13" s="68"/>
      <c r="AM13" s="66"/>
      <c r="AN13" s="67" t="str">
        <f t="shared" si="34"/>
        <v>#DIV/0!</v>
      </c>
      <c r="AO13" s="68"/>
      <c r="AP13" s="66"/>
      <c r="AQ13" s="67" t="str">
        <f t="shared" si="35"/>
        <v>#DIV/0!</v>
      </c>
      <c r="AR13" s="68"/>
      <c r="AS13" s="66"/>
      <c r="AT13" s="67" t="str">
        <f t="shared" si="36"/>
        <v>#DIV/0!</v>
      </c>
      <c r="AU13" s="68"/>
      <c r="AV13" s="96">
        <f t="shared" ref="AV13:AV24" si="46">C13+U13</f>
        <v>5</v>
      </c>
      <c r="AW13" s="104">
        <f t="shared" si="37"/>
        <v>5.06</v>
      </c>
      <c r="AX13" s="105">
        <f t="shared" ref="AX13:AY13" si="38">E13+W13</f>
        <v>25.3</v>
      </c>
      <c r="AY13" s="96">
        <f t="shared" si="38"/>
        <v>0</v>
      </c>
      <c r="AZ13" s="104" t="str">
        <f t="shared" si="39"/>
        <v>#DIV/0!</v>
      </c>
      <c r="BA13" s="106">
        <f t="shared" ref="BA13:BA24" si="48">H13+Z13</f>
        <v>0</v>
      </c>
      <c r="BB13" s="107">
        <f t="shared" ref="BB13:BB24" si="49">AJ13+AA13+I13</f>
        <v>10</v>
      </c>
      <c r="BC13" s="104">
        <f t="shared" si="40"/>
        <v>3.75</v>
      </c>
      <c r="BD13" s="105">
        <f t="shared" ref="BD13:BE13" si="41">AL13+AC13+K13</f>
        <v>37.5</v>
      </c>
      <c r="BE13" s="96">
        <f t="shared" si="41"/>
        <v>0</v>
      </c>
      <c r="BF13" s="104" t="str">
        <f t="shared" si="42"/>
        <v>#DIV/0!</v>
      </c>
      <c r="BG13" s="106">
        <f t="shared" ref="BG13:BH13" si="43">AO13+AF13+N13</f>
        <v>0</v>
      </c>
      <c r="BH13" s="96">
        <f t="shared" si="43"/>
        <v>4</v>
      </c>
      <c r="BI13" s="104">
        <f t="shared" si="44"/>
        <v>3.1</v>
      </c>
      <c r="BJ13" s="106">
        <f t="shared" ref="BJ13:BJ24" si="52">AR13+AI13+Q13</f>
        <v>12.4</v>
      </c>
      <c r="BK13" s="107">
        <f t="shared" ref="BK13:BK24" si="53">AV13+AY13+BB13+BE13+BH13</f>
        <v>19</v>
      </c>
      <c r="BL13" s="104">
        <f t="shared" si="45"/>
        <v>3.957894737</v>
      </c>
      <c r="BM13" s="94">
        <f t="shared" ref="BM13:BM24" si="54">AX13+BA13+BD13+BG13+BJ13</f>
        <v>75.2</v>
      </c>
      <c r="BN13" s="76"/>
    </row>
    <row r="14" ht="14.25" customHeight="1">
      <c r="A14" s="65" t="s">
        <v>24</v>
      </c>
      <c r="B14" s="93">
        <v>20.0</v>
      </c>
      <c r="C14" s="96">
        <v>10.5</v>
      </c>
      <c r="D14" s="67">
        <f t="shared" si="22"/>
        <v>5</v>
      </c>
      <c r="E14" s="94">
        <v>52.5</v>
      </c>
      <c r="F14" s="66"/>
      <c r="G14" s="67" t="str">
        <f t="shared" si="23"/>
        <v>#DIV/0!</v>
      </c>
      <c r="H14" s="68"/>
      <c r="I14" s="96">
        <v>24.9</v>
      </c>
      <c r="J14" s="67">
        <f t="shared" si="24"/>
        <v>4</v>
      </c>
      <c r="K14" s="94">
        <v>99.6</v>
      </c>
      <c r="L14" s="66"/>
      <c r="M14" s="67" t="str">
        <f t="shared" si="25"/>
        <v>#DIV/0!</v>
      </c>
      <c r="N14" s="68"/>
      <c r="O14" s="96">
        <v>10.3</v>
      </c>
      <c r="P14" s="67">
        <f t="shared" si="26"/>
        <v>3.2</v>
      </c>
      <c r="Q14" s="94">
        <v>32.96</v>
      </c>
      <c r="R14" s="66"/>
      <c r="S14" s="67" t="str">
        <f t="shared" si="27"/>
        <v>#DIV/0!</v>
      </c>
      <c r="T14" s="68"/>
      <c r="U14" s="96">
        <v>0.0</v>
      </c>
      <c r="V14" s="67" t="str">
        <f t="shared" si="28"/>
        <v>#DIV/0!</v>
      </c>
      <c r="W14" s="94">
        <v>0.0</v>
      </c>
      <c r="X14" s="66"/>
      <c r="Y14" s="67" t="str">
        <f t="shared" si="29"/>
        <v>#DIV/0!</v>
      </c>
      <c r="Z14" s="68"/>
      <c r="AA14" s="96">
        <v>0.0</v>
      </c>
      <c r="AB14" s="67" t="str">
        <f t="shared" si="30"/>
        <v>#DIV/0!</v>
      </c>
      <c r="AC14" s="94">
        <v>0.0</v>
      </c>
      <c r="AD14" s="66"/>
      <c r="AE14" s="67" t="str">
        <f t="shared" si="31"/>
        <v>#DIV/0!</v>
      </c>
      <c r="AF14" s="68"/>
      <c r="AG14" s="96">
        <v>0.0</v>
      </c>
      <c r="AH14" s="67" t="str">
        <f t="shared" si="32"/>
        <v>#DIV/0!</v>
      </c>
      <c r="AI14" s="94">
        <v>0.0</v>
      </c>
      <c r="AJ14" s="66"/>
      <c r="AK14" s="67" t="str">
        <f t="shared" si="33"/>
        <v>#DIV/0!</v>
      </c>
      <c r="AL14" s="68"/>
      <c r="AM14" s="66"/>
      <c r="AN14" s="67" t="str">
        <f t="shared" si="34"/>
        <v>#DIV/0!</v>
      </c>
      <c r="AO14" s="68"/>
      <c r="AP14" s="66"/>
      <c r="AQ14" s="67" t="str">
        <f t="shared" si="35"/>
        <v>#DIV/0!</v>
      </c>
      <c r="AR14" s="68"/>
      <c r="AS14" s="66"/>
      <c r="AT14" s="67" t="str">
        <f t="shared" si="36"/>
        <v>#DIV/0!</v>
      </c>
      <c r="AU14" s="68"/>
      <c r="AV14" s="96">
        <f t="shared" si="46"/>
        <v>10.5</v>
      </c>
      <c r="AW14" s="104">
        <f t="shared" si="37"/>
        <v>5</v>
      </c>
      <c r="AX14" s="105">
        <f t="shared" ref="AX14:AY14" si="47">E14+W14</f>
        <v>52.5</v>
      </c>
      <c r="AY14" s="96">
        <f t="shared" si="47"/>
        <v>0</v>
      </c>
      <c r="AZ14" s="104" t="str">
        <f t="shared" si="39"/>
        <v>#DIV/0!</v>
      </c>
      <c r="BA14" s="106">
        <f t="shared" si="48"/>
        <v>0</v>
      </c>
      <c r="BB14" s="107">
        <f t="shared" si="49"/>
        <v>24.9</v>
      </c>
      <c r="BC14" s="104">
        <f t="shared" si="40"/>
        <v>4</v>
      </c>
      <c r="BD14" s="105">
        <f t="shared" ref="BD14:BE14" si="50">AL14+AC14+K14</f>
        <v>99.6</v>
      </c>
      <c r="BE14" s="96">
        <f t="shared" si="50"/>
        <v>0</v>
      </c>
      <c r="BF14" s="104" t="str">
        <f t="shared" si="42"/>
        <v>#DIV/0!</v>
      </c>
      <c r="BG14" s="106">
        <f t="shared" ref="BG14:BH14" si="51">AO14+AF14+N14</f>
        <v>0</v>
      </c>
      <c r="BH14" s="96">
        <f t="shared" si="51"/>
        <v>10.3</v>
      </c>
      <c r="BI14" s="104">
        <f t="shared" si="44"/>
        <v>3.2</v>
      </c>
      <c r="BJ14" s="106">
        <f t="shared" si="52"/>
        <v>32.96</v>
      </c>
      <c r="BK14" s="107">
        <f t="shared" si="53"/>
        <v>45.7</v>
      </c>
      <c r="BL14" s="104">
        <f t="shared" si="45"/>
        <v>4.049452954</v>
      </c>
      <c r="BM14" s="94">
        <f t="shared" si="54"/>
        <v>185.06</v>
      </c>
      <c r="BN14" s="76"/>
    </row>
    <row r="15" ht="14.25" customHeight="1">
      <c r="A15" s="65" t="s">
        <v>25</v>
      </c>
      <c r="B15" s="93">
        <v>43.0</v>
      </c>
      <c r="C15" s="96">
        <v>28.8</v>
      </c>
      <c r="D15" s="67">
        <f t="shared" si="22"/>
        <v>5.3</v>
      </c>
      <c r="E15" s="94">
        <v>152.64</v>
      </c>
      <c r="F15" s="66"/>
      <c r="G15" s="67" t="str">
        <f t="shared" si="23"/>
        <v>#DIV/0!</v>
      </c>
      <c r="H15" s="68"/>
      <c r="I15" s="96">
        <v>67.4</v>
      </c>
      <c r="J15" s="67">
        <f t="shared" si="24"/>
        <v>4.2</v>
      </c>
      <c r="K15" s="94">
        <v>283.08</v>
      </c>
      <c r="L15" s="66"/>
      <c r="M15" s="67" t="str">
        <f t="shared" si="25"/>
        <v>#DIV/0!</v>
      </c>
      <c r="N15" s="68"/>
      <c r="O15" s="66"/>
      <c r="P15" s="67" t="str">
        <f t="shared" si="26"/>
        <v>#DIV/0!</v>
      </c>
      <c r="Q15" s="94">
        <v>0.0</v>
      </c>
      <c r="R15" s="66"/>
      <c r="S15" s="67" t="str">
        <f t="shared" si="27"/>
        <v>#DIV/0!</v>
      </c>
      <c r="T15" s="68"/>
      <c r="U15" s="96">
        <v>12.0</v>
      </c>
      <c r="V15" s="67">
        <f t="shared" si="28"/>
        <v>5.2</v>
      </c>
      <c r="W15" s="94">
        <v>62.4</v>
      </c>
      <c r="X15" s="66"/>
      <c r="Y15" s="67" t="str">
        <f t="shared" si="29"/>
        <v>#DIV/0!</v>
      </c>
      <c r="Z15" s="68"/>
      <c r="AA15" s="96">
        <v>22.6</v>
      </c>
      <c r="AB15" s="67">
        <f t="shared" si="30"/>
        <v>4</v>
      </c>
      <c r="AC15" s="94">
        <v>90.4</v>
      </c>
      <c r="AD15" s="66"/>
      <c r="AE15" s="67" t="str">
        <f t="shared" si="31"/>
        <v>#DIV/0!</v>
      </c>
      <c r="AF15" s="68"/>
      <c r="AG15" s="66"/>
      <c r="AH15" s="67" t="str">
        <f t="shared" si="32"/>
        <v>#DIV/0!</v>
      </c>
      <c r="AI15" s="94">
        <v>0.0</v>
      </c>
      <c r="AJ15" s="66"/>
      <c r="AK15" s="67" t="str">
        <f t="shared" si="33"/>
        <v>#DIV/0!</v>
      </c>
      <c r="AL15" s="68"/>
      <c r="AM15" s="66"/>
      <c r="AN15" s="67" t="str">
        <f t="shared" si="34"/>
        <v>#DIV/0!</v>
      </c>
      <c r="AO15" s="68"/>
      <c r="AP15" s="66"/>
      <c r="AQ15" s="67" t="str">
        <f t="shared" si="35"/>
        <v>#DIV/0!</v>
      </c>
      <c r="AR15" s="68"/>
      <c r="AS15" s="66"/>
      <c r="AT15" s="67" t="str">
        <f t="shared" si="36"/>
        <v>#DIV/0!</v>
      </c>
      <c r="AU15" s="68"/>
      <c r="AV15" s="96">
        <f t="shared" si="46"/>
        <v>40.8</v>
      </c>
      <c r="AW15" s="104">
        <f t="shared" si="37"/>
        <v>5.270588235</v>
      </c>
      <c r="AX15" s="105">
        <f t="shared" ref="AX15:AY15" si="55">E15+W15</f>
        <v>215.04</v>
      </c>
      <c r="AY15" s="96">
        <f t="shared" si="55"/>
        <v>0</v>
      </c>
      <c r="AZ15" s="104" t="str">
        <f t="shared" si="39"/>
        <v>#DIV/0!</v>
      </c>
      <c r="BA15" s="106">
        <f t="shared" si="48"/>
        <v>0</v>
      </c>
      <c r="BB15" s="107">
        <f t="shared" si="49"/>
        <v>90</v>
      </c>
      <c r="BC15" s="104">
        <f t="shared" si="40"/>
        <v>4.149777778</v>
      </c>
      <c r="BD15" s="105">
        <f t="shared" ref="BD15:BE15" si="56">AL15+AC15+K15</f>
        <v>373.48</v>
      </c>
      <c r="BE15" s="96">
        <f t="shared" si="56"/>
        <v>0</v>
      </c>
      <c r="BF15" s="104" t="str">
        <f t="shared" si="42"/>
        <v>#DIV/0!</v>
      </c>
      <c r="BG15" s="106">
        <f t="shared" ref="BG15:BH15" si="57">AO15+AF15+N15</f>
        <v>0</v>
      </c>
      <c r="BH15" s="96">
        <f t="shared" si="57"/>
        <v>0</v>
      </c>
      <c r="BI15" s="104" t="str">
        <f t="shared" si="44"/>
        <v>#DIV/0!</v>
      </c>
      <c r="BJ15" s="106">
        <f t="shared" si="52"/>
        <v>0</v>
      </c>
      <c r="BK15" s="107">
        <f t="shared" si="53"/>
        <v>130.8</v>
      </c>
      <c r="BL15" s="104">
        <f t="shared" si="45"/>
        <v>4.499388379</v>
      </c>
      <c r="BM15" s="94">
        <f t="shared" si="54"/>
        <v>588.52</v>
      </c>
      <c r="BN15" s="76"/>
    </row>
    <row r="16" ht="14.25" customHeight="1">
      <c r="A16" s="65" t="s">
        <v>26</v>
      </c>
      <c r="B16" s="93">
        <v>54.0</v>
      </c>
      <c r="C16" s="96">
        <v>3.0</v>
      </c>
      <c r="D16" s="67">
        <f t="shared" si="22"/>
        <v>5</v>
      </c>
      <c r="E16" s="94">
        <v>15.0</v>
      </c>
      <c r="F16" s="66"/>
      <c r="G16" s="67" t="str">
        <f t="shared" si="23"/>
        <v>#DIV/0!</v>
      </c>
      <c r="H16" s="68"/>
      <c r="I16" s="96">
        <v>24.5</v>
      </c>
      <c r="J16" s="67">
        <f t="shared" si="24"/>
        <v>3.9</v>
      </c>
      <c r="K16" s="94">
        <v>95.55</v>
      </c>
      <c r="L16" s="66"/>
      <c r="M16" s="67" t="str">
        <f t="shared" si="25"/>
        <v>#DIV/0!</v>
      </c>
      <c r="N16" s="68"/>
      <c r="O16" s="96">
        <v>2.8</v>
      </c>
      <c r="P16" s="67">
        <f t="shared" si="26"/>
        <v>3.2</v>
      </c>
      <c r="Q16" s="94">
        <v>8.96</v>
      </c>
      <c r="R16" s="66"/>
      <c r="S16" s="67" t="str">
        <f t="shared" si="27"/>
        <v>#DIV/0!</v>
      </c>
      <c r="T16" s="68"/>
      <c r="U16" s="96">
        <v>13.4</v>
      </c>
      <c r="V16" s="67">
        <f t="shared" si="28"/>
        <v>4.9</v>
      </c>
      <c r="W16" s="94">
        <v>65.66</v>
      </c>
      <c r="X16" s="66"/>
      <c r="Y16" s="67" t="str">
        <f t="shared" si="29"/>
        <v>#DIV/0!</v>
      </c>
      <c r="Z16" s="68"/>
      <c r="AA16" s="96">
        <v>101.3</v>
      </c>
      <c r="AB16" s="67">
        <f t="shared" si="30"/>
        <v>3.7</v>
      </c>
      <c r="AC16" s="94">
        <v>374.81</v>
      </c>
      <c r="AD16" s="66"/>
      <c r="AE16" s="67" t="str">
        <f t="shared" si="31"/>
        <v>#DIV/0!</v>
      </c>
      <c r="AF16" s="68"/>
      <c r="AG16" s="96">
        <v>16.0</v>
      </c>
      <c r="AH16" s="67">
        <f t="shared" si="32"/>
        <v>3.2</v>
      </c>
      <c r="AI16" s="94">
        <v>51.2</v>
      </c>
      <c r="AJ16" s="66"/>
      <c r="AK16" s="67" t="str">
        <f t="shared" si="33"/>
        <v>#DIV/0!</v>
      </c>
      <c r="AL16" s="68"/>
      <c r="AM16" s="66"/>
      <c r="AN16" s="67" t="str">
        <f t="shared" si="34"/>
        <v>#DIV/0!</v>
      </c>
      <c r="AO16" s="68"/>
      <c r="AP16" s="66"/>
      <c r="AQ16" s="67" t="str">
        <f t="shared" si="35"/>
        <v>#DIV/0!</v>
      </c>
      <c r="AR16" s="68"/>
      <c r="AS16" s="66"/>
      <c r="AT16" s="67" t="str">
        <f t="shared" si="36"/>
        <v>#DIV/0!</v>
      </c>
      <c r="AU16" s="68"/>
      <c r="AV16" s="96">
        <f t="shared" si="46"/>
        <v>16.4</v>
      </c>
      <c r="AW16" s="104">
        <f t="shared" si="37"/>
        <v>4.918292683</v>
      </c>
      <c r="AX16" s="105">
        <f t="shared" ref="AX16:AY16" si="58">E16+W16</f>
        <v>80.66</v>
      </c>
      <c r="AY16" s="96">
        <f t="shared" si="58"/>
        <v>0</v>
      </c>
      <c r="AZ16" s="104" t="str">
        <f t="shared" si="39"/>
        <v>#DIV/0!</v>
      </c>
      <c r="BA16" s="106">
        <f t="shared" si="48"/>
        <v>0</v>
      </c>
      <c r="BB16" s="107">
        <f t="shared" si="49"/>
        <v>125.8</v>
      </c>
      <c r="BC16" s="104">
        <f t="shared" si="40"/>
        <v>3.738950715</v>
      </c>
      <c r="BD16" s="105">
        <f t="shared" ref="BD16:BE16" si="59">AL16+AC16+K16</f>
        <v>470.36</v>
      </c>
      <c r="BE16" s="96">
        <f t="shared" si="59"/>
        <v>0</v>
      </c>
      <c r="BF16" s="104" t="str">
        <f t="shared" si="42"/>
        <v>#DIV/0!</v>
      </c>
      <c r="BG16" s="106">
        <f t="shared" ref="BG16:BH16" si="60">AO16+AF16+N16</f>
        <v>0</v>
      </c>
      <c r="BH16" s="96">
        <f t="shared" si="60"/>
        <v>18.8</v>
      </c>
      <c r="BI16" s="104">
        <f t="shared" si="44"/>
        <v>3.2</v>
      </c>
      <c r="BJ16" s="106">
        <f t="shared" si="52"/>
        <v>60.16</v>
      </c>
      <c r="BK16" s="107">
        <f t="shared" si="53"/>
        <v>161</v>
      </c>
      <c r="BL16" s="104">
        <f t="shared" si="45"/>
        <v>3.796149068</v>
      </c>
      <c r="BM16" s="94">
        <f t="shared" si="54"/>
        <v>611.18</v>
      </c>
      <c r="BN16" s="76"/>
    </row>
    <row r="17" ht="14.25" customHeight="1">
      <c r="A17" s="65" t="s">
        <v>27</v>
      </c>
      <c r="B17" s="93">
        <v>11.0</v>
      </c>
      <c r="C17" s="96">
        <v>7.0</v>
      </c>
      <c r="D17" s="67">
        <f t="shared" si="22"/>
        <v>5</v>
      </c>
      <c r="E17" s="94">
        <v>35.0</v>
      </c>
      <c r="F17" s="66"/>
      <c r="G17" s="67" t="str">
        <f t="shared" si="23"/>
        <v>#DIV/0!</v>
      </c>
      <c r="H17" s="68"/>
      <c r="I17" s="96">
        <v>8.5</v>
      </c>
      <c r="J17" s="67">
        <f t="shared" si="24"/>
        <v>3.7</v>
      </c>
      <c r="K17" s="94">
        <v>31.45</v>
      </c>
      <c r="L17" s="66"/>
      <c r="M17" s="67" t="str">
        <f t="shared" si="25"/>
        <v>#DIV/0!</v>
      </c>
      <c r="N17" s="68"/>
      <c r="O17" s="96">
        <v>6.0</v>
      </c>
      <c r="P17" s="67">
        <f t="shared" si="26"/>
        <v>3.2</v>
      </c>
      <c r="Q17" s="94">
        <v>19.2</v>
      </c>
      <c r="R17" s="66"/>
      <c r="S17" s="67" t="str">
        <f t="shared" si="27"/>
        <v>#DIV/0!</v>
      </c>
      <c r="T17" s="68"/>
      <c r="U17" s="66"/>
      <c r="V17" s="67" t="str">
        <f t="shared" si="28"/>
        <v>#DIV/0!</v>
      </c>
      <c r="W17" s="94">
        <v>0.0</v>
      </c>
      <c r="X17" s="66"/>
      <c r="Y17" s="67" t="str">
        <f t="shared" si="29"/>
        <v>#DIV/0!</v>
      </c>
      <c r="Z17" s="68"/>
      <c r="AA17" s="96">
        <v>9.0</v>
      </c>
      <c r="AB17" s="67">
        <f t="shared" si="30"/>
        <v>3.9</v>
      </c>
      <c r="AC17" s="94">
        <v>35.1</v>
      </c>
      <c r="AD17" s="66"/>
      <c r="AE17" s="67" t="str">
        <f t="shared" si="31"/>
        <v>#DIV/0!</v>
      </c>
      <c r="AF17" s="68"/>
      <c r="AG17" s="66"/>
      <c r="AH17" s="67" t="str">
        <f t="shared" si="32"/>
        <v>#DIV/0!</v>
      </c>
      <c r="AI17" s="94">
        <v>0.0</v>
      </c>
      <c r="AJ17" s="66"/>
      <c r="AK17" s="67" t="str">
        <f t="shared" si="33"/>
        <v>#DIV/0!</v>
      </c>
      <c r="AL17" s="68"/>
      <c r="AM17" s="66"/>
      <c r="AN17" s="67" t="str">
        <f t="shared" si="34"/>
        <v>#DIV/0!</v>
      </c>
      <c r="AO17" s="68"/>
      <c r="AP17" s="66"/>
      <c r="AQ17" s="67" t="str">
        <f t="shared" si="35"/>
        <v>#DIV/0!</v>
      </c>
      <c r="AR17" s="68"/>
      <c r="AS17" s="66"/>
      <c r="AT17" s="67" t="str">
        <f t="shared" si="36"/>
        <v>#DIV/0!</v>
      </c>
      <c r="AU17" s="68"/>
      <c r="AV17" s="96">
        <f t="shared" si="46"/>
        <v>7</v>
      </c>
      <c r="AW17" s="104">
        <f t="shared" si="37"/>
        <v>5</v>
      </c>
      <c r="AX17" s="105">
        <f t="shared" ref="AX17:AY17" si="61">E17+W17</f>
        <v>35</v>
      </c>
      <c r="AY17" s="96">
        <f t="shared" si="61"/>
        <v>0</v>
      </c>
      <c r="AZ17" s="104" t="str">
        <f t="shared" si="39"/>
        <v>#DIV/0!</v>
      </c>
      <c r="BA17" s="106">
        <f t="shared" si="48"/>
        <v>0</v>
      </c>
      <c r="BB17" s="107">
        <f t="shared" si="49"/>
        <v>17.5</v>
      </c>
      <c r="BC17" s="104">
        <f t="shared" si="40"/>
        <v>3.802857143</v>
      </c>
      <c r="BD17" s="105">
        <f t="shared" ref="BD17:BE17" si="62">AL17+AC17+K17</f>
        <v>66.55</v>
      </c>
      <c r="BE17" s="96">
        <f t="shared" si="62"/>
        <v>0</v>
      </c>
      <c r="BF17" s="104" t="str">
        <f t="shared" si="42"/>
        <v>#DIV/0!</v>
      </c>
      <c r="BG17" s="106">
        <f t="shared" ref="BG17:BH17" si="63">AO17+AF17+N17</f>
        <v>0</v>
      </c>
      <c r="BH17" s="96">
        <f t="shared" si="63"/>
        <v>6</v>
      </c>
      <c r="BI17" s="104">
        <f t="shared" si="44"/>
        <v>3.2</v>
      </c>
      <c r="BJ17" s="106">
        <f t="shared" si="52"/>
        <v>19.2</v>
      </c>
      <c r="BK17" s="107">
        <f t="shared" si="53"/>
        <v>30.5</v>
      </c>
      <c r="BL17" s="104">
        <f t="shared" si="45"/>
        <v>3.959016393</v>
      </c>
      <c r="BM17" s="94">
        <f t="shared" si="54"/>
        <v>120.75</v>
      </c>
      <c r="BN17" s="76"/>
    </row>
    <row r="18" ht="14.25" customHeight="1">
      <c r="A18" s="65" t="s">
        <v>28</v>
      </c>
      <c r="B18" s="93">
        <v>24.0</v>
      </c>
      <c r="C18" s="96">
        <v>10.3</v>
      </c>
      <c r="D18" s="67">
        <f t="shared" si="22"/>
        <v>5</v>
      </c>
      <c r="E18" s="94">
        <v>51.5</v>
      </c>
      <c r="F18" s="66"/>
      <c r="G18" s="67" t="str">
        <f t="shared" si="23"/>
        <v>#DIV/0!</v>
      </c>
      <c r="H18" s="68"/>
      <c r="I18" s="96">
        <v>34.5</v>
      </c>
      <c r="J18" s="67">
        <f t="shared" si="24"/>
        <v>4</v>
      </c>
      <c r="K18" s="94">
        <v>138.0</v>
      </c>
      <c r="L18" s="66"/>
      <c r="M18" s="67" t="str">
        <f t="shared" si="25"/>
        <v>#DIV/0!</v>
      </c>
      <c r="N18" s="68"/>
      <c r="O18" s="96">
        <v>2.0</v>
      </c>
      <c r="P18" s="67">
        <f t="shared" si="26"/>
        <v>3.2</v>
      </c>
      <c r="Q18" s="94">
        <v>6.4</v>
      </c>
      <c r="R18" s="66"/>
      <c r="S18" s="67" t="str">
        <f t="shared" si="27"/>
        <v>#DIV/0!</v>
      </c>
      <c r="T18" s="68"/>
      <c r="U18" s="96">
        <v>14.0</v>
      </c>
      <c r="V18" s="67">
        <f t="shared" si="28"/>
        <v>4.8</v>
      </c>
      <c r="W18" s="94">
        <v>67.2</v>
      </c>
      <c r="X18" s="66"/>
      <c r="Y18" s="67" t="str">
        <f t="shared" si="29"/>
        <v>#DIV/0!</v>
      </c>
      <c r="Z18" s="68"/>
      <c r="AA18" s="96">
        <v>6.0</v>
      </c>
      <c r="AB18" s="67">
        <f t="shared" si="30"/>
        <v>3.7</v>
      </c>
      <c r="AC18" s="94">
        <v>22.2</v>
      </c>
      <c r="AD18" s="66"/>
      <c r="AE18" s="67" t="str">
        <f t="shared" si="31"/>
        <v>#DIV/0!</v>
      </c>
      <c r="AF18" s="68"/>
      <c r="AG18" s="66"/>
      <c r="AH18" s="67" t="str">
        <f t="shared" si="32"/>
        <v>#DIV/0!</v>
      </c>
      <c r="AI18" s="94">
        <v>0.0</v>
      </c>
      <c r="AJ18" s="66"/>
      <c r="AK18" s="67" t="str">
        <f t="shared" si="33"/>
        <v>#DIV/0!</v>
      </c>
      <c r="AL18" s="68"/>
      <c r="AM18" s="66"/>
      <c r="AN18" s="67" t="str">
        <f t="shared" si="34"/>
        <v>#DIV/0!</v>
      </c>
      <c r="AO18" s="68"/>
      <c r="AP18" s="66"/>
      <c r="AQ18" s="67" t="str">
        <f t="shared" si="35"/>
        <v>#DIV/0!</v>
      </c>
      <c r="AR18" s="68"/>
      <c r="AS18" s="66"/>
      <c r="AT18" s="67" t="str">
        <f t="shared" si="36"/>
        <v>#DIV/0!</v>
      </c>
      <c r="AU18" s="68"/>
      <c r="AV18" s="96">
        <f t="shared" si="46"/>
        <v>24.3</v>
      </c>
      <c r="AW18" s="104">
        <f t="shared" si="37"/>
        <v>4.884773663</v>
      </c>
      <c r="AX18" s="105">
        <f t="shared" ref="AX18:AY18" si="64">E18+W18</f>
        <v>118.7</v>
      </c>
      <c r="AY18" s="96">
        <f t="shared" si="64"/>
        <v>0</v>
      </c>
      <c r="AZ18" s="104" t="str">
        <f t="shared" si="39"/>
        <v>#DIV/0!</v>
      </c>
      <c r="BA18" s="106">
        <f t="shared" si="48"/>
        <v>0</v>
      </c>
      <c r="BB18" s="107">
        <f t="shared" si="49"/>
        <v>40.5</v>
      </c>
      <c r="BC18" s="104">
        <f t="shared" si="40"/>
        <v>3.955555556</v>
      </c>
      <c r="BD18" s="105">
        <f t="shared" ref="BD18:BE18" si="65">AL18+AC18+K18</f>
        <v>160.2</v>
      </c>
      <c r="BE18" s="96">
        <f t="shared" si="65"/>
        <v>0</v>
      </c>
      <c r="BF18" s="104" t="str">
        <f t="shared" si="42"/>
        <v>#DIV/0!</v>
      </c>
      <c r="BG18" s="106">
        <f t="shared" ref="BG18:BH18" si="66">AO18+AF18+N18</f>
        <v>0</v>
      </c>
      <c r="BH18" s="96">
        <f t="shared" si="66"/>
        <v>2</v>
      </c>
      <c r="BI18" s="104">
        <f t="shared" si="44"/>
        <v>3.2</v>
      </c>
      <c r="BJ18" s="106">
        <f t="shared" si="52"/>
        <v>6.4</v>
      </c>
      <c r="BK18" s="107">
        <f t="shared" si="53"/>
        <v>66.8</v>
      </c>
      <c r="BL18" s="104">
        <f t="shared" si="45"/>
        <v>4.270958084</v>
      </c>
      <c r="BM18" s="94">
        <f t="shared" si="54"/>
        <v>285.3</v>
      </c>
      <c r="BN18" s="76"/>
    </row>
    <row r="19" ht="14.25" customHeight="1">
      <c r="A19" s="65" t="s">
        <v>29</v>
      </c>
      <c r="B19" s="93">
        <v>0.0</v>
      </c>
      <c r="C19" s="96">
        <v>0.0</v>
      </c>
      <c r="D19" s="67" t="str">
        <f t="shared" si="22"/>
        <v>#DIV/0!</v>
      </c>
      <c r="E19" s="94">
        <v>0.0</v>
      </c>
      <c r="F19" s="66"/>
      <c r="G19" s="67" t="str">
        <f t="shared" si="23"/>
        <v>#DIV/0!</v>
      </c>
      <c r="H19" s="68"/>
      <c r="I19" s="96">
        <v>0.0</v>
      </c>
      <c r="J19" s="67" t="str">
        <f t="shared" si="24"/>
        <v>#DIV/0!</v>
      </c>
      <c r="K19" s="94">
        <v>0.0</v>
      </c>
      <c r="L19" s="66"/>
      <c r="M19" s="67" t="str">
        <f t="shared" si="25"/>
        <v>#DIV/0!</v>
      </c>
      <c r="N19" s="68"/>
      <c r="O19" s="96">
        <v>0.0</v>
      </c>
      <c r="P19" s="67" t="str">
        <f t="shared" si="26"/>
        <v>#DIV/0!</v>
      </c>
      <c r="Q19" s="94">
        <v>0.0</v>
      </c>
      <c r="R19" s="66"/>
      <c r="S19" s="67" t="str">
        <f t="shared" si="27"/>
        <v>#DIV/0!</v>
      </c>
      <c r="T19" s="68"/>
      <c r="U19" s="96">
        <v>0.0</v>
      </c>
      <c r="V19" s="67" t="str">
        <f t="shared" si="28"/>
        <v>#DIV/0!</v>
      </c>
      <c r="W19" s="94">
        <v>0.0</v>
      </c>
      <c r="X19" s="66"/>
      <c r="Y19" s="67" t="str">
        <f t="shared" si="29"/>
        <v>#DIV/0!</v>
      </c>
      <c r="Z19" s="68"/>
      <c r="AA19" s="96">
        <v>0.0</v>
      </c>
      <c r="AB19" s="67" t="str">
        <f t="shared" si="30"/>
        <v>#DIV/0!</v>
      </c>
      <c r="AC19" s="94">
        <v>0.0</v>
      </c>
      <c r="AD19" s="66"/>
      <c r="AE19" s="67" t="str">
        <f t="shared" si="31"/>
        <v>#DIV/0!</v>
      </c>
      <c r="AF19" s="68"/>
      <c r="AG19" s="96">
        <v>0.0</v>
      </c>
      <c r="AH19" s="67" t="str">
        <f t="shared" si="32"/>
        <v>#DIV/0!</v>
      </c>
      <c r="AI19" s="94">
        <v>0.0</v>
      </c>
      <c r="AJ19" s="66"/>
      <c r="AK19" s="67" t="str">
        <f t="shared" si="33"/>
        <v>#DIV/0!</v>
      </c>
      <c r="AL19" s="68"/>
      <c r="AM19" s="66"/>
      <c r="AN19" s="67" t="str">
        <f t="shared" si="34"/>
        <v>#DIV/0!</v>
      </c>
      <c r="AO19" s="68"/>
      <c r="AP19" s="66"/>
      <c r="AQ19" s="67" t="str">
        <f t="shared" si="35"/>
        <v>#DIV/0!</v>
      </c>
      <c r="AR19" s="68"/>
      <c r="AS19" s="66"/>
      <c r="AT19" s="67" t="str">
        <f t="shared" si="36"/>
        <v>#DIV/0!</v>
      </c>
      <c r="AU19" s="68"/>
      <c r="AV19" s="96">
        <f t="shared" si="46"/>
        <v>0</v>
      </c>
      <c r="AW19" s="104" t="str">
        <f t="shared" si="37"/>
        <v>#DIV/0!</v>
      </c>
      <c r="AX19" s="105">
        <f t="shared" ref="AX19:AY19" si="67">E19+W19</f>
        <v>0</v>
      </c>
      <c r="AY19" s="96">
        <f t="shared" si="67"/>
        <v>0</v>
      </c>
      <c r="AZ19" s="104" t="str">
        <f t="shared" si="39"/>
        <v>#DIV/0!</v>
      </c>
      <c r="BA19" s="106">
        <f t="shared" si="48"/>
        <v>0</v>
      </c>
      <c r="BB19" s="107">
        <f t="shared" si="49"/>
        <v>0</v>
      </c>
      <c r="BC19" s="104" t="str">
        <f t="shared" si="40"/>
        <v>#DIV/0!</v>
      </c>
      <c r="BD19" s="105">
        <f t="shared" ref="BD19:BE19" si="68">AL19+AC19+K19</f>
        <v>0</v>
      </c>
      <c r="BE19" s="96">
        <f t="shared" si="68"/>
        <v>0</v>
      </c>
      <c r="BF19" s="104" t="str">
        <f t="shared" si="42"/>
        <v>#DIV/0!</v>
      </c>
      <c r="BG19" s="106">
        <f t="shared" ref="BG19:BH19" si="69">AO19+AF19+N19</f>
        <v>0</v>
      </c>
      <c r="BH19" s="96">
        <f t="shared" si="69"/>
        <v>0</v>
      </c>
      <c r="BI19" s="104" t="str">
        <f t="shared" si="44"/>
        <v>#DIV/0!</v>
      </c>
      <c r="BJ19" s="106">
        <f t="shared" si="52"/>
        <v>0</v>
      </c>
      <c r="BK19" s="107">
        <f t="shared" si="53"/>
        <v>0</v>
      </c>
      <c r="BL19" s="104" t="str">
        <f t="shared" si="45"/>
        <v>#DIV/0!</v>
      </c>
      <c r="BM19" s="94">
        <f t="shared" si="54"/>
        <v>0</v>
      </c>
      <c r="BN19" s="76"/>
    </row>
    <row r="20" ht="14.25" customHeight="1">
      <c r="A20" s="65" t="s">
        <v>30</v>
      </c>
      <c r="B20" s="93">
        <v>20.0</v>
      </c>
      <c r="C20" s="96">
        <v>13.0</v>
      </c>
      <c r="D20" s="67">
        <f t="shared" si="22"/>
        <v>5.1</v>
      </c>
      <c r="E20" s="94">
        <v>66.3</v>
      </c>
      <c r="F20" s="66"/>
      <c r="G20" s="67" t="str">
        <f t="shared" si="23"/>
        <v>#DIV/0!</v>
      </c>
      <c r="H20" s="68"/>
      <c r="I20" s="96">
        <v>24.0</v>
      </c>
      <c r="J20" s="67">
        <f t="shared" si="24"/>
        <v>4</v>
      </c>
      <c r="K20" s="94">
        <v>96.0</v>
      </c>
      <c r="L20" s="66"/>
      <c r="M20" s="67" t="str">
        <f t="shared" si="25"/>
        <v>#DIV/0!</v>
      </c>
      <c r="N20" s="68"/>
      <c r="O20" s="66"/>
      <c r="P20" s="67" t="str">
        <f t="shared" si="26"/>
        <v>#DIV/0!</v>
      </c>
      <c r="Q20" s="94">
        <v>0.0</v>
      </c>
      <c r="R20" s="66"/>
      <c r="S20" s="67" t="str">
        <f t="shared" si="27"/>
        <v>#DIV/0!</v>
      </c>
      <c r="T20" s="68"/>
      <c r="U20" s="96">
        <v>10.0</v>
      </c>
      <c r="V20" s="67">
        <f t="shared" si="28"/>
        <v>5.1</v>
      </c>
      <c r="W20" s="94">
        <v>51.0</v>
      </c>
      <c r="X20" s="66"/>
      <c r="Y20" s="67" t="str">
        <f t="shared" si="29"/>
        <v>#DIV/0!</v>
      </c>
      <c r="Z20" s="68"/>
      <c r="AA20" s="96">
        <v>11.0</v>
      </c>
      <c r="AB20" s="67">
        <f t="shared" si="30"/>
        <v>3.8</v>
      </c>
      <c r="AC20" s="94">
        <v>41.8</v>
      </c>
      <c r="AD20" s="66"/>
      <c r="AE20" s="67" t="str">
        <f t="shared" si="31"/>
        <v>#DIV/0!</v>
      </c>
      <c r="AF20" s="68"/>
      <c r="AG20" s="66"/>
      <c r="AH20" s="67" t="str">
        <f t="shared" si="32"/>
        <v>#DIV/0!</v>
      </c>
      <c r="AI20" s="94">
        <v>0.0</v>
      </c>
      <c r="AJ20" s="66"/>
      <c r="AK20" s="67" t="str">
        <f t="shared" si="33"/>
        <v>#DIV/0!</v>
      </c>
      <c r="AL20" s="68"/>
      <c r="AM20" s="66"/>
      <c r="AN20" s="67" t="str">
        <f t="shared" si="34"/>
        <v>#DIV/0!</v>
      </c>
      <c r="AO20" s="68"/>
      <c r="AP20" s="66"/>
      <c r="AQ20" s="67" t="str">
        <f t="shared" si="35"/>
        <v>#DIV/0!</v>
      </c>
      <c r="AR20" s="68"/>
      <c r="AS20" s="66"/>
      <c r="AT20" s="67" t="str">
        <f t="shared" si="36"/>
        <v>#DIV/0!</v>
      </c>
      <c r="AU20" s="68"/>
      <c r="AV20" s="96">
        <f t="shared" si="46"/>
        <v>23</v>
      </c>
      <c r="AW20" s="104">
        <f t="shared" si="37"/>
        <v>5.1</v>
      </c>
      <c r="AX20" s="105">
        <f t="shared" ref="AX20:AY20" si="70">E20+W20</f>
        <v>117.3</v>
      </c>
      <c r="AY20" s="96">
        <f t="shared" si="70"/>
        <v>0</v>
      </c>
      <c r="AZ20" s="104" t="str">
        <f t="shared" si="39"/>
        <v>#DIV/0!</v>
      </c>
      <c r="BA20" s="106">
        <f t="shared" si="48"/>
        <v>0</v>
      </c>
      <c r="BB20" s="107">
        <f t="shared" si="49"/>
        <v>35</v>
      </c>
      <c r="BC20" s="104">
        <f t="shared" si="40"/>
        <v>3.937142857</v>
      </c>
      <c r="BD20" s="105">
        <f t="shared" ref="BD20:BE20" si="71">AL20+AC20+K20</f>
        <v>137.8</v>
      </c>
      <c r="BE20" s="96">
        <f t="shared" si="71"/>
        <v>0</v>
      </c>
      <c r="BF20" s="104" t="str">
        <f t="shared" si="42"/>
        <v>#DIV/0!</v>
      </c>
      <c r="BG20" s="106">
        <f t="shared" ref="BG20:BH20" si="72">AO20+AF20+N20</f>
        <v>0</v>
      </c>
      <c r="BH20" s="96">
        <f t="shared" si="72"/>
        <v>0</v>
      </c>
      <c r="BI20" s="104" t="str">
        <f t="shared" si="44"/>
        <v>#DIV/0!</v>
      </c>
      <c r="BJ20" s="106">
        <f t="shared" si="52"/>
        <v>0</v>
      </c>
      <c r="BK20" s="107">
        <f t="shared" si="53"/>
        <v>58</v>
      </c>
      <c r="BL20" s="104">
        <f t="shared" si="45"/>
        <v>4.398275862</v>
      </c>
      <c r="BM20" s="94">
        <f t="shared" si="54"/>
        <v>255.1</v>
      </c>
      <c r="BN20" s="76"/>
    </row>
    <row r="21" ht="14.25" customHeight="1">
      <c r="A21" s="65" t="s">
        <v>31</v>
      </c>
      <c r="B21" s="93">
        <v>42.0</v>
      </c>
      <c r="C21" s="96">
        <v>36.4</v>
      </c>
      <c r="D21" s="67">
        <f t="shared" si="22"/>
        <v>5.5</v>
      </c>
      <c r="E21" s="94">
        <v>200.2</v>
      </c>
      <c r="F21" s="66"/>
      <c r="G21" s="67" t="str">
        <f t="shared" si="23"/>
        <v>#DIV/0!</v>
      </c>
      <c r="H21" s="68"/>
      <c r="I21" s="96">
        <v>91.9</v>
      </c>
      <c r="J21" s="67">
        <f t="shared" si="24"/>
        <v>3.8</v>
      </c>
      <c r="K21" s="94">
        <v>349.22</v>
      </c>
      <c r="L21" s="66"/>
      <c r="M21" s="67" t="str">
        <f t="shared" si="25"/>
        <v>#DIV/0!</v>
      </c>
      <c r="N21" s="68"/>
      <c r="O21" s="66"/>
      <c r="P21" s="67" t="str">
        <f t="shared" si="26"/>
        <v>#DIV/0!</v>
      </c>
      <c r="Q21" s="94">
        <v>0.0</v>
      </c>
      <c r="R21" s="66"/>
      <c r="S21" s="67" t="str">
        <f t="shared" si="27"/>
        <v>#DIV/0!</v>
      </c>
      <c r="T21" s="68"/>
      <c r="U21" s="96">
        <v>4.0</v>
      </c>
      <c r="V21" s="67">
        <f t="shared" si="28"/>
        <v>4.9</v>
      </c>
      <c r="W21" s="94">
        <v>19.6</v>
      </c>
      <c r="X21" s="66"/>
      <c r="Y21" s="67" t="str">
        <f t="shared" si="29"/>
        <v>#DIV/0!</v>
      </c>
      <c r="Z21" s="68"/>
      <c r="AA21" s="96">
        <v>5.7</v>
      </c>
      <c r="AB21" s="67">
        <f t="shared" si="30"/>
        <v>3.9</v>
      </c>
      <c r="AC21" s="94">
        <v>22.23</v>
      </c>
      <c r="AD21" s="66"/>
      <c r="AE21" s="67" t="str">
        <f t="shared" si="31"/>
        <v>#DIV/0!</v>
      </c>
      <c r="AF21" s="68"/>
      <c r="AG21" s="66"/>
      <c r="AH21" s="67" t="str">
        <f t="shared" si="32"/>
        <v>#DIV/0!</v>
      </c>
      <c r="AI21" s="94">
        <v>0.0</v>
      </c>
      <c r="AJ21" s="66"/>
      <c r="AK21" s="67" t="str">
        <f t="shared" si="33"/>
        <v>#DIV/0!</v>
      </c>
      <c r="AL21" s="68"/>
      <c r="AM21" s="66"/>
      <c r="AN21" s="67" t="str">
        <f t="shared" si="34"/>
        <v>#DIV/0!</v>
      </c>
      <c r="AO21" s="68"/>
      <c r="AP21" s="66"/>
      <c r="AQ21" s="67" t="str">
        <f t="shared" si="35"/>
        <v>#DIV/0!</v>
      </c>
      <c r="AR21" s="68"/>
      <c r="AS21" s="66"/>
      <c r="AT21" s="67" t="str">
        <f t="shared" si="36"/>
        <v>#DIV/0!</v>
      </c>
      <c r="AU21" s="68"/>
      <c r="AV21" s="96">
        <f t="shared" si="46"/>
        <v>40.4</v>
      </c>
      <c r="AW21" s="104">
        <f t="shared" si="37"/>
        <v>5.440594059</v>
      </c>
      <c r="AX21" s="105">
        <f t="shared" ref="AX21:AY21" si="73">E21+W21</f>
        <v>219.8</v>
      </c>
      <c r="AY21" s="96">
        <f t="shared" si="73"/>
        <v>0</v>
      </c>
      <c r="AZ21" s="104" t="str">
        <f t="shared" si="39"/>
        <v>#DIV/0!</v>
      </c>
      <c r="BA21" s="106">
        <f t="shared" si="48"/>
        <v>0</v>
      </c>
      <c r="BB21" s="107">
        <f t="shared" si="49"/>
        <v>97.6</v>
      </c>
      <c r="BC21" s="104">
        <f t="shared" si="40"/>
        <v>3.805840164</v>
      </c>
      <c r="BD21" s="105">
        <f t="shared" ref="BD21:BE21" si="74">AL21+AC21+K21</f>
        <v>371.45</v>
      </c>
      <c r="BE21" s="96">
        <f t="shared" si="74"/>
        <v>0</v>
      </c>
      <c r="BF21" s="104" t="str">
        <f t="shared" si="42"/>
        <v>#DIV/0!</v>
      </c>
      <c r="BG21" s="106">
        <f t="shared" ref="BG21:BH21" si="75">AO21+AF21+N21</f>
        <v>0</v>
      </c>
      <c r="BH21" s="96">
        <f t="shared" si="75"/>
        <v>0</v>
      </c>
      <c r="BI21" s="104" t="str">
        <f t="shared" si="44"/>
        <v>#DIV/0!</v>
      </c>
      <c r="BJ21" s="106">
        <f t="shared" si="52"/>
        <v>0</v>
      </c>
      <c r="BK21" s="107">
        <f t="shared" si="53"/>
        <v>138</v>
      </c>
      <c r="BL21" s="104">
        <f t="shared" si="45"/>
        <v>4.28442029</v>
      </c>
      <c r="BM21" s="94">
        <f t="shared" si="54"/>
        <v>591.25</v>
      </c>
      <c r="BN21" s="76"/>
    </row>
    <row r="22" ht="14.25" customHeight="1">
      <c r="A22" s="65" t="s">
        <v>32</v>
      </c>
      <c r="B22" s="93">
        <v>19.0</v>
      </c>
      <c r="C22" s="66"/>
      <c r="D22" s="67" t="str">
        <f t="shared" si="22"/>
        <v>#DIV/0!</v>
      </c>
      <c r="E22" s="94">
        <v>0.0</v>
      </c>
      <c r="F22" s="66"/>
      <c r="G22" s="67" t="str">
        <f t="shared" si="23"/>
        <v>#DIV/0!</v>
      </c>
      <c r="H22" s="68"/>
      <c r="I22" s="96">
        <v>2.0</v>
      </c>
      <c r="J22" s="67">
        <f t="shared" si="24"/>
        <v>3.9</v>
      </c>
      <c r="K22" s="94">
        <v>7.8</v>
      </c>
      <c r="L22" s="66"/>
      <c r="M22" s="67" t="str">
        <f t="shared" si="25"/>
        <v>#DIV/0!</v>
      </c>
      <c r="N22" s="68"/>
      <c r="O22" s="66"/>
      <c r="P22" s="67" t="str">
        <f t="shared" si="26"/>
        <v>#DIV/0!</v>
      </c>
      <c r="Q22" s="94">
        <v>0.0</v>
      </c>
      <c r="R22" s="66"/>
      <c r="S22" s="67" t="str">
        <f t="shared" si="27"/>
        <v>#DIV/0!</v>
      </c>
      <c r="T22" s="68"/>
      <c r="U22" s="96">
        <v>12.0</v>
      </c>
      <c r="V22" s="67">
        <f t="shared" si="28"/>
        <v>4.9</v>
      </c>
      <c r="W22" s="94">
        <v>58.8</v>
      </c>
      <c r="X22" s="66"/>
      <c r="Y22" s="67" t="str">
        <f t="shared" si="29"/>
        <v>#DIV/0!</v>
      </c>
      <c r="Z22" s="68"/>
      <c r="AA22" s="96">
        <v>35.5</v>
      </c>
      <c r="AB22" s="67">
        <f t="shared" si="30"/>
        <v>3.9</v>
      </c>
      <c r="AC22" s="94">
        <v>138.45</v>
      </c>
      <c r="AD22" s="66"/>
      <c r="AE22" s="67" t="str">
        <f t="shared" si="31"/>
        <v>#DIV/0!</v>
      </c>
      <c r="AF22" s="68"/>
      <c r="AG22" s="66"/>
      <c r="AH22" s="67" t="str">
        <f t="shared" si="32"/>
        <v>#DIV/0!</v>
      </c>
      <c r="AI22" s="94">
        <v>0.0</v>
      </c>
      <c r="AJ22" s="66"/>
      <c r="AK22" s="67" t="str">
        <f t="shared" si="33"/>
        <v>#DIV/0!</v>
      </c>
      <c r="AL22" s="68"/>
      <c r="AM22" s="66"/>
      <c r="AN22" s="67" t="str">
        <f t="shared" si="34"/>
        <v>#DIV/0!</v>
      </c>
      <c r="AO22" s="68"/>
      <c r="AP22" s="66"/>
      <c r="AQ22" s="67" t="str">
        <f t="shared" si="35"/>
        <v>#DIV/0!</v>
      </c>
      <c r="AR22" s="68"/>
      <c r="AS22" s="66"/>
      <c r="AT22" s="67" t="str">
        <f t="shared" si="36"/>
        <v>#DIV/0!</v>
      </c>
      <c r="AU22" s="68"/>
      <c r="AV22" s="96">
        <f t="shared" si="46"/>
        <v>12</v>
      </c>
      <c r="AW22" s="104">
        <f t="shared" si="37"/>
        <v>4.9</v>
      </c>
      <c r="AX22" s="105">
        <f t="shared" ref="AX22:AY22" si="76">E22+W22</f>
        <v>58.8</v>
      </c>
      <c r="AY22" s="96">
        <f t="shared" si="76"/>
        <v>0</v>
      </c>
      <c r="AZ22" s="104" t="str">
        <f t="shared" si="39"/>
        <v>#DIV/0!</v>
      </c>
      <c r="BA22" s="106">
        <f t="shared" si="48"/>
        <v>0</v>
      </c>
      <c r="BB22" s="107">
        <f t="shared" si="49"/>
        <v>37.5</v>
      </c>
      <c r="BC22" s="104">
        <f t="shared" si="40"/>
        <v>3.9</v>
      </c>
      <c r="BD22" s="105">
        <f t="shared" ref="BD22:BE22" si="77">AL22+AC22+K22</f>
        <v>146.25</v>
      </c>
      <c r="BE22" s="96">
        <f t="shared" si="77"/>
        <v>0</v>
      </c>
      <c r="BF22" s="104" t="str">
        <f t="shared" si="42"/>
        <v>#DIV/0!</v>
      </c>
      <c r="BG22" s="106">
        <f t="shared" ref="BG22:BH22" si="78">AO22+AF22+N22</f>
        <v>0</v>
      </c>
      <c r="BH22" s="96">
        <f t="shared" si="78"/>
        <v>0</v>
      </c>
      <c r="BI22" s="104" t="str">
        <f t="shared" si="44"/>
        <v>#DIV/0!</v>
      </c>
      <c r="BJ22" s="106">
        <f t="shared" si="52"/>
        <v>0</v>
      </c>
      <c r="BK22" s="107">
        <f t="shared" si="53"/>
        <v>49.5</v>
      </c>
      <c r="BL22" s="104">
        <f t="shared" si="45"/>
        <v>4.142424242</v>
      </c>
      <c r="BM22" s="94">
        <f t="shared" si="54"/>
        <v>205.05</v>
      </c>
      <c r="BN22" s="76"/>
    </row>
    <row r="23" ht="14.25" customHeight="1">
      <c r="A23" s="65" t="s">
        <v>33</v>
      </c>
      <c r="B23" s="93">
        <v>28.0</v>
      </c>
      <c r="C23" s="96">
        <v>4.0</v>
      </c>
      <c r="D23" s="67">
        <f t="shared" si="22"/>
        <v>5</v>
      </c>
      <c r="E23" s="94">
        <v>20.0</v>
      </c>
      <c r="F23" s="66"/>
      <c r="G23" s="67" t="str">
        <f t="shared" si="23"/>
        <v>#DIV/0!</v>
      </c>
      <c r="H23" s="68"/>
      <c r="I23" s="96">
        <v>14.0</v>
      </c>
      <c r="J23" s="67">
        <f t="shared" si="24"/>
        <v>3.9</v>
      </c>
      <c r="K23" s="94">
        <v>54.6</v>
      </c>
      <c r="L23" s="66"/>
      <c r="M23" s="67" t="str">
        <f t="shared" si="25"/>
        <v>#DIV/0!</v>
      </c>
      <c r="N23" s="68"/>
      <c r="O23" s="66"/>
      <c r="P23" s="67" t="str">
        <f t="shared" si="26"/>
        <v>#DIV/0!</v>
      </c>
      <c r="Q23" s="94">
        <v>0.0</v>
      </c>
      <c r="R23" s="66"/>
      <c r="S23" s="67" t="str">
        <f t="shared" si="27"/>
        <v>#DIV/0!</v>
      </c>
      <c r="T23" s="68"/>
      <c r="U23" s="96">
        <v>12.0</v>
      </c>
      <c r="V23" s="67">
        <f t="shared" si="28"/>
        <v>4.7</v>
      </c>
      <c r="W23" s="94">
        <v>56.4</v>
      </c>
      <c r="X23" s="66"/>
      <c r="Y23" s="67" t="str">
        <f t="shared" si="29"/>
        <v>#DIV/0!</v>
      </c>
      <c r="Z23" s="68"/>
      <c r="AA23" s="96">
        <v>26.0</v>
      </c>
      <c r="AB23" s="67">
        <f t="shared" si="30"/>
        <v>3.9</v>
      </c>
      <c r="AC23" s="94">
        <v>101.4</v>
      </c>
      <c r="AD23" s="66"/>
      <c r="AE23" s="67" t="str">
        <f t="shared" si="31"/>
        <v>#DIV/0!</v>
      </c>
      <c r="AF23" s="68"/>
      <c r="AG23" s="66"/>
      <c r="AH23" s="67" t="str">
        <f t="shared" si="32"/>
        <v>#DIV/0!</v>
      </c>
      <c r="AI23" s="94">
        <v>0.0</v>
      </c>
      <c r="AJ23" s="66"/>
      <c r="AK23" s="67" t="str">
        <f t="shared" si="33"/>
        <v>#DIV/0!</v>
      </c>
      <c r="AL23" s="68"/>
      <c r="AM23" s="66"/>
      <c r="AN23" s="67" t="str">
        <f t="shared" si="34"/>
        <v>#DIV/0!</v>
      </c>
      <c r="AO23" s="68"/>
      <c r="AP23" s="66"/>
      <c r="AQ23" s="67" t="str">
        <f t="shared" si="35"/>
        <v>#DIV/0!</v>
      </c>
      <c r="AR23" s="68"/>
      <c r="AS23" s="66"/>
      <c r="AT23" s="67" t="str">
        <f t="shared" si="36"/>
        <v>#DIV/0!</v>
      </c>
      <c r="AU23" s="68"/>
      <c r="AV23" s="96">
        <f t="shared" si="46"/>
        <v>16</v>
      </c>
      <c r="AW23" s="104">
        <f t="shared" si="37"/>
        <v>4.775</v>
      </c>
      <c r="AX23" s="105">
        <f t="shared" ref="AX23:AY23" si="79">E23+W23</f>
        <v>76.4</v>
      </c>
      <c r="AY23" s="96">
        <f t="shared" si="79"/>
        <v>0</v>
      </c>
      <c r="AZ23" s="104" t="str">
        <f t="shared" si="39"/>
        <v>#DIV/0!</v>
      </c>
      <c r="BA23" s="106">
        <f t="shared" si="48"/>
        <v>0</v>
      </c>
      <c r="BB23" s="107">
        <f t="shared" si="49"/>
        <v>40</v>
      </c>
      <c r="BC23" s="104">
        <f t="shared" si="40"/>
        <v>3.9</v>
      </c>
      <c r="BD23" s="105">
        <f t="shared" ref="BD23:BE23" si="80">AL23+AC23+K23</f>
        <v>156</v>
      </c>
      <c r="BE23" s="96">
        <f t="shared" si="80"/>
        <v>0</v>
      </c>
      <c r="BF23" s="104" t="str">
        <f t="shared" si="42"/>
        <v>#DIV/0!</v>
      </c>
      <c r="BG23" s="106">
        <f t="shared" ref="BG23:BH23" si="81">AO23+AF23+N23</f>
        <v>0</v>
      </c>
      <c r="BH23" s="96">
        <f t="shared" si="81"/>
        <v>0</v>
      </c>
      <c r="BI23" s="104" t="str">
        <f t="shared" si="44"/>
        <v>#DIV/0!</v>
      </c>
      <c r="BJ23" s="106">
        <f t="shared" si="52"/>
        <v>0</v>
      </c>
      <c r="BK23" s="107">
        <f t="shared" si="53"/>
        <v>56</v>
      </c>
      <c r="BL23" s="104">
        <f t="shared" si="45"/>
        <v>4.15</v>
      </c>
      <c r="BM23" s="94">
        <f t="shared" si="54"/>
        <v>232.4</v>
      </c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79"/>
      <c r="S24" s="80"/>
      <c r="T24" s="81"/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/>
      <c r="AT24" s="80"/>
      <c r="AU24" s="81"/>
      <c r="AV24" s="101">
        <f t="shared" si="46"/>
        <v>0</v>
      </c>
      <c r="AW24" s="108" t="str">
        <f t="shared" si="37"/>
        <v>#DIV/0!</v>
      </c>
      <c r="AX24" s="109">
        <f t="shared" ref="AX24:AY24" si="82">E24+W24</f>
        <v>0</v>
      </c>
      <c r="AY24" s="101">
        <f t="shared" si="82"/>
        <v>0</v>
      </c>
      <c r="AZ24" s="108" t="str">
        <f t="shared" si="39"/>
        <v>#DIV/0!</v>
      </c>
      <c r="BA24" s="110">
        <f t="shared" si="48"/>
        <v>0</v>
      </c>
      <c r="BB24" s="111">
        <f t="shared" si="49"/>
        <v>0</v>
      </c>
      <c r="BC24" s="108" t="str">
        <f t="shared" si="40"/>
        <v>#DIV/0!</v>
      </c>
      <c r="BD24" s="109">
        <f t="shared" ref="BD24:BE24" si="83">AL24+AC24+K24</f>
        <v>0</v>
      </c>
      <c r="BE24" s="101">
        <f t="shared" si="83"/>
        <v>0</v>
      </c>
      <c r="BF24" s="108" t="str">
        <f t="shared" si="42"/>
        <v>#DIV/0!</v>
      </c>
      <c r="BG24" s="110">
        <f t="shared" ref="BG24:BH24" si="84">AO24+AF24+N24</f>
        <v>0</v>
      </c>
      <c r="BH24" s="101">
        <f t="shared" si="84"/>
        <v>0</v>
      </c>
      <c r="BI24" s="108" t="str">
        <f t="shared" si="44"/>
        <v>#DIV/0!</v>
      </c>
      <c r="BJ24" s="110">
        <f t="shared" si="52"/>
        <v>0</v>
      </c>
      <c r="BK24" s="111">
        <f t="shared" si="53"/>
        <v>0</v>
      </c>
      <c r="BL24" s="108" t="str">
        <f t="shared" si="45"/>
        <v>#DIV/0!</v>
      </c>
      <c r="BM24" s="102">
        <f t="shared" si="54"/>
        <v>0</v>
      </c>
      <c r="BN24" s="85"/>
    </row>
    <row r="25" ht="14.25" customHeight="1">
      <c r="A25" s="86" t="s">
        <v>34</v>
      </c>
      <c r="B25" s="86"/>
    </row>
    <row r="26" ht="14.25" customHeight="1">
      <c r="A26" s="87" t="s">
        <v>39</v>
      </c>
      <c r="B26" s="87"/>
    </row>
    <row r="27" ht="14.25" customHeight="1">
      <c r="A27" s="88" t="s">
        <v>40</v>
      </c>
      <c r="B27" s="88"/>
    </row>
    <row r="28" ht="14.25" customHeight="1">
      <c r="I28" s="103"/>
    </row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scale="40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14.25" customHeight="1">
      <c r="A6" s="90" t="s">
        <v>48</v>
      </c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91" t="s">
        <v>38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296</v>
      </c>
      <c r="C12" s="56">
        <f t="shared" si="1"/>
        <v>164.2</v>
      </c>
      <c r="D12" s="57">
        <f t="shared" ref="D12:D23" si="22">E12/C12</f>
        <v>5.421741778</v>
      </c>
      <c r="E12" s="58">
        <f t="shared" ref="E12:F12" si="2">SUM(E13:E24)</f>
        <v>890.25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56">
        <f t="shared" si="3"/>
        <v>92</v>
      </c>
      <c r="J12" s="57">
        <f t="shared" ref="J12:J23" si="24">K12/I12</f>
        <v>3.91576087</v>
      </c>
      <c r="K12" s="58">
        <f t="shared" ref="K12:L12" si="4">SUM(K13:K24)</f>
        <v>360.25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56">
        <f t="shared" si="5"/>
        <v>27.2</v>
      </c>
      <c r="P12" s="57">
        <f t="shared" ref="P12:P23" si="26">Q12/O12</f>
        <v>2.980882353</v>
      </c>
      <c r="Q12" s="58">
        <f t="shared" ref="Q12:R12" si="6">SUM(Q13:Q24)</f>
        <v>81.08</v>
      </c>
      <c r="R12" s="56">
        <f t="shared" si="6"/>
        <v>0</v>
      </c>
      <c r="S12" s="57" t="str">
        <f t="shared" ref="S12:S23" si="27">T12/R12</f>
        <v>#DIV/0!</v>
      </c>
      <c r="T12" s="58">
        <f t="shared" ref="T12:U12" si="7">SUM(T13:T24)</f>
        <v>0</v>
      </c>
      <c r="U12" s="56">
        <f t="shared" si="7"/>
        <v>140.1</v>
      </c>
      <c r="V12" s="57">
        <f t="shared" ref="V12:V23" si="28">W12/U12</f>
        <v>4.653319058</v>
      </c>
      <c r="W12" s="58">
        <f t="shared" ref="W12:X12" si="8">SUM(W13:W24)</f>
        <v>651.93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56">
        <f t="shared" si="9"/>
        <v>56.6</v>
      </c>
      <c r="AB12" s="57">
        <f t="shared" ref="AB12:AB23" si="30">AC12/AA12</f>
        <v>3.866077739</v>
      </c>
      <c r="AC12" s="58">
        <f t="shared" ref="AC12:AD12" si="10">SUM(AC13:AC24)</f>
        <v>218.82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56">
        <f t="shared" si="11"/>
        <v>10.5</v>
      </c>
      <c r="AH12" s="57">
        <f t="shared" ref="AH12:AH23" si="32">AI12/AG12</f>
        <v>3</v>
      </c>
      <c r="AI12" s="58">
        <f t="shared" ref="AI12:AJ12" si="12">SUM(AI13:AI24)</f>
        <v>31.5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56">
        <f t="shared" si="15"/>
        <v>0</v>
      </c>
      <c r="AT12" s="57" t="str">
        <f t="shared" ref="AT12:AT23" si="36">AU12/AS12</f>
        <v>#DIV/0!</v>
      </c>
      <c r="AU12" s="58">
        <f t="shared" ref="AU12:AV12" si="16">SUM(AU13:AU24)</f>
        <v>0</v>
      </c>
      <c r="AV12" s="56">
        <f t="shared" si="16"/>
        <v>304.3</v>
      </c>
      <c r="AW12" s="57">
        <f t="shared" ref="AW12:AW24" si="37">AX12/AV12</f>
        <v>5.067959251</v>
      </c>
      <c r="AX12" s="59">
        <f t="shared" ref="AX12:AY12" si="17">SUM(AX13:AX24)</f>
        <v>1542.18</v>
      </c>
      <c r="AY12" s="56">
        <f t="shared" si="17"/>
        <v>0</v>
      </c>
      <c r="AZ12" s="57" t="str">
        <f t="shared" ref="AZ12:AZ24" si="39">BA12/AY12</f>
        <v>#DIV/0!</v>
      </c>
      <c r="BA12" s="60">
        <f t="shared" ref="BA12:BB12" si="18">SUM(BA13:BA24)</f>
        <v>0</v>
      </c>
      <c r="BB12" s="61">
        <f t="shared" si="18"/>
        <v>148.6</v>
      </c>
      <c r="BC12" s="57">
        <f t="shared" ref="BC12:BC24" si="40">BD12/BB12</f>
        <v>3.896837147</v>
      </c>
      <c r="BD12" s="59">
        <f t="shared" ref="BD12:BE12" si="19">SUM(BD13:BD24)</f>
        <v>579.07</v>
      </c>
      <c r="BE12" s="56">
        <f t="shared" si="19"/>
        <v>0</v>
      </c>
      <c r="BF12" s="57" t="str">
        <f t="shared" ref="BF12:BF24" si="42">BG12/BE12</f>
        <v>#DIV/0!</v>
      </c>
      <c r="BG12" s="60">
        <f t="shared" ref="BG12:BH12" si="20">SUM(BG13:BG24)</f>
        <v>0</v>
      </c>
      <c r="BH12" s="56">
        <f t="shared" si="20"/>
        <v>37.7</v>
      </c>
      <c r="BI12" s="57">
        <f t="shared" ref="BI12:BI24" si="44">BJ12/BH12</f>
        <v>2.986206897</v>
      </c>
      <c r="BJ12" s="60">
        <f t="shared" ref="BJ12:BK12" si="21">SUM(BJ13:BJ24)</f>
        <v>112.58</v>
      </c>
      <c r="BK12" s="61">
        <f t="shared" si="21"/>
        <v>490.6</v>
      </c>
      <c r="BL12" s="57">
        <f t="shared" ref="BL12:BL24" si="45">BM12/BK12</f>
        <v>4.553261313</v>
      </c>
      <c r="BM12" s="58">
        <f>SUM(BM13:BM24)</f>
        <v>2233.83</v>
      </c>
      <c r="BN12" s="64"/>
    </row>
    <row r="13" ht="14.25" customHeight="1">
      <c r="A13" s="65" t="s">
        <v>23</v>
      </c>
      <c r="B13" s="93">
        <v>19.0</v>
      </c>
      <c r="C13" s="96">
        <v>2.7</v>
      </c>
      <c r="D13" s="67">
        <f t="shared" si="22"/>
        <v>5</v>
      </c>
      <c r="E13" s="94">
        <v>13.5</v>
      </c>
      <c r="F13" s="66"/>
      <c r="G13" s="67" t="str">
        <f t="shared" si="23"/>
        <v>#DIV/0!</v>
      </c>
      <c r="H13" s="68"/>
      <c r="I13" s="96">
        <v>1.0</v>
      </c>
      <c r="J13" s="67">
        <f t="shared" si="24"/>
        <v>3.9</v>
      </c>
      <c r="K13" s="94">
        <v>3.9</v>
      </c>
      <c r="L13" s="66"/>
      <c r="M13" s="67" t="str">
        <f t="shared" si="25"/>
        <v>#DIV/0!</v>
      </c>
      <c r="N13" s="68"/>
      <c r="O13" s="96">
        <v>4.4</v>
      </c>
      <c r="P13" s="67">
        <f t="shared" si="26"/>
        <v>3.2</v>
      </c>
      <c r="Q13" s="94">
        <v>14.08</v>
      </c>
      <c r="R13" s="66"/>
      <c r="S13" s="67" t="str">
        <f t="shared" si="27"/>
        <v>#DIV/0!</v>
      </c>
      <c r="T13" s="68"/>
      <c r="U13" s="96">
        <v>2.3</v>
      </c>
      <c r="V13" s="67">
        <f t="shared" si="28"/>
        <v>5.1</v>
      </c>
      <c r="W13" s="94">
        <v>11.73</v>
      </c>
      <c r="X13" s="66"/>
      <c r="Y13" s="67" t="str">
        <f t="shared" si="29"/>
        <v>#DIV/0!</v>
      </c>
      <c r="Z13" s="68"/>
      <c r="AA13" s="96">
        <v>5.0</v>
      </c>
      <c r="AB13" s="67">
        <f t="shared" si="30"/>
        <v>3.6</v>
      </c>
      <c r="AC13" s="94">
        <v>18.0</v>
      </c>
      <c r="AD13" s="66"/>
      <c r="AE13" s="67" t="str">
        <f t="shared" si="31"/>
        <v>#DIV/0!</v>
      </c>
      <c r="AF13" s="68"/>
      <c r="AG13" s="96">
        <v>4.6</v>
      </c>
      <c r="AH13" s="67">
        <f t="shared" si="32"/>
        <v>3</v>
      </c>
      <c r="AI13" s="94">
        <v>13.8</v>
      </c>
      <c r="AJ13" s="66"/>
      <c r="AK13" s="67" t="str">
        <f t="shared" si="33"/>
        <v>#DIV/0!</v>
      </c>
      <c r="AL13" s="68"/>
      <c r="AM13" s="66"/>
      <c r="AN13" s="67" t="str">
        <f t="shared" si="34"/>
        <v>#DIV/0!</v>
      </c>
      <c r="AO13" s="68"/>
      <c r="AP13" s="66"/>
      <c r="AQ13" s="67" t="str">
        <f t="shared" si="35"/>
        <v>#DIV/0!</v>
      </c>
      <c r="AR13" s="68"/>
      <c r="AS13" s="66"/>
      <c r="AT13" s="67" t="str">
        <f t="shared" si="36"/>
        <v>#DIV/0!</v>
      </c>
      <c r="AU13" s="68"/>
      <c r="AV13" s="66">
        <f t="shared" ref="AV13:AV24" si="46">C13+U13</f>
        <v>5</v>
      </c>
      <c r="AW13" s="67">
        <f t="shared" si="37"/>
        <v>5.046</v>
      </c>
      <c r="AX13" s="71">
        <f t="shared" ref="AX13:AY13" si="38">E13+W13</f>
        <v>25.23</v>
      </c>
      <c r="AY13" s="66">
        <f t="shared" si="38"/>
        <v>0</v>
      </c>
      <c r="AZ13" s="67" t="str">
        <f t="shared" si="39"/>
        <v>#DIV/0!</v>
      </c>
      <c r="BA13" s="72">
        <f t="shared" ref="BA13:BA24" si="48">H13+Z13</f>
        <v>0</v>
      </c>
      <c r="BB13" s="73">
        <f t="shared" ref="BB13:BB24" si="49">AJ13+AA13+I13</f>
        <v>6</v>
      </c>
      <c r="BC13" s="67">
        <f t="shared" si="40"/>
        <v>3.65</v>
      </c>
      <c r="BD13" s="71">
        <f t="shared" ref="BD13:BE13" si="41">AL13+AC13+K13</f>
        <v>21.9</v>
      </c>
      <c r="BE13" s="66">
        <f t="shared" si="41"/>
        <v>0</v>
      </c>
      <c r="BF13" s="67" t="str">
        <f t="shared" si="42"/>
        <v>#DIV/0!</v>
      </c>
      <c r="BG13" s="72">
        <f t="shared" ref="BG13:BH13" si="43">AO13+AF13+N13</f>
        <v>0</v>
      </c>
      <c r="BH13" s="66">
        <f t="shared" si="43"/>
        <v>9</v>
      </c>
      <c r="BI13" s="67">
        <f t="shared" si="44"/>
        <v>3.097777778</v>
      </c>
      <c r="BJ13" s="72">
        <f t="shared" ref="BJ13:BJ24" si="52">AR13+AI13+Q13</f>
        <v>27.88</v>
      </c>
      <c r="BK13" s="73">
        <f t="shared" ref="BK13:BK24" si="53">AV13+AY13+BB13+BE13+BH13</f>
        <v>20</v>
      </c>
      <c r="BL13" s="67">
        <f t="shared" si="45"/>
        <v>3.7505</v>
      </c>
      <c r="BM13" s="68">
        <f t="shared" ref="BM13:BM24" si="54">AX13+BA13+BD13+BG13+BJ13</f>
        <v>75.01</v>
      </c>
      <c r="BN13" s="76"/>
    </row>
    <row r="14" ht="14.25" customHeight="1">
      <c r="A14" s="65" t="s">
        <v>24</v>
      </c>
      <c r="B14" s="93">
        <v>18.0</v>
      </c>
      <c r="C14" s="96">
        <v>14.0</v>
      </c>
      <c r="D14" s="67">
        <f t="shared" si="22"/>
        <v>5</v>
      </c>
      <c r="E14" s="94">
        <v>70.0</v>
      </c>
      <c r="F14" s="66"/>
      <c r="G14" s="67" t="str">
        <f t="shared" si="23"/>
        <v>#DIV/0!</v>
      </c>
      <c r="H14" s="68"/>
      <c r="I14" s="96">
        <v>6.5</v>
      </c>
      <c r="J14" s="67">
        <f t="shared" si="24"/>
        <v>4</v>
      </c>
      <c r="K14" s="94">
        <v>26.0</v>
      </c>
      <c r="L14" s="66"/>
      <c r="M14" s="67" t="str">
        <f t="shared" si="25"/>
        <v>#DIV/0!</v>
      </c>
      <c r="N14" s="68"/>
      <c r="O14" s="96">
        <v>2.5</v>
      </c>
      <c r="P14" s="67">
        <f t="shared" si="26"/>
        <v>2.8</v>
      </c>
      <c r="Q14" s="94">
        <v>7.0</v>
      </c>
      <c r="R14" s="66"/>
      <c r="S14" s="67" t="str">
        <f t="shared" si="27"/>
        <v>#DIV/0!</v>
      </c>
      <c r="T14" s="68"/>
      <c r="U14" s="66"/>
      <c r="V14" s="67" t="str">
        <f t="shared" si="28"/>
        <v>#DIV/0!</v>
      </c>
      <c r="W14" s="94">
        <v>0.0</v>
      </c>
      <c r="X14" s="66"/>
      <c r="Y14" s="67" t="str">
        <f t="shared" si="29"/>
        <v>#DIV/0!</v>
      </c>
      <c r="Z14" s="68"/>
      <c r="AA14" s="66"/>
      <c r="AB14" s="67" t="str">
        <f t="shared" si="30"/>
        <v>#DIV/0!</v>
      </c>
      <c r="AC14" s="94">
        <v>0.0</v>
      </c>
      <c r="AD14" s="66"/>
      <c r="AE14" s="67" t="str">
        <f t="shared" si="31"/>
        <v>#DIV/0!</v>
      </c>
      <c r="AF14" s="68"/>
      <c r="AG14" s="66"/>
      <c r="AH14" s="67" t="str">
        <f t="shared" si="32"/>
        <v>#DIV/0!</v>
      </c>
      <c r="AI14" s="94">
        <v>0.0</v>
      </c>
      <c r="AJ14" s="66"/>
      <c r="AK14" s="67" t="str">
        <f t="shared" si="33"/>
        <v>#DIV/0!</v>
      </c>
      <c r="AL14" s="68"/>
      <c r="AM14" s="66"/>
      <c r="AN14" s="67" t="str">
        <f t="shared" si="34"/>
        <v>#DIV/0!</v>
      </c>
      <c r="AO14" s="68"/>
      <c r="AP14" s="66"/>
      <c r="AQ14" s="67" t="str">
        <f t="shared" si="35"/>
        <v>#DIV/0!</v>
      </c>
      <c r="AR14" s="68"/>
      <c r="AS14" s="66"/>
      <c r="AT14" s="67" t="str">
        <f t="shared" si="36"/>
        <v>#DIV/0!</v>
      </c>
      <c r="AU14" s="68"/>
      <c r="AV14" s="66">
        <f t="shared" si="46"/>
        <v>14</v>
      </c>
      <c r="AW14" s="67">
        <f t="shared" si="37"/>
        <v>5</v>
      </c>
      <c r="AX14" s="71">
        <f t="shared" ref="AX14:AY14" si="47">E14+W14</f>
        <v>70</v>
      </c>
      <c r="AY14" s="66">
        <f t="shared" si="47"/>
        <v>0</v>
      </c>
      <c r="AZ14" s="67" t="str">
        <f t="shared" si="39"/>
        <v>#DIV/0!</v>
      </c>
      <c r="BA14" s="72">
        <f t="shared" si="48"/>
        <v>0</v>
      </c>
      <c r="BB14" s="73">
        <f t="shared" si="49"/>
        <v>6.5</v>
      </c>
      <c r="BC14" s="67">
        <f t="shared" si="40"/>
        <v>4</v>
      </c>
      <c r="BD14" s="71">
        <f t="shared" ref="BD14:BE14" si="50">AL14+AC14+K14</f>
        <v>26</v>
      </c>
      <c r="BE14" s="66">
        <f t="shared" si="50"/>
        <v>0</v>
      </c>
      <c r="BF14" s="67" t="str">
        <f t="shared" si="42"/>
        <v>#DIV/0!</v>
      </c>
      <c r="BG14" s="72">
        <f t="shared" ref="BG14:BH14" si="51">AO14+AF14+N14</f>
        <v>0</v>
      </c>
      <c r="BH14" s="66">
        <f t="shared" si="51"/>
        <v>2.5</v>
      </c>
      <c r="BI14" s="67">
        <f t="shared" si="44"/>
        <v>2.8</v>
      </c>
      <c r="BJ14" s="72">
        <f t="shared" si="52"/>
        <v>7</v>
      </c>
      <c r="BK14" s="73">
        <f t="shared" si="53"/>
        <v>23</v>
      </c>
      <c r="BL14" s="67">
        <f t="shared" si="45"/>
        <v>4.47826087</v>
      </c>
      <c r="BM14" s="68">
        <f t="shared" si="54"/>
        <v>103</v>
      </c>
      <c r="BN14" s="76"/>
    </row>
    <row r="15" ht="14.25" customHeight="1">
      <c r="A15" s="65" t="s">
        <v>25</v>
      </c>
      <c r="B15" s="93">
        <v>0.0</v>
      </c>
      <c r="C15" s="66"/>
      <c r="D15" s="67" t="str">
        <f t="shared" si="22"/>
        <v>#DIV/0!</v>
      </c>
      <c r="E15" s="94">
        <v>0.0</v>
      </c>
      <c r="F15" s="66"/>
      <c r="G15" s="67" t="str">
        <f t="shared" si="23"/>
        <v>#DIV/0!</v>
      </c>
      <c r="H15" s="68"/>
      <c r="I15" s="66"/>
      <c r="J15" s="67" t="str">
        <f t="shared" si="24"/>
        <v>#DIV/0!</v>
      </c>
      <c r="K15" s="94">
        <v>0.0</v>
      </c>
      <c r="L15" s="66"/>
      <c r="M15" s="67" t="str">
        <f t="shared" si="25"/>
        <v>#DIV/0!</v>
      </c>
      <c r="N15" s="68"/>
      <c r="O15" s="66"/>
      <c r="P15" s="67" t="str">
        <f t="shared" si="26"/>
        <v>#DIV/0!</v>
      </c>
      <c r="Q15" s="94">
        <v>0.0</v>
      </c>
      <c r="R15" s="66"/>
      <c r="S15" s="67" t="str">
        <f t="shared" si="27"/>
        <v>#DIV/0!</v>
      </c>
      <c r="T15" s="68"/>
      <c r="U15" s="66"/>
      <c r="V15" s="67" t="str">
        <f t="shared" si="28"/>
        <v>#DIV/0!</v>
      </c>
      <c r="W15" s="94">
        <v>0.0</v>
      </c>
      <c r="X15" s="66"/>
      <c r="Y15" s="67" t="str">
        <f t="shared" si="29"/>
        <v>#DIV/0!</v>
      </c>
      <c r="Z15" s="68"/>
      <c r="AA15" s="66"/>
      <c r="AB15" s="67" t="str">
        <f t="shared" si="30"/>
        <v>#DIV/0!</v>
      </c>
      <c r="AC15" s="94">
        <v>0.0</v>
      </c>
      <c r="AD15" s="66"/>
      <c r="AE15" s="67" t="str">
        <f t="shared" si="31"/>
        <v>#DIV/0!</v>
      </c>
      <c r="AF15" s="68"/>
      <c r="AG15" s="66"/>
      <c r="AH15" s="67" t="str">
        <f t="shared" si="32"/>
        <v>#DIV/0!</v>
      </c>
      <c r="AI15" s="94">
        <v>0.0</v>
      </c>
      <c r="AJ15" s="66"/>
      <c r="AK15" s="67" t="str">
        <f t="shared" si="33"/>
        <v>#DIV/0!</v>
      </c>
      <c r="AL15" s="68"/>
      <c r="AM15" s="66"/>
      <c r="AN15" s="67" t="str">
        <f t="shared" si="34"/>
        <v>#DIV/0!</v>
      </c>
      <c r="AO15" s="68"/>
      <c r="AP15" s="66"/>
      <c r="AQ15" s="67" t="str">
        <f t="shared" si="35"/>
        <v>#DIV/0!</v>
      </c>
      <c r="AR15" s="68"/>
      <c r="AS15" s="66"/>
      <c r="AT15" s="67" t="str">
        <f t="shared" si="36"/>
        <v>#DIV/0!</v>
      </c>
      <c r="AU15" s="68"/>
      <c r="AV15" s="66">
        <f t="shared" si="46"/>
        <v>0</v>
      </c>
      <c r="AW15" s="67" t="str">
        <f t="shared" si="37"/>
        <v>#DIV/0!</v>
      </c>
      <c r="AX15" s="71">
        <f t="shared" ref="AX15:AY15" si="55">E15+W15</f>
        <v>0</v>
      </c>
      <c r="AY15" s="66">
        <f t="shared" si="55"/>
        <v>0</v>
      </c>
      <c r="AZ15" s="67" t="str">
        <f t="shared" si="39"/>
        <v>#DIV/0!</v>
      </c>
      <c r="BA15" s="72">
        <f t="shared" si="48"/>
        <v>0</v>
      </c>
      <c r="BB15" s="73">
        <f t="shared" si="49"/>
        <v>0</v>
      </c>
      <c r="BC15" s="67" t="str">
        <f t="shared" si="40"/>
        <v>#DIV/0!</v>
      </c>
      <c r="BD15" s="71">
        <f t="shared" ref="BD15:BE15" si="56">AL15+AC15+K15</f>
        <v>0</v>
      </c>
      <c r="BE15" s="66">
        <f t="shared" si="56"/>
        <v>0</v>
      </c>
      <c r="BF15" s="67" t="str">
        <f t="shared" si="42"/>
        <v>#DIV/0!</v>
      </c>
      <c r="BG15" s="72">
        <f t="shared" ref="BG15:BH15" si="57">AO15+AF15+N15</f>
        <v>0</v>
      </c>
      <c r="BH15" s="66">
        <f t="shared" si="57"/>
        <v>0</v>
      </c>
      <c r="BI15" s="67" t="str">
        <f t="shared" si="44"/>
        <v>#DIV/0!</v>
      </c>
      <c r="BJ15" s="72">
        <f t="shared" si="52"/>
        <v>0</v>
      </c>
      <c r="BK15" s="73">
        <f t="shared" si="53"/>
        <v>0</v>
      </c>
      <c r="BL15" s="67" t="str">
        <f t="shared" si="45"/>
        <v>#DIV/0!</v>
      </c>
      <c r="BM15" s="68">
        <f t="shared" si="54"/>
        <v>0</v>
      </c>
      <c r="BN15" s="76"/>
    </row>
    <row r="16" ht="14.25" customHeight="1">
      <c r="A16" s="65" t="s">
        <v>26</v>
      </c>
      <c r="B16" s="93">
        <v>0.0</v>
      </c>
      <c r="C16" s="66"/>
      <c r="D16" s="67" t="str">
        <f t="shared" si="22"/>
        <v>#DIV/0!</v>
      </c>
      <c r="E16" s="94">
        <v>0.0</v>
      </c>
      <c r="F16" s="66"/>
      <c r="G16" s="67" t="str">
        <f t="shared" si="23"/>
        <v>#DIV/0!</v>
      </c>
      <c r="H16" s="68"/>
      <c r="I16" s="66"/>
      <c r="J16" s="67" t="str">
        <f t="shared" si="24"/>
        <v>#DIV/0!</v>
      </c>
      <c r="K16" s="94">
        <v>0.0</v>
      </c>
      <c r="L16" s="66"/>
      <c r="M16" s="67" t="str">
        <f t="shared" si="25"/>
        <v>#DIV/0!</v>
      </c>
      <c r="N16" s="68"/>
      <c r="O16" s="66"/>
      <c r="P16" s="67" t="str">
        <f t="shared" si="26"/>
        <v>#DIV/0!</v>
      </c>
      <c r="Q16" s="94">
        <v>0.0</v>
      </c>
      <c r="R16" s="66"/>
      <c r="S16" s="67" t="str">
        <f t="shared" si="27"/>
        <v>#DIV/0!</v>
      </c>
      <c r="T16" s="68"/>
      <c r="U16" s="66"/>
      <c r="V16" s="67" t="str">
        <f t="shared" si="28"/>
        <v>#DIV/0!</v>
      </c>
      <c r="W16" s="94">
        <v>0.0</v>
      </c>
      <c r="X16" s="66"/>
      <c r="Y16" s="67" t="str">
        <f t="shared" si="29"/>
        <v>#DIV/0!</v>
      </c>
      <c r="Z16" s="68"/>
      <c r="AA16" s="66"/>
      <c r="AB16" s="67" t="str">
        <f t="shared" si="30"/>
        <v>#DIV/0!</v>
      </c>
      <c r="AC16" s="94">
        <v>0.0</v>
      </c>
      <c r="AD16" s="66"/>
      <c r="AE16" s="67" t="str">
        <f t="shared" si="31"/>
        <v>#DIV/0!</v>
      </c>
      <c r="AF16" s="68"/>
      <c r="AG16" s="66"/>
      <c r="AH16" s="67" t="str">
        <f t="shared" si="32"/>
        <v>#DIV/0!</v>
      </c>
      <c r="AI16" s="94">
        <v>0.0</v>
      </c>
      <c r="AJ16" s="66"/>
      <c r="AK16" s="67" t="str">
        <f t="shared" si="33"/>
        <v>#DIV/0!</v>
      </c>
      <c r="AL16" s="68"/>
      <c r="AM16" s="66"/>
      <c r="AN16" s="67" t="str">
        <f t="shared" si="34"/>
        <v>#DIV/0!</v>
      </c>
      <c r="AO16" s="68"/>
      <c r="AP16" s="66"/>
      <c r="AQ16" s="67" t="str">
        <f t="shared" si="35"/>
        <v>#DIV/0!</v>
      </c>
      <c r="AR16" s="68"/>
      <c r="AS16" s="66"/>
      <c r="AT16" s="67" t="str">
        <f t="shared" si="36"/>
        <v>#DIV/0!</v>
      </c>
      <c r="AU16" s="68"/>
      <c r="AV16" s="66">
        <f t="shared" si="46"/>
        <v>0</v>
      </c>
      <c r="AW16" s="67" t="str">
        <f t="shared" si="37"/>
        <v>#DIV/0!</v>
      </c>
      <c r="AX16" s="71">
        <f t="shared" ref="AX16:AY16" si="58">E16+W16</f>
        <v>0</v>
      </c>
      <c r="AY16" s="66">
        <f t="shared" si="58"/>
        <v>0</v>
      </c>
      <c r="AZ16" s="67" t="str">
        <f t="shared" si="39"/>
        <v>#DIV/0!</v>
      </c>
      <c r="BA16" s="72">
        <f t="shared" si="48"/>
        <v>0</v>
      </c>
      <c r="BB16" s="73">
        <f t="shared" si="49"/>
        <v>0</v>
      </c>
      <c r="BC16" s="67" t="str">
        <f t="shared" si="40"/>
        <v>#DIV/0!</v>
      </c>
      <c r="BD16" s="71">
        <f t="shared" ref="BD16:BE16" si="59">AL16+AC16+K16</f>
        <v>0</v>
      </c>
      <c r="BE16" s="66">
        <f t="shared" si="59"/>
        <v>0</v>
      </c>
      <c r="BF16" s="67" t="str">
        <f t="shared" si="42"/>
        <v>#DIV/0!</v>
      </c>
      <c r="BG16" s="72">
        <f t="shared" ref="BG16:BH16" si="60">AO16+AF16+N16</f>
        <v>0</v>
      </c>
      <c r="BH16" s="66">
        <f t="shared" si="60"/>
        <v>0</v>
      </c>
      <c r="BI16" s="67" t="str">
        <f t="shared" si="44"/>
        <v>#DIV/0!</v>
      </c>
      <c r="BJ16" s="72">
        <f t="shared" si="52"/>
        <v>0</v>
      </c>
      <c r="BK16" s="73">
        <f t="shared" si="53"/>
        <v>0</v>
      </c>
      <c r="BL16" s="67" t="str">
        <f t="shared" si="45"/>
        <v>#DIV/0!</v>
      </c>
      <c r="BM16" s="68">
        <f t="shared" si="54"/>
        <v>0</v>
      </c>
      <c r="BN16" s="76"/>
    </row>
    <row r="17" ht="14.25" customHeight="1">
      <c r="A17" s="65" t="s">
        <v>27</v>
      </c>
      <c r="B17" s="93">
        <v>0.0</v>
      </c>
      <c r="C17" s="66"/>
      <c r="D17" s="67" t="str">
        <f t="shared" si="22"/>
        <v>#DIV/0!</v>
      </c>
      <c r="E17" s="94">
        <v>0.0</v>
      </c>
      <c r="F17" s="66"/>
      <c r="G17" s="67" t="str">
        <f t="shared" si="23"/>
        <v>#DIV/0!</v>
      </c>
      <c r="H17" s="68"/>
      <c r="I17" s="66"/>
      <c r="J17" s="67" t="str">
        <f t="shared" si="24"/>
        <v>#DIV/0!</v>
      </c>
      <c r="K17" s="94">
        <v>0.0</v>
      </c>
      <c r="L17" s="66"/>
      <c r="M17" s="67" t="str">
        <f t="shared" si="25"/>
        <v>#DIV/0!</v>
      </c>
      <c r="N17" s="68"/>
      <c r="O17" s="66"/>
      <c r="P17" s="67" t="str">
        <f t="shared" si="26"/>
        <v>#DIV/0!</v>
      </c>
      <c r="Q17" s="94">
        <v>0.0</v>
      </c>
      <c r="R17" s="66"/>
      <c r="S17" s="67" t="str">
        <f t="shared" si="27"/>
        <v>#DIV/0!</v>
      </c>
      <c r="T17" s="68"/>
      <c r="U17" s="66"/>
      <c r="V17" s="67" t="str">
        <f t="shared" si="28"/>
        <v>#DIV/0!</v>
      </c>
      <c r="W17" s="94">
        <v>0.0</v>
      </c>
      <c r="X17" s="66"/>
      <c r="Y17" s="67" t="str">
        <f t="shared" si="29"/>
        <v>#DIV/0!</v>
      </c>
      <c r="Z17" s="68"/>
      <c r="AA17" s="66"/>
      <c r="AB17" s="67" t="str">
        <f t="shared" si="30"/>
        <v>#DIV/0!</v>
      </c>
      <c r="AC17" s="94">
        <v>0.0</v>
      </c>
      <c r="AD17" s="66"/>
      <c r="AE17" s="67" t="str">
        <f t="shared" si="31"/>
        <v>#DIV/0!</v>
      </c>
      <c r="AF17" s="68"/>
      <c r="AG17" s="66"/>
      <c r="AH17" s="67" t="str">
        <f t="shared" si="32"/>
        <v>#DIV/0!</v>
      </c>
      <c r="AI17" s="94">
        <v>0.0</v>
      </c>
      <c r="AJ17" s="66"/>
      <c r="AK17" s="67" t="str">
        <f t="shared" si="33"/>
        <v>#DIV/0!</v>
      </c>
      <c r="AL17" s="68"/>
      <c r="AM17" s="66"/>
      <c r="AN17" s="67" t="str">
        <f t="shared" si="34"/>
        <v>#DIV/0!</v>
      </c>
      <c r="AO17" s="68"/>
      <c r="AP17" s="66"/>
      <c r="AQ17" s="67" t="str">
        <f t="shared" si="35"/>
        <v>#DIV/0!</v>
      </c>
      <c r="AR17" s="68"/>
      <c r="AS17" s="66"/>
      <c r="AT17" s="67" t="str">
        <f t="shared" si="36"/>
        <v>#DIV/0!</v>
      </c>
      <c r="AU17" s="68"/>
      <c r="AV17" s="66">
        <f t="shared" si="46"/>
        <v>0</v>
      </c>
      <c r="AW17" s="67" t="str">
        <f t="shared" si="37"/>
        <v>#DIV/0!</v>
      </c>
      <c r="AX17" s="71">
        <f t="shared" ref="AX17:AY17" si="61">E17+W17</f>
        <v>0</v>
      </c>
      <c r="AY17" s="66">
        <f t="shared" si="61"/>
        <v>0</v>
      </c>
      <c r="AZ17" s="67" t="str">
        <f t="shared" si="39"/>
        <v>#DIV/0!</v>
      </c>
      <c r="BA17" s="72">
        <f t="shared" si="48"/>
        <v>0</v>
      </c>
      <c r="BB17" s="73">
        <f t="shared" si="49"/>
        <v>0</v>
      </c>
      <c r="BC17" s="67" t="str">
        <f t="shared" si="40"/>
        <v>#DIV/0!</v>
      </c>
      <c r="BD17" s="71">
        <f t="shared" ref="BD17:BE17" si="62">AL17+AC17+K17</f>
        <v>0</v>
      </c>
      <c r="BE17" s="66">
        <f t="shared" si="62"/>
        <v>0</v>
      </c>
      <c r="BF17" s="67" t="str">
        <f t="shared" si="42"/>
        <v>#DIV/0!</v>
      </c>
      <c r="BG17" s="72">
        <f t="shared" ref="BG17:BH17" si="63">AO17+AF17+N17</f>
        <v>0</v>
      </c>
      <c r="BH17" s="66">
        <f t="shared" si="63"/>
        <v>0</v>
      </c>
      <c r="BI17" s="67" t="str">
        <f t="shared" si="44"/>
        <v>#DIV/0!</v>
      </c>
      <c r="BJ17" s="72">
        <f t="shared" si="52"/>
        <v>0</v>
      </c>
      <c r="BK17" s="73">
        <f t="shared" si="53"/>
        <v>0</v>
      </c>
      <c r="BL17" s="67" t="str">
        <f t="shared" si="45"/>
        <v>#DIV/0!</v>
      </c>
      <c r="BM17" s="68">
        <f t="shared" si="54"/>
        <v>0</v>
      </c>
      <c r="BN17" s="76"/>
    </row>
    <row r="18" ht="14.25" customHeight="1">
      <c r="A18" s="65" t="s">
        <v>28</v>
      </c>
      <c r="B18" s="93">
        <v>37.0</v>
      </c>
      <c r="C18" s="66"/>
      <c r="D18" s="67" t="str">
        <f t="shared" si="22"/>
        <v>#DIV/0!</v>
      </c>
      <c r="E18" s="94">
        <v>0.0</v>
      </c>
      <c r="F18" s="66"/>
      <c r="G18" s="67" t="str">
        <f t="shared" si="23"/>
        <v>#DIV/0!</v>
      </c>
      <c r="H18" s="68"/>
      <c r="I18" s="96">
        <v>30.0</v>
      </c>
      <c r="J18" s="67">
        <f t="shared" si="24"/>
        <v>4</v>
      </c>
      <c r="K18" s="94">
        <v>120.0</v>
      </c>
      <c r="L18" s="66"/>
      <c r="M18" s="67" t="str">
        <f t="shared" si="25"/>
        <v>#DIV/0!</v>
      </c>
      <c r="N18" s="68"/>
      <c r="O18" s="96">
        <v>20.3</v>
      </c>
      <c r="P18" s="67">
        <f t="shared" si="26"/>
        <v>2.955665025</v>
      </c>
      <c r="Q18" s="94">
        <v>60.0</v>
      </c>
      <c r="R18" s="66"/>
      <c r="S18" s="67" t="str">
        <f t="shared" si="27"/>
        <v>#DIV/0!</v>
      </c>
      <c r="T18" s="68"/>
      <c r="U18" s="66"/>
      <c r="V18" s="67" t="str">
        <f t="shared" si="28"/>
        <v>#DIV/0!</v>
      </c>
      <c r="W18" s="94">
        <v>0.0</v>
      </c>
      <c r="X18" s="66"/>
      <c r="Y18" s="67" t="str">
        <f t="shared" si="29"/>
        <v>#DIV/0!</v>
      </c>
      <c r="Z18" s="68"/>
      <c r="AA18" s="96">
        <v>2.1</v>
      </c>
      <c r="AB18" s="67">
        <f t="shared" si="30"/>
        <v>3.7</v>
      </c>
      <c r="AC18" s="94">
        <v>7.77</v>
      </c>
      <c r="AD18" s="66"/>
      <c r="AE18" s="67" t="str">
        <f t="shared" si="31"/>
        <v>#DIV/0!</v>
      </c>
      <c r="AF18" s="68"/>
      <c r="AG18" s="96">
        <v>5.9</v>
      </c>
      <c r="AH18" s="67">
        <f t="shared" si="32"/>
        <v>3</v>
      </c>
      <c r="AI18" s="94">
        <v>17.7</v>
      </c>
      <c r="AJ18" s="66"/>
      <c r="AK18" s="67" t="str">
        <f t="shared" si="33"/>
        <v>#DIV/0!</v>
      </c>
      <c r="AL18" s="68"/>
      <c r="AM18" s="66"/>
      <c r="AN18" s="67" t="str">
        <f t="shared" si="34"/>
        <v>#DIV/0!</v>
      </c>
      <c r="AO18" s="68"/>
      <c r="AP18" s="66"/>
      <c r="AQ18" s="67" t="str">
        <f t="shared" si="35"/>
        <v>#DIV/0!</v>
      </c>
      <c r="AR18" s="68"/>
      <c r="AS18" s="66"/>
      <c r="AT18" s="67" t="str">
        <f t="shared" si="36"/>
        <v>#DIV/0!</v>
      </c>
      <c r="AU18" s="68"/>
      <c r="AV18" s="66">
        <f t="shared" si="46"/>
        <v>0</v>
      </c>
      <c r="AW18" s="67" t="str">
        <f t="shared" si="37"/>
        <v>#DIV/0!</v>
      </c>
      <c r="AX18" s="71">
        <f t="shared" ref="AX18:AY18" si="64">E18+W18</f>
        <v>0</v>
      </c>
      <c r="AY18" s="66">
        <f t="shared" si="64"/>
        <v>0</v>
      </c>
      <c r="AZ18" s="67" t="str">
        <f t="shared" si="39"/>
        <v>#DIV/0!</v>
      </c>
      <c r="BA18" s="72">
        <f t="shared" si="48"/>
        <v>0</v>
      </c>
      <c r="BB18" s="73">
        <f t="shared" si="49"/>
        <v>32.1</v>
      </c>
      <c r="BC18" s="67">
        <f t="shared" si="40"/>
        <v>3.980373832</v>
      </c>
      <c r="BD18" s="71">
        <f t="shared" ref="BD18:BE18" si="65">AL18+AC18+K18</f>
        <v>127.77</v>
      </c>
      <c r="BE18" s="66">
        <f t="shared" si="65"/>
        <v>0</v>
      </c>
      <c r="BF18" s="67" t="str">
        <f t="shared" si="42"/>
        <v>#DIV/0!</v>
      </c>
      <c r="BG18" s="72">
        <f t="shared" ref="BG18:BH18" si="66">AO18+AF18+N18</f>
        <v>0</v>
      </c>
      <c r="BH18" s="66">
        <f t="shared" si="66"/>
        <v>26.2</v>
      </c>
      <c r="BI18" s="67">
        <f t="shared" si="44"/>
        <v>2.965648855</v>
      </c>
      <c r="BJ18" s="72">
        <f t="shared" si="52"/>
        <v>77.7</v>
      </c>
      <c r="BK18" s="73">
        <f t="shared" si="53"/>
        <v>58.3</v>
      </c>
      <c r="BL18" s="67">
        <f t="shared" si="45"/>
        <v>3.524356775</v>
      </c>
      <c r="BM18" s="68">
        <f t="shared" si="54"/>
        <v>205.47</v>
      </c>
      <c r="BN18" s="76"/>
    </row>
    <row r="19" ht="14.25" customHeight="1">
      <c r="A19" s="65" t="s">
        <v>29</v>
      </c>
      <c r="B19" s="93">
        <v>27.0</v>
      </c>
      <c r="C19" s="66"/>
      <c r="D19" s="67" t="str">
        <f t="shared" si="22"/>
        <v>#DIV/0!</v>
      </c>
      <c r="E19" s="94">
        <v>0.0</v>
      </c>
      <c r="F19" s="66"/>
      <c r="G19" s="67" t="str">
        <f t="shared" si="23"/>
        <v>#DIV/0!</v>
      </c>
      <c r="H19" s="68"/>
      <c r="I19" s="66"/>
      <c r="J19" s="67" t="str">
        <f t="shared" si="24"/>
        <v>#DIV/0!</v>
      </c>
      <c r="K19" s="94">
        <v>0.0</v>
      </c>
      <c r="L19" s="66"/>
      <c r="M19" s="67" t="str">
        <f t="shared" si="25"/>
        <v>#DIV/0!</v>
      </c>
      <c r="N19" s="68"/>
      <c r="O19" s="66"/>
      <c r="P19" s="67" t="str">
        <f t="shared" si="26"/>
        <v>#DIV/0!</v>
      </c>
      <c r="Q19" s="94">
        <v>0.0</v>
      </c>
      <c r="R19" s="66"/>
      <c r="S19" s="67" t="str">
        <f t="shared" si="27"/>
        <v>#DIV/0!</v>
      </c>
      <c r="T19" s="68"/>
      <c r="U19" s="96">
        <v>40.3</v>
      </c>
      <c r="V19" s="67">
        <f t="shared" si="28"/>
        <v>4.5</v>
      </c>
      <c r="W19" s="94">
        <v>181.35</v>
      </c>
      <c r="X19" s="66"/>
      <c r="Y19" s="67" t="str">
        <f t="shared" si="29"/>
        <v>#DIV/0!</v>
      </c>
      <c r="Z19" s="68"/>
      <c r="AA19" s="66"/>
      <c r="AB19" s="67" t="str">
        <f t="shared" si="30"/>
        <v>#DIV/0!</v>
      </c>
      <c r="AC19" s="94">
        <v>0.0</v>
      </c>
      <c r="AD19" s="66"/>
      <c r="AE19" s="67" t="str">
        <f t="shared" si="31"/>
        <v>#DIV/0!</v>
      </c>
      <c r="AF19" s="68"/>
      <c r="AG19" s="66"/>
      <c r="AH19" s="67" t="str">
        <f t="shared" si="32"/>
        <v>#DIV/0!</v>
      </c>
      <c r="AI19" s="94">
        <v>0.0</v>
      </c>
      <c r="AJ19" s="66"/>
      <c r="AK19" s="67" t="str">
        <f t="shared" si="33"/>
        <v>#DIV/0!</v>
      </c>
      <c r="AL19" s="68"/>
      <c r="AM19" s="66"/>
      <c r="AN19" s="67" t="str">
        <f t="shared" si="34"/>
        <v>#DIV/0!</v>
      </c>
      <c r="AO19" s="68"/>
      <c r="AP19" s="66"/>
      <c r="AQ19" s="67" t="str">
        <f t="shared" si="35"/>
        <v>#DIV/0!</v>
      </c>
      <c r="AR19" s="68"/>
      <c r="AS19" s="66"/>
      <c r="AT19" s="67" t="str">
        <f t="shared" si="36"/>
        <v>#DIV/0!</v>
      </c>
      <c r="AU19" s="68"/>
      <c r="AV19" s="66">
        <f t="shared" si="46"/>
        <v>40.3</v>
      </c>
      <c r="AW19" s="67">
        <f t="shared" si="37"/>
        <v>4.5</v>
      </c>
      <c r="AX19" s="71">
        <f t="shared" ref="AX19:AY19" si="67">E19+W19</f>
        <v>181.35</v>
      </c>
      <c r="AY19" s="66">
        <f t="shared" si="67"/>
        <v>0</v>
      </c>
      <c r="AZ19" s="67" t="str">
        <f t="shared" si="39"/>
        <v>#DIV/0!</v>
      </c>
      <c r="BA19" s="72">
        <f t="shared" si="48"/>
        <v>0</v>
      </c>
      <c r="BB19" s="73">
        <f t="shared" si="49"/>
        <v>0</v>
      </c>
      <c r="BC19" s="67" t="str">
        <f t="shared" si="40"/>
        <v>#DIV/0!</v>
      </c>
      <c r="BD19" s="71">
        <f t="shared" ref="BD19:BE19" si="68">AL19+AC19+K19</f>
        <v>0</v>
      </c>
      <c r="BE19" s="66">
        <f t="shared" si="68"/>
        <v>0</v>
      </c>
      <c r="BF19" s="67" t="str">
        <f t="shared" si="42"/>
        <v>#DIV/0!</v>
      </c>
      <c r="BG19" s="72">
        <f t="shared" ref="BG19:BH19" si="69">AO19+AF19+N19</f>
        <v>0</v>
      </c>
      <c r="BH19" s="66">
        <f t="shared" si="69"/>
        <v>0</v>
      </c>
      <c r="BI19" s="67" t="str">
        <f t="shared" si="44"/>
        <v>#DIV/0!</v>
      </c>
      <c r="BJ19" s="72">
        <f t="shared" si="52"/>
        <v>0</v>
      </c>
      <c r="BK19" s="73">
        <f t="shared" si="53"/>
        <v>40.3</v>
      </c>
      <c r="BL19" s="67">
        <f t="shared" si="45"/>
        <v>4.5</v>
      </c>
      <c r="BM19" s="68">
        <f t="shared" si="54"/>
        <v>181.35</v>
      </c>
      <c r="BN19" s="76"/>
    </row>
    <row r="20" ht="14.25" customHeight="1">
      <c r="A20" s="65" t="s">
        <v>30</v>
      </c>
      <c r="B20" s="93">
        <v>0.0</v>
      </c>
      <c r="C20" s="66"/>
      <c r="D20" s="67" t="str">
        <f t="shared" si="22"/>
        <v>#DIV/0!</v>
      </c>
      <c r="E20" s="94">
        <v>0.0</v>
      </c>
      <c r="F20" s="66"/>
      <c r="G20" s="67" t="str">
        <f t="shared" si="23"/>
        <v>#DIV/0!</v>
      </c>
      <c r="H20" s="68"/>
      <c r="I20" s="66"/>
      <c r="J20" s="67" t="str">
        <f t="shared" si="24"/>
        <v>#DIV/0!</v>
      </c>
      <c r="K20" s="94">
        <v>0.0</v>
      </c>
      <c r="L20" s="66"/>
      <c r="M20" s="67" t="str">
        <f t="shared" si="25"/>
        <v>#DIV/0!</v>
      </c>
      <c r="N20" s="68"/>
      <c r="O20" s="66"/>
      <c r="P20" s="67" t="str">
        <f t="shared" si="26"/>
        <v>#DIV/0!</v>
      </c>
      <c r="Q20" s="94">
        <v>0.0</v>
      </c>
      <c r="R20" s="66"/>
      <c r="S20" s="67" t="str">
        <f t="shared" si="27"/>
        <v>#DIV/0!</v>
      </c>
      <c r="T20" s="68"/>
      <c r="U20" s="66"/>
      <c r="V20" s="67" t="str">
        <f t="shared" si="28"/>
        <v>#DIV/0!</v>
      </c>
      <c r="W20" s="94">
        <v>0.0</v>
      </c>
      <c r="X20" s="66"/>
      <c r="Y20" s="67" t="str">
        <f t="shared" si="29"/>
        <v>#DIV/0!</v>
      </c>
      <c r="Z20" s="68"/>
      <c r="AA20" s="66"/>
      <c r="AB20" s="67" t="str">
        <f t="shared" si="30"/>
        <v>#DIV/0!</v>
      </c>
      <c r="AC20" s="94">
        <v>0.0</v>
      </c>
      <c r="AD20" s="66"/>
      <c r="AE20" s="67" t="str">
        <f t="shared" si="31"/>
        <v>#DIV/0!</v>
      </c>
      <c r="AF20" s="68"/>
      <c r="AG20" s="66"/>
      <c r="AH20" s="67" t="str">
        <f t="shared" si="32"/>
        <v>#DIV/0!</v>
      </c>
      <c r="AI20" s="94">
        <v>0.0</v>
      </c>
      <c r="AJ20" s="66"/>
      <c r="AK20" s="67" t="str">
        <f t="shared" si="33"/>
        <v>#DIV/0!</v>
      </c>
      <c r="AL20" s="68"/>
      <c r="AM20" s="66"/>
      <c r="AN20" s="67" t="str">
        <f t="shared" si="34"/>
        <v>#DIV/0!</v>
      </c>
      <c r="AO20" s="68"/>
      <c r="AP20" s="66"/>
      <c r="AQ20" s="67" t="str">
        <f t="shared" si="35"/>
        <v>#DIV/0!</v>
      </c>
      <c r="AR20" s="68"/>
      <c r="AS20" s="66"/>
      <c r="AT20" s="67" t="str">
        <f t="shared" si="36"/>
        <v>#DIV/0!</v>
      </c>
      <c r="AU20" s="68"/>
      <c r="AV20" s="66">
        <f t="shared" si="46"/>
        <v>0</v>
      </c>
      <c r="AW20" s="67" t="str">
        <f t="shared" si="37"/>
        <v>#DIV/0!</v>
      </c>
      <c r="AX20" s="71">
        <f t="shared" ref="AX20:AY20" si="70">E20+W20</f>
        <v>0</v>
      </c>
      <c r="AY20" s="66">
        <f t="shared" si="70"/>
        <v>0</v>
      </c>
      <c r="AZ20" s="67" t="str">
        <f t="shared" si="39"/>
        <v>#DIV/0!</v>
      </c>
      <c r="BA20" s="72">
        <f t="shared" si="48"/>
        <v>0</v>
      </c>
      <c r="BB20" s="73">
        <f t="shared" si="49"/>
        <v>0</v>
      </c>
      <c r="BC20" s="67" t="str">
        <f t="shared" si="40"/>
        <v>#DIV/0!</v>
      </c>
      <c r="BD20" s="71">
        <f t="shared" ref="BD20:BE20" si="71">AL20+AC20+K20</f>
        <v>0</v>
      </c>
      <c r="BE20" s="66">
        <f t="shared" si="71"/>
        <v>0</v>
      </c>
      <c r="BF20" s="67" t="str">
        <f t="shared" si="42"/>
        <v>#DIV/0!</v>
      </c>
      <c r="BG20" s="72">
        <f t="shared" ref="BG20:BH20" si="72">AO20+AF20+N20</f>
        <v>0</v>
      </c>
      <c r="BH20" s="66">
        <f t="shared" si="72"/>
        <v>0</v>
      </c>
      <c r="BI20" s="67" t="str">
        <f t="shared" si="44"/>
        <v>#DIV/0!</v>
      </c>
      <c r="BJ20" s="72">
        <f t="shared" si="52"/>
        <v>0</v>
      </c>
      <c r="BK20" s="73">
        <f t="shared" si="53"/>
        <v>0</v>
      </c>
      <c r="BL20" s="67" t="str">
        <f t="shared" si="45"/>
        <v>#DIV/0!</v>
      </c>
      <c r="BM20" s="68">
        <f t="shared" si="54"/>
        <v>0</v>
      </c>
      <c r="BN20" s="76"/>
    </row>
    <row r="21" ht="14.25" customHeight="1">
      <c r="A21" s="65" t="s">
        <v>31</v>
      </c>
      <c r="B21" s="93">
        <v>59.0</v>
      </c>
      <c r="C21" s="96">
        <v>138.5</v>
      </c>
      <c r="D21" s="67">
        <f t="shared" si="22"/>
        <v>5.5</v>
      </c>
      <c r="E21" s="94">
        <v>761.75</v>
      </c>
      <c r="F21" s="66"/>
      <c r="G21" s="67" t="str">
        <f t="shared" si="23"/>
        <v>#DIV/0!</v>
      </c>
      <c r="H21" s="68"/>
      <c r="I21" s="96">
        <v>22.0</v>
      </c>
      <c r="J21" s="67">
        <f t="shared" si="24"/>
        <v>3.8</v>
      </c>
      <c r="K21" s="94">
        <v>83.6</v>
      </c>
      <c r="L21" s="66"/>
      <c r="M21" s="67" t="str">
        <f t="shared" si="25"/>
        <v>#DIV/0!</v>
      </c>
      <c r="N21" s="68"/>
      <c r="O21" s="66"/>
      <c r="P21" s="67" t="str">
        <f t="shared" si="26"/>
        <v>#DIV/0!</v>
      </c>
      <c r="Q21" s="94">
        <v>0.0</v>
      </c>
      <c r="R21" s="66"/>
      <c r="S21" s="67" t="str">
        <f t="shared" si="27"/>
        <v>#DIV/0!</v>
      </c>
      <c r="T21" s="68"/>
      <c r="U21" s="96">
        <v>3.0</v>
      </c>
      <c r="V21" s="67">
        <f t="shared" si="28"/>
        <v>4.9</v>
      </c>
      <c r="W21" s="94">
        <v>14.7</v>
      </c>
      <c r="X21" s="66"/>
      <c r="Y21" s="67" t="str">
        <f t="shared" si="29"/>
        <v>#DIV/0!</v>
      </c>
      <c r="Z21" s="68"/>
      <c r="AA21" s="96">
        <v>10.0</v>
      </c>
      <c r="AB21" s="67">
        <f t="shared" si="30"/>
        <v>3.9</v>
      </c>
      <c r="AC21" s="94">
        <v>39.0</v>
      </c>
      <c r="AD21" s="66"/>
      <c r="AE21" s="67" t="str">
        <f t="shared" si="31"/>
        <v>#DIV/0!</v>
      </c>
      <c r="AF21" s="68"/>
      <c r="AG21" s="66"/>
      <c r="AH21" s="67" t="str">
        <f t="shared" si="32"/>
        <v>#DIV/0!</v>
      </c>
      <c r="AI21" s="94">
        <v>0.0</v>
      </c>
      <c r="AJ21" s="66"/>
      <c r="AK21" s="67" t="str">
        <f t="shared" si="33"/>
        <v>#DIV/0!</v>
      </c>
      <c r="AL21" s="68"/>
      <c r="AM21" s="66"/>
      <c r="AN21" s="67" t="str">
        <f t="shared" si="34"/>
        <v>#DIV/0!</v>
      </c>
      <c r="AO21" s="68"/>
      <c r="AP21" s="66"/>
      <c r="AQ21" s="67" t="str">
        <f t="shared" si="35"/>
        <v>#DIV/0!</v>
      </c>
      <c r="AR21" s="68"/>
      <c r="AS21" s="66"/>
      <c r="AT21" s="67" t="str">
        <f t="shared" si="36"/>
        <v>#DIV/0!</v>
      </c>
      <c r="AU21" s="68"/>
      <c r="AV21" s="66">
        <f t="shared" si="46"/>
        <v>141.5</v>
      </c>
      <c r="AW21" s="67">
        <f t="shared" si="37"/>
        <v>5.487279152</v>
      </c>
      <c r="AX21" s="71">
        <f t="shared" ref="AX21:AY21" si="73">E21+W21</f>
        <v>776.45</v>
      </c>
      <c r="AY21" s="66">
        <f t="shared" si="73"/>
        <v>0</v>
      </c>
      <c r="AZ21" s="67" t="str">
        <f t="shared" si="39"/>
        <v>#DIV/0!</v>
      </c>
      <c r="BA21" s="72">
        <f t="shared" si="48"/>
        <v>0</v>
      </c>
      <c r="BB21" s="73">
        <f t="shared" si="49"/>
        <v>32</v>
      </c>
      <c r="BC21" s="67">
        <f t="shared" si="40"/>
        <v>3.83125</v>
      </c>
      <c r="BD21" s="71">
        <f t="shared" ref="BD21:BE21" si="74">AL21+AC21+K21</f>
        <v>122.6</v>
      </c>
      <c r="BE21" s="66">
        <f t="shared" si="74"/>
        <v>0</v>
      </c>
      <c r="BF21" s="67" t="str">
        <f t="shared" si="42"/>
        <v>#DIV/0!</v>
      </c>
      <c r="BG21" s="72">
        <f t="shared" ref="BG21:BH21" si="75">AO21+AF21+N21</f>
        <v>0</v>
      </c>
      <c r="BH21" s="66">
        <f t="shared" si="75"/>
        <v>0</v>
      </c>
      <c r="BI21" s="67" t="str">
        <f t="shared" si="44"/>
        <v>#DIV/0!</v>
      </c>
      <c r="BJ21" s="72">
        <f t="shared" si="52"/>
        <v>0</v>
      </c>
      <c r="BK21" s="73">
        <f t="shared" si="53"/>
        <v>173.5</v>
      </c>
      <c r="BL21" s="67">
        <f t="shared" si="45"/>
        <v>5.18184438</v>
      </c>
      <c r="BM21" s="68">
        <f t="shared" si="54"/>
        <v>899.05</v>
      </c>
      <c r="BN21" s="76"/>
    </row>
    <row r="22" ht="14.25" customHeight="1">
      <c r="A22" s="65" t="s">
        <v>32</v>
      </c>
      <c r="B22" s="93">
        <v>0.0</v>
      </c>
      <c r="C22" s="66"/>
      <c r="D22" s="67" t="str">
        <f t="shared" si="22"/>
        <v>#DIV/0!</v>
      </c>
      <c r="E22" s="94">
        <v>0.0</v>
      </c>
      <c r="F22" s="66"/>
      <c r="G22" s="67" t="str">
        <f t="shared" si="23"/>
        <v>#DIV/0!</v>
      </c>
      <c r="H22" s="68"/>
      <c r="I22" s="66"/>
      <c r="J22" s="67" t="str">
        <f t="shared" si="24"/>
        <v>#DIV/0!</v>
      </c>
      <c r="K22" s="94">
        <v>0.0</v>
      </c>
      <c r="L22" s="66"/>
      <c r="M22" s="67" t="str">
        <f t="shared" si="25"/>
        <v>#DIV/0!</v>
      </c>
      <c r="N22" s="68"/>
      <c r="O22" s="66"/>
      <c r="P22" s="67" t="str">
        <f t="shared" si="26"/>
        <v>#DIV/0!</v>
      </c>
      <c r="Q22" s="94">
        <v>0.0</v>
      </c>
      <c r="R22" s="66"/>
      <c r="S22" s="67" t="str">
        <f t="shared" si="27"/>
        <v>#DIV/0!</v>
      </c>
      <c r="T22" s="68"/>
      <c r="U22" s="66"/>
      <c r="V22" s="67" t="str">
        <f t="shared" si="28"/>
        <v>#DIV/0!</v>
      </c>
      <c r="W22" s="94">
        <v>0.0</v>
      </c>
      <c r="X22" s="66"/>
      <c r="Y22" s="67" t="str">
        <f t="shared" si="29"/>
        <v>#DIV/0!</v>
      </c>
      <c r="Z22" s="68"/>
      <c r="AA22" s="66"/>
      <c r="AB22" s="67" t="str">
        <f t="shared" si="30"/>
        <v>#DIV/0!</v>
      </c>
      <c r="AC22" s="94">
        <v>0.0</v>
      </c>
      <c r="AD22" s="66"/>
      <c r="AE22" s="67" t="str">
        <f t="shared" si="31"/>
        <v>#DIV/0!</v>
      </c>
      <c r="AF22" s="68"/>
      <c r="AG22" s="66"/>
      <c r="AH22" s="67" t="str">
        <f t="shared" si="32"/>
        <v>#DIV/0!</v>
      </c>
      <c r="AI22" s="94">
        <v>0.0</v>
      </c>
      <c r="AJ22" s="66"/>
      <c r="AK22" s="67" t="str">
        <f t="shared" si="33"/>
        <v>#DIV/0!</v>
      </c>
      <c r="AL22" s="68"/>
      <c r="AM22" s="66"/>
      <c r="AN22" s="67" t="str">
        <f t="shared" si="34"/>
        <v>#DIV/0!</v>
      </c>
      <c r="AO22" s="68"/>
      <c r="AP22" s="66"/>
      <c r="AQ22" s="67" t="str">
        <f t="shared" si="35"/>
        <v>#DIV/0!</v>
      </c>
      <c r="AR22" s="68"/>
      <c r="AS22" s="66"/>
      <c r="AT22" s="67" t="str">
        <f t="shared" si="36"/>
        <v>#DIV/0!</v>
      </c>
      <c r="AU22" s="68"/>
      <c r="AV22" s="66">
        <f t="shared" si="46"/>
        <v>0</v>
      </c>
      <c r="AW22" s="67" t="str">
        <f t="shared" si="37"/>
        <v>#DIV/0!</v>
      </c>
      <c r="AX22" s="71">
        <f t="shared" ref="AX22:AY22" si="76">E22+W22</f>
        <v>0</v>
      </c>
      <c r="AY22" s="66">
        <f t="shared" si="76"/>
        <v>0</v>
      </c>
      <c r="AZ22" s="67" t="str">
        <f t="shared" si="39"/>
        <v>#DIV/0!</v>
      </c>
      <c r="BA22" s="72">
        <f t="shared" si="48"/>
        <v>0</v>
      </c>
      <c r="BB22" s="73">
        <f t="shared" si="49"/>
        <v>0</v>
      </c>
      <c r="BC22" s="67" t="str">
        <f t="shared" si="40"/>
        <v>#DIV/0!</v>
      </c>
      <c r="BD22" s="71">
        <f t="shared" ref="BD22:BE22" si="77">AL22+AC22+K22</f>
        <v>0</v>
      </c>
      <c r="BE22" s="66">
        <f t="shared" si="77"/>
        <v>0</v>
      </c>
      <c r="BF22" s="67" t="str">
        <f t="shared" si="42"/>
        <v>#DIV/0!</v>
      </c>
      <c r="BG22" s="72">
        <f t="shared" ref="BG22:BH22" si="78">AO22+AF22+N22</f>
        <v>0</v>
      </c>
      <c r="BH22" s="66">
        <f t="shared" si="78"/>
        <v>0</v>
      </c>
      <c r="BI22" s="67" t="str">
        <f t="shared" si="44"/>
        <v>#DIV/0!</v>
      </c>
      <c r="BJ22" s="72">
        <f t="shared" si="52"/>
        <v>0</v>
      </c>
      <c r="BK22" s="73">
        <f t="shared" si="53"/>
        <v>0</v>
      </c>
      <c r="BL22" s="67" t="str">
        <f t="shared" si="45"/>
        <v>#DIV/0!</v>
      </c>
      <c r="BM22" s="68">
        <f t="shared" si="54"/>
        <v>0</v>
      </c>
      <c r="BN22" s="76"/>
    </row>
    <row r="23" ht="14.25" customHeight="1">
      <c r="A23" s="65" t="s">
        <v>33</v>
      </c>
      <c r="B23" s="93">
        <v>136.0</v>
      </c>
      <c r="C23" s="96">
        <v>9.0</v>
      </c>
      <c r="D23" s="67">
        <f t="shared" si="22"/>
        <v>5</v>
      </c>
      <c r="E23" s="94">
        <v>45.0</v>
      </c>
      <c r="F23" s="66"/>
      <c r="G23" s="67" t="str">
        <f t="shared" si="23"/>
        <v>#DIV/0!</v>
      </c>
      <c r="H23" s="68"/>
      <c r="I23" s="96">
        <v>32.5</v>
      </c>
      <c r="J23" s="67">
        <f t="shared" si="24"/>
        <v>3.9</v>
      </c>
      <c r="K23" s="94">
        <v>126.75</v>
      </c>
      <c r="L23" s="66"/>
      <c r="M23" s="67" t="str">
        <f t="shared" si="25"/>
        <v>#DIV/0!</v>
      </c>
      <c r="N23" s="68"/>
      <c r="O23" s="66"/>
      <c r="P23" s="67" t="str">
        <f t="shared" si="26"/>
        <v>#DIV/0!</v>
      </c>
      <c r="Q23" s="94">
        <v>0.0</v>
      </c>
      <c r="R23" s="66"/>
      <c r="S23" s="67" t="str">
        <f t="shared" si="27"/>
        <v>#DIV/0!</v>
      </c>
      <c r="T23" s="68"/>
      <c r="U23" s="96">
        <v>94.5</v>
      </c>
      <c r="V23" s="67">
        <f t="shared" si="28"/>
        <v>4.7</v>
      </c>
      <c r="W23" s="94">
        <v>444.15</v>
      </c>
      <c r="X23" s="66"/>
      <c r="Y23" s="67" t="str">
        <f t="shared" si="29"/>
        <v>#DIV/0!</v>
      </c>
      <c r="Z23" s="68"/>
      <c r="AA23" s="96">
        <v>39.5</v>
      </c>
      <c r="AB23" s="67">
        <f t="shared" si="30"/>
        <v>3.9</v>
      </c>
      <c r="AC23" s="94">
        <v>154.05</v>
      </c>
      <c r="AD23" s="66"/>
      <c r="AE23" s="67" t="str">
        <f t="shared" si="31"/>
        <v>#DIV/0!</v>
      </c>
      <c r="AF23" s="68"/>
      <c r="AG23" s="66"/>
      <c r="AH23" s="67" t="str">
        <f t="shared" si="32"/>
        <v>#DIV/0!</v>
      </c>
      <c r="AI23" s="94">
        <v>0.0</v>
      </c>
      <c r="AJ23" s="66"/>
      <c r="AK23" s="67" t="str">
        <f t="shared" si="33"/>
        <v>#DIV/0!</v>
      </c>
      <c r="AL23" s="68"/>
      <c r="AM23" s="66"/>
      <c r="AN23" s="67" t="str">
        <f t="shared" si="34"/>
        <v>#DIV/0!</v>
      </c>
      <c r="AO23" s="68"/>
      <c r="AP23" s="66"/>
      <c r="AQ23" s="67" t="str">
        <f t="shared" si="35"/>
        <v>#DIV/0!</v>
      </c>
      <c r="AR23" s="68"/>
      <c r="AS23" s="66"/>
      <c r="AT23" s="67" t="str">
        <f t="shared" si="36"/>
        <v>#DIV/0!</v>
      </c>
      <c r="AU23" s="68"/>
      <c r="AV23" s="66">
        <f t="shared" si="46"/>
        <v>103.5</v>
      </c>
      <c r="AW23" s="67">
        <f t="shared" si="37"/>
        <v>4.726086957</v>
      </c>
      <c r="AX23" s="71">
        <f t="shared" ref="AX23:AY23" si="79">E23+W23</f>
        <v>489.15</v>
      </c>
      <c r="AY23" s="66">
        <f t="shared" si="79"/>
        <v>0</v>
      </c>
      <c r="AZ23" s="67" t="str">
        <f t="shared" si="39"/>
        <v>#DIV/0!</v>
      </c>
      <c r="BA23" s="72">
        <f t="shared" si="48"/>
        <v>0</v>
      </c>
      <c r="BB23" s="73">
        <f t="shared" si="49"/>
        <v>72</v>
      </c>
      <c r="BC23" s="67">
        <f t="shared" si="40"/>
        <v>3.9</v>
      </c>
      <c r="BD23" s="71">
        <f t="shared" ref="BD23:BE23" si="80">AL23+AC23+K23</f>
        <v>280.8</v>
      </c>
      <c r="BE23" s="66">
        <f t="shared" si="80"/>
        <v>0</v>
      </c>
      <c r="BF23" s="67" t="str">
        <f t="shared" si="42"/>
        <v>#DIV/0!</v>
      </c>
      <c r="BG23" s="72">
        <f t="shared" ref="BG23:BH23" si="81">AO23+AF23+N23</f>
        <v>0</v>
      </c>
      <c r="BH23" s="66">
        <f t="shared" si="81"/>
        <v>0</v>
      </c>
      <c r="BI23" s="67" t="str">
        <f t="shared" si="44"/>
        <v>#DIV/0!</v>
      </c>
      <c r="BJ23" s="72">
        <f t="shared" si="52"/>
        <v>0</v>
      </c>
      <c r="BK23" s="73">
        <f t="shared" si="53"/>
        <v>175.5</v>
      </c>
      <c r="BL23" s="67">
        <f t="shared" si="45"/>
        <v>4.387179487</v>
      </c>
      <c r="BM23" s="68">
        <f t="shared" si="54"/>
        <v>769.95</v>
      </c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79"/>
      <c r="S24" s="80"/>
      <c r="T24" s="81"/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/>
      <c r="AT24" s="80"/>
      <c r="AU24" s="81"/>
      <c r="AV24" s="79">
        <f t="shared" si="46"/>
        <v>0</v>
      </c>
      <c r="AW24" s="80" t="str">
        <f t="shared" si="37"/>
        <v>#DIV/0!</v>
      </c>
      <c r="AX24" s="82">
        <f t="shared" ref="AX24:AY24" si="82">E24+W24</f>
        <v>0</v>
      </c>
      <c r="AY24" s="79">
        <f t="shared" si="82"/>
        <v>0</v>
      </c>
      <c r="AZ24" s="80" t="str">
        <f t="shared" si="39"/>
        <v>#DIV/0!</v>
      </c>
      <c r="BA24" s="83">
        <f t="shared" si="48"/>
        <v>0</v>
      </c>
      <c r="BB24" s="84">
        <f t="shared" si="49"/>
        <v>0</v>
      </c>
      <c r="BC24" s="80" t="str">
        <f t="shared" si="40"/>
        <v>#DIV/0!</v>
      </c>
      <c r="BD24" s="82">
        <f t="shared" ref="BD24:BE24" si="83">AL24+AC24+K24</f>
        <v>0</v>
      </c>
      <c r="BE24" s="79">
        <f t="shared" si="83"/>
        <v>0</v>
      </c>
      <c r="BF24" s="80" t="str">
        <f t="shared" si="42"/>
        <v>#DIV/0!</v>
      </c>
      <c r="BG24" s="83">
        <f t="shared" ref="BG24:BH24" si="84">AO24+AF24+N24</f>
        <v>0</v>
      </c>
      <c r="BH24" s="79">
        <f t="shared" si="84"/>
        <v>0</v>
      </c>
      <c r="BI24" s="80" t="str">
        <f t="shared" si="44"/>
        <v>#DIV/0!</v>
      </c>
      <c r="BJ24" s="83">
        <f t="shared" si="52"/>
        <v>0</v>
      </c>
      <c r="BK24" s="84">
        <f t="shared" si="53"/>
        <v>0</v>
      </c>
      <c r="BL24" s="80" t="str">
        <f t="shared" si="45"/>
        <v>#DIV/0!</v>
      </c>
      <c r="BM24" s="81">
        <f t="shared" si="54"/>
        <v>0</v>
      </c>
      <c r="BN24" s="85"/>
    </row>
    <row r="25" ht="14.25" customHeight="1">
      <c r="A25" s="86" t="s">
        <v>34</v>
      </c>
      <c r="B25" s="86"/>
    </row>
    <row r="26" ht="14.25" customHeight="1">
      <c r="A26" s="87" t="s">
        <v>39</v>
      </c>
      <c r="B26" s="87"/>
    </row>
    <row r="27" ht="14.25" customHeight="1">
      <c r="A27" s="88" t="s">
        <v>40</v>
      </c>
      <c r="B27" s="88"/>
    </row>
    <row r="28" ht="14.25" customHeight="1"/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scale="4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14.25" customHeight="1">
      <c r="A6" s="6" t="s">
        <v>49</v>
      </c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91" t="s">
        <v>38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0</v>
      </c>
      <c r="C12" s="56">
        <f t="shared" si="1"/>
        <v>0</v>
      </c>
      <c r="D12" s="57" t="str">
        <f t="shared" ref="D12:D23" si="22">E12/C12</f>
        <v>#DIV/0!</v>
      </c>
      <c r="E12" s="58">
        <f t="shared" ref="E12:F12" si="2">SUM(E13:E24)</f>
        <v>0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56">
        <f t="shared" si="3"/>
        <v>0</v>
      </c>
      <c r="J12" s="57" t="str">
        <f t="shared" ref="J12:J23" si="24">K12/I12</f>
        <v>#DIV/0!</v>
      </c>
      <c r="K12" s="58">
        <f t="shared" ref="K12:L12" si="4">SUM(K13:K24)</f>
        <v>0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56">
        <f t="shared" si="5"/>
        <v>0</v>
      </c>
      <c r="P12" s="57" t="str">
        <f t="shared" ref="P12:P23" si="26">Q12/O12</f>
        <v>#DIV/0!</v>
      </c>
      <c r="Q12" s="58">
        <f t="shared" ref="Q12:R12" si="6">SUM(Q13:Q24)</f>
        <v>0</v>
      </c>
      <c r="R12" s="56">
        <f t="shared" si="6"/>
        <v>0</v>
      </c>
      <c r="S12" s="57" t="str">
        <f t="shared" ref="S12:S23" si="27">T12/R12</f>
        <v>#DIV/0!</v>
      </c>
      <c r="T12" s="58">
        <f t="shared" ref="T12:U12" si="7">SUM(T13:T24)</f>
        <v>0</v>
      </c>
      <c r="U12" s="56">
        <f t="shared" si="7"/>
        <v>0</v>
      </c>
      <c r="V12" s="57" t="str">
        <f t="shared" ref="V12:V23" si="28">W12/U12</f>
        <v>#DIV/0!</v>
      </c>
      <c r="W12" s="58">
        <f t="shared" ref="W12:X12" si="8">SUM(W13:W24)</f>
        <v>0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56">
        <f t="shared" si="9"/>
        <v>0</v>
      </c>
      <c r="AB12" s="57" t="str">
        <f t="shared" ref="AB12:AB23" si="30">AC12/AA12</f>
        <v>#DIV/0!</v>
      </c>
      <c r="AC12" s="58">
        <f t="shared" ref="AC12:AD12" si="10">SUM(AC13:AC24)</f>
        <v>0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56">
        <f t="shared" si="11"/>
        <v>0</v>
      </c>
      <c r="AH12" s="57" t="str">
        <f t="shared" ref="AH12:AH23" si="32">AI12/AG12</f>
        <v>#DIV/0!</v>
      </c>
      <c r="AI12" s="58">
        <f t="shared" ref="AI12:AJ12" si="12">SUM(AI13:AI24)</f>
        <v>0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56">
        <f t="shared" si="15"/>
        <v>0</v>
      </c>
      <c r="AT12" s="57" t="str">
        <f t="shared" ref="AT12:AT23" si="36">AU12/AS12</f>
        <v>#DIV/0!</v>
      </c>
      <c r="AU12" s="58">
        <f t="shared" ref="AU12:AV12" si="16">SUM(AU13:AU24)</f>
        <v>0</v>
      </c>
      <c r="AV12" s="56">
        <f t="shared" si="16"/>
        <v>0</v>
      </c>
      <c r="AW12" s="57" t="str">
        <f t="shared" ref="AW12:AW24" si="37">AX12/AV12</f>
        <v>#DIV/0!</v>
      </c>
      <c r="AX12" s="59">
        <f t="shared" ref="AX12:AY12" si="17">SUM(AX13:AX24)</f>
        <v>0</v>
      </c>
      <c r="AY12" s="56">
        <f t="shared" si="17"/>
        <v>0</v>
      </c>
      <c r="AZ12" s="57" t="str">
        <f t="shared" ref="AZ12:AZ24" si="39">BA12/AY12</f>
        <v>#DIV/0!</v>
      </c>
      <c r="BA12" s="60">
        <f t="shared" ref="BA12:BB12" si="18">SUM(BA13:BA24)</f>
        <v>0</v>
      </c>
      <c r="BB12" s="61">
        <f t="shared" si="18"/>
        <v>0</v>
      </c>
      <c r="BC12" s="57" t="str">
        <f t="shared" ref="BC12:BC24" si="40">BD12/BB12</f>
        <v>#DIV/0!</v>
      </c>
      <c r="BD12" s="59">
        <f t="shared" ref="BD12:BE12" si="19">SUM(BD13:BD24)</f>
        <v>0</v>
      </c>
      <c r="BE12" s="56">
        <f t="shared" si="19"/>
        <v>0</v>
      </c>
      <c r="BF12" s="57" t="str">
        <f t="shared" ref="BF12:BF24" si="42">BG12/BE12</f>
        <v>#DIV/0!</v>
      </c>
      <c r="BG12" s="60">
        <f t="shared" ref="BG12:BH12" si="20">SUM(BG13:BG24)</f>
        <v>0</v>
      </c>
      <c r="BH12" s="56">
        <f t="shared" si="20"/>
        <v>0</v>
      </c>
      <c r="BI12" s="57" t="str">
        <f t="shared" ref="BI12:BI24" si="44">BJ12/BH12</f>
        <v>#DIV/0!</v>
      </c>
      <c r="BJ12" s="60">
        <f t="shared" ref="BJ12:BK12" si="21">SUM(BJ13:BJ24)</f>
        <v>0</v>
      </c>
      <c r="BK12" s="61">
        <f t="shared" si="21"/>
        <v>0</v>
      </c>
      <c r="BL12" s="57" t="str">
        <f t="shared" ref="BL12:BL24" si="45">BM12/BK12</f>
        <v>#DIV/0!</v>
      </c>
      <c r="BM12" s="58">
        <f>SUM(BM13:BM24)</f>
        <v>0</v>
      </c>
      <c r="BN12" s="64"/>
    </row>
    <row r="13" ht="14.25" customHeight="1">
      <c r="A13" s="65" t="s">
        <v>23</v>
      </c>
      <c r="B13" s="65"/>
      <c r="C13" s="66"/>
      <c r="D13" s="67" t="str">
        <f t="shared" si="22"/>
        <v>#DIV/0!</v>
      </c>
      <c r="E13" s="68"/>
      <c r="F13" s="66"/>
      <c r="G13" s="67" t="str">
        <f t="shared" si="23"/>
        <v>#DIV/0!</v>
      </c>
      <c r="H13" s="68"/>
      <c r="I13" s="66"/>
      <c r="J13" s="67" t="str">
        <f t="shared" si="24"/>
        <v>#DIV/0!</v>
      </c>
      <c r="K13" s="68"/>
      <c r="L13" s="66"/>
      <c r="M13" s="67" t="str">
        <f t="shared" si="25"/>
        <v>#DIV/0!</v>
      </c>
      <c r="N13" s="68"/>
      <c r="O13" s="66"/>
      <c r="P13" s="67" t="str">
        <f t="shared" si="26"/>
        <v>#DIV/0!</v>
      </c>
      <c r="Q13" s="68"/>
      <c r="R13" s="66"/>
      <c r="S13" s="67" t="str">
        <f t="shared" si="27"/>
        <v>#DIV/0!</v>
      </c>
      <c r="T13" s="68"/>
      <c r="U13" s="66"/>
      <c r="V13" s="67" t="str">
        <f t="shared" si="28"/>
        <v>#DIV/0!</v>
      </c>
      <c r="W13" s="68"/>
      <c r="X13" s="66"/>
      <c r="Y13" s="67" t="str">
        <f t="shared" si="29"/>
        <v>#DIV/0!</v>
      </c>
      <c r="Z13" s="68"/>
      <c r="AA13" s="66"/>
      <c r="AB13" s="67" t="str">
        <f t="shared" si="30"/>
        <v>#DIV/0!</v>
      </c>
      <c r="AC13" s="68"/>
      <c r="AD13" s="66"/>
      <c r="AE13" s="67" t="str">
        <f t="shared" si="31"/>
        <v>#DIV/0!</v>
      </c>
      <c r="AF13" s="68"/>
      <c r="AG13" s="66"/>
      <c r="AH13" s="67" t="str">
        <f t="shared" si="32"/>
        <v>#DIV/0!</v>
      </c>
      <c r="AI13" s="68"/>
      <c r="AJ13" s="66"/>
      <c r="AK13" s="67" t="str">
        <f t="shared" si="33"/>
        <v>#DIV/0!</v>
      </c>
      <c r="AL13" s="68"/>
      <c r="AM13" s="66"/>
      <c r="AN13" s="67" t="str">
        <f t="shared" si="34"/>
        <v>#DIV/0!</v>
      </c>
      <c r="AO13" s="68"/>
      <c r="AP13" s="66"/>
      <c r="AQ13" s="67" t="str">
        <f t="shared" si="35"/>
        <v>#DIV/0!</v>
      </c>
      <c r="AR13" s="68"/>
      <c r="AS13" s="66"/>
      <c r="AT13" s="67" t="str">
        <f t="shared" si="36"/>
        <v>#DIV/0!</v>
      </c>
      <c r="AU13" s="68"/>
      <c r="AV13" s="66">
        <f t="shared" ref="AV13:AV24" si="46">C13+U13</f>
        <v>0</v>
      </c>
      <c r="AW13" s="67" t="str">
        <f t="shared" si="37"/>
        <v>#DIV/0!</v>
      </c>
      <c r="AX13" s="71">
        <f t="shared" ref="AX13:AY13" si="38">E13+W13</f>
        <v>0</v>
      </c>
      <c r="AY13" s="66">
        <f t="shared" si="38"/>
        <v>0</v>
      </c>
      <c r="AZ13" s="67" t="str">
        <f t="shared" si="39"/>
        <v>#DIV/0!</v>
      </c>
      <c r="BA13" s="72">
        <f t="shared" ref="BA13:BA24" si="48">H13+Z13</f>
        <v>0</v>
      </c>
      <c r="BB13" s="73">
        <f t="shared" ref="BB13:BB24" si="49">AJ13+AA13+I13</f>
        <v>0</v>
      </c>
      <c r="BC13" s="67" t="str">
        <f t="shared" si="40"/>
        <v>#DIV/0!</v>
      </c>
      <c r="BD13" s="71">
        <f t="shared" ref="BD13:BE13" si="41">AL13+AC13+K13</f>
        <v>0</v>
      </c>
      <c r="BE13" s="66">
        <f t="shared" si="41"/>
        <v>0</v>
      </c>
      <c r="BF13" s="67" t="str">
        <f t="shared" si="42"/>
        <v>#DIV/0!</v>
      </c>
      <c r="BG13" s="72">
        <f t="shared" ref="BG13:BH13" si="43">AO13+AF13+N13</f>
        <v>0</v>
      </c>
      <c r="BH13" s="66">
        <f t="shared" si="43"/>
        <v>0</v>
      </c>
      <c r="BI13" s="67" t="str">
        <f t="shared" si="44"/>
        <v>#DIV/0!</v>
      </c>
      <c r="BJ13" s="72">
        <f t="shared" ref="BJ13:BJ24" si="52">AR13+AI13+Q13</f>
        <v>0</v>
      </c>
      <c r="BK13" s="73">
        <f t="shared" ref="BK13:BK24" si="53">AV13+AY13+BB13+BE13+BH13</f>
        <v>0</v>
      </c>
      <c r="BL13" s="67" t="str">
        <f t="shared" si="45"/>
        <v>#DIV/0!</v>
      </c>
      <c r="BM13" s="68">
        <f t="shared" ref="BM13:BM24" si="54">AX13+BA13+BD13+BG13+BJ13</f>
        <v>0</v>
      </c>
      <c r="BN13" s="76"/>
    </row>
    <row r="14" ht="14.25" customHeight="1">
      <c r="A14" s="65" t="s">
        <v>24</v>
      </c>
      <c r="B14" s="65"/>
      <c r="C14" s="66"/>
      <c r="D14" s="67" t="str">
        <f t="shared" si="22"/>
        <v>#DIV/0!</v>
      </c>
      <c r="E14" s="68"/>
      <c r="F14" s="66"/>
      <c r="G14" s="67" t="str">
        <f t="shared" si="23"/>
        <v>#DIV/0!</v>
      </c>
      <c r="H14" s="68"/>
      <c r="I14" s="66"/>
      <c r="J14" s="67" t="str">
        <f t="shared" si="24"/>
        <v>#DIV/0!</v>
      </c>
      <c r="K14" s="68"/>
      <c r="L14" s="66"/>
      <c r="M14" s="67" t="str">
        <f t="shared" si="25"/>
        <v>#DIV/0!</v>
      </c>
      <c r="N14" s="68"/>
      <c r="O14" s="66"/>
      <c r="P14" s="67" t="str">
        <f t="shared" si="26"/>
        <v>#DIV/0!</v>
      </c>
      <c r="Q14" s="68"/>
      <c r="R14" s="66"/>
      <c r="S14" s="67" t="str">
        <f t="shared" si="27"/>
        <v>#DIV/0!</v>
      </c>
      <c r="T14" s="68"/>
      <c r="U14" s="66"/>
      <c r="V14" s="67" t="str">
        <f t="shared" si="28"/>
        <v>#DIV/0!</v>
      </c>
      <c r="W14" s="68"/>
      <c r="X14" s="66"/>
      <c r="Y14" s="67" t="str">
        <f t="shared" si="29"/>
        <v>#DIV/0!</v>
      </c>
      <c r="Z14" s="68"/>
      <c r="AA14" s="66"/>
      <c r="AB14" s="67" t="str">
        <f t="shared" si="30"/>
        <v>#DIV/0!</v>
      </c>
      <c r="AC14" s="68"/>
      <c r="AD14" s="66"/>
      <c r="AE14" s="67" t="str">
        <f t="shared" si="31"/>
        <v>#DIV/0!</v>
      </c>
      <c r="AF14" s="68"/>
      <c r="AG14" s="66"/>
      <c r="AH14" s="67" t="str">
        <f t="shared" si="32"/>
        <v>#DIV/0!</v>
      </c>
      <c r="AI14" s="68"/>
      <c r="AJ14" s="66"/>
      <c r="AK14" s="67" t="str">
        <f t="shared" si="33"/>
        <v>#DIV/0!</v>
      </c>
      <c r="AL14" s="68"/>
      <c r="AM14" s="66"/>
      <c r="AN14" s="67" t="str">
        <f t="shared" si="34"/>
        <v>#DIV/0!</v>
      </c>
      <c r="AO14" s="68"/>
      <c r="AP14" s="66"/>
      <c r="AQ14" s="67" t="str">
        <f t="shared" si="35"/>
        <v>#DIV/0!</v>
      </c>
      <c r="AR14" s="68"/>
      <c r="AS14" s="66"/>
      <c r="AT14" s="67" t="str">
        <f t="shared" si="36"/>
        <v>#DIV/0!</v>
      </c>
      <c r="AU14" s="68"/>
      <c r="AV14" s="66">
        <f t="shared" si="46"/>
        <v>0</v>
      </c>
      <c r="AW14" s="67" t="str">
        <f t="shared" si="37"/>
        <v>#DIV/0!</v>
      </c>
      <c r="AX14" s="71">
        <f t="shared" ref="AX14:AY14" si="47">E14+W14</f>
        <v>0</v>
      </c>
      <c r="AY14" s="66">
        <f t="shared" si="47"/>
        <v>0</v>
      </c>
      <c r="AZ14" s="67" t="str">
        <f t="shared" si="39"/>
        <v>#DIV/0!</v>
      </c>
      <c r="BA14" s="72">
        <f t="shared" si="48"/>
        <v>0</v>
      </c>
      <c r="BB14" s="73">
        <f t="shared" si="49"/>
        <v>0</v>
      </c>
      <c r="BC14" s="67" t="str">
        <f t="shared" si="40"/>
        <v>#DIV/0!</v>
      </c>
      <c r="BD14" s="71">
        <f t="shared" ref="BD14:BE14" si="50">AL14+AC14+K14</f>
        <v>0</v>
      </c>
      <c r="BE14" s="66">
        <f t="shared" si="50"/>
        <v>0</v>
      </c>
      <c r="BF14" s="67" t="str">
        <f t="shared" si="42"/>
        <v>#DIV/0!</v>
      </c>
      <c r="BG14" s="72">
        <f t="shared" ref="BG14:BH14" si="51">AO14+AF14+N14</f>
        <v>0</v>
      </c>
      <c r="BH14" s="66">
        <f t="shared" si="51"/>
        <v>0</v>
      </c>
      <c r="BI14" s="67" t="str">
        <f t="shared" si="44"/>
        <v>#DIV/0!</v>
      </c>
      <c r="BJ14" s="72">
        <f t="shared" si="52"/>
        <v>0</v>
      </c>
      <c r="BK14" s="73">
        <f t="shared" si="53"/>
        <v>0</v>
      </c>
      <c r="BL14" s="67" t="str">
        <f t="shared" si="45"/>
        <v>#DIV/0!</v>
      </c>
      <c r="BM14" s="68">
        <f t="shared" si="54"/>
        <v>0</v>
      </c>
      <c r="BN14" s="76"/>
    </row>
    <row r="15" ht="14.25" customHeight="1">
      <c r="A15" s="65" t="s">
        <v>25</v>
      </c>
      <c r="B15" s="65"/>
      <c r="C15" s="66"/>
      <c r="D15" s="67" t="str">
        <f t="shared" si="22"/>
        <v>#DIV/0!</v>
      </c>
      <c r="E15" s="68"/>
      <c r="F15" s="66"/>
      <c r="G15" s="67" t="str">
        <f t="shared" si="23"/>
        <v>#DIV/0!</v>
      </c>
      <c r="H15" s="68"/>
      <c r="I15" s="66"/>
      <c r="J15" s="67" t="str">
        <f t="shared" si="24"/>
        <v>#DIV/0!</v>
      </c>
      <c r="K15" s="68"/>
      <c r="L15" s="66"/>
      <c r="M15" s="67" t="str">
        <f t="shared" si="25"/>
        <v>#DIV/0!</v>
      </c>
      <c r="N15" s="68"/>
      <c r="O15" s="66"/>
      <c r="P15" s="67" t="str">
        <f t="shared" si="26"/>
        <v>#DIV/0!</v>
      </c>
      <c r="Q15" s="68"/>
      <c r="R15" s="66"/>
      <c r="S15" s="67" t="str">
        <f t="shared" si="27"/>
        <v>#DIV/0!</v>
      </c>
      <c r="T15" s="68"/>
      <c r="U15" s="66"/>
      <c r="V15" s="67" t="str">
        <f t="shared" si="28"/>
        <v>#DIV/0!</v>
      </c>
      <c r="W15" s="68"/>
      <c r="X15" s="66"/>
      <c r="Y15" s="67" t="str">
        <f t="shared" si="29"/>
        <v>#DIV/0!</v>
      </c>
      <c r="Z15" s="68"/>
      <c r="AA15" s="66"/>
      <c r="AB15" s="67" t="str">
        <f t="shared" si="30"/>
        <v>#DIV/0!</v>
      </c>
      <c r="AC15" s="68"/>
      <c r="AD15" s="66"/>
      <c r="AE15" s="67" t="str">
        <f t="shared" si="31"/>
        <v>#DIV/0!</v>
      </c>
      <c r="AF15" s="68"/>
      <c r="AG15" s="66"/>
      <c r="AH15" s="67" t="str">
        <f t="shared" si="32"/>
        <v>#DIV/0!</v>
      </c>
      <c r="AI15" s="68"/>
      <c r="AJ15" s="66"/>
      <c r="AK15" s="67" t="str">
        <f t="shared" si="33"/>
        <v>#DIV/0!</v>
      </c>
      <c r="AL15" s="68"/>
      <c r="AM15" s="66"/>
      <c r="AN15" s="67" t="str">
        <f t="shared" si="34"/>
        <v>#DIV/0!</v>
      </c>
      <c r="AO15" s="68"/>
      <c r="AP15" s="66"/>
      <c r="AQ15" s="67" t="str">
        <f t="shared" si="35"/>
        <v>#DIV/0!</v>
      </c>
      <c r="AR15" s="68"/>
      <c r="AS15" s="66"/>
      <c r="AT15" s="67" t="str">
        <f t="shared" si="36"/>
        <v>#DIV/0!</v>
      </c>
      <c r="AU15" s="68"/>
      <c r="AV15" s="66">
        <f t="shared" si="46"/>
        <v>0</v>
      </c>
      <c r="AW15" s="67" t="str">
        <f t="shared" si="37"/>
        <v>#DIV/0!</v>
      </c>
      <c r="AX15" s="71">
        <f t="shared" ref="AX15:AY15" si="55">E15+W15</f>
        <v>0</v>
      </c>
      <c r="AY15" s="66">
        <f t="shared" si="55"/>
        <v>0</v>
      </c>
      <c r="AZ15" s="67" t="str">
        <f t="shared" si="39"/>
        <v>#DIV/0!</v>
      </c>
      <c r="BA15" s="72">
        <f t="shared" si="48"/>
        <v>0</v>
      </c>
      <c r="BB15" s="73">
        <f t="shared" si="49"/>
        <v>0</v>
      </c>
      <c r="BC15" s="67" t="str">
        <f t="shared" si="40"/>
        <v>#DIV/0!</v>
      </c>
      <c r="BD15" s="71">
        <f t="shared" ref="BD15:BE15" si="56">AL15+AC15+K15</f>
        <v>0</v>
      </c>
      <c r="BE15" s="66">
        <f t="shared" si="56"/>
        <v>0</v>
      </c>
      <c r="BF15" s="67" t="str">
        <f t="shared" si="42"/>
        <v>#DIV/0!</v>
      </c>
      <c r="BG15" s="72">
        <f t="shared" ref="BG15:BH15" si="57">AO15+AF15+N15</f>
        <v>0</v>
      </c>
      <c r="BH15" s="66">
        <f t="shared" si="57"/>
        <v>0</v>
      </c>
      <c r="BI15" s="67" t="str">
        <f t="shared" si="44"/>
        <v>#DIV/0!</v>
      </c>
      <c r="BJ15" s="72">
        <f t="shared" si="52"/>
        <v>0</v>
      </c>
      <c r="BK15" s="73">
        <f t="shared" si="53"/>
        <v>0</v>
      </c>
      <c r="BL15" s="67" t="str">
        <f t="shared" si="45"/>
        <v>#DIV/0!</v>
      </c>
      <c r="BM15" s="68">
        <f t="shared" si="54"/>
        <v>0</v>
      </c>
      <c r="BN15" s="76"/>
    </row>
    <row r="16" ht="14.25" customHeight="1">
      <c r="A16" s="65" t="s">
        <v>26</v>
      </c>
      <c r="B16" s="65"/>
      <c r="C16" s="66"/>
      <c r="D16" s="67" t="str">
        <f t="shared" si="22"/>
        <v>#DIV/0!</v>
      </c>
      <c r="E16" s="68"/>
      <c r="F16" s="66"/>
      <c r="G16" s="67" t="str">
        <f t="shared" si="23"/>
        <v>#DIV/0!</v>
      </c>
      <c r="H16" s="68"/>
      <c r="I16" s="66"/>
      <c r="J16" s="67" t="str">
        <f t="shared" si="24"/>
        <v>#DIV/0!</v>
      </c>
      <c r="K16" s="68"/>
      <c r="L16" s="66"/>
      <c r="M16" s="67" t="str">
        <f t="shared" si="25"/>
        <v>#DIV/0!</v>
      </c>
      <c r="N16" s="68"/>
      <c r="O16" s="66"/>
      <c r="P16" s="67" t="str">
        <f t="shared" si="26"/>
        <v>#DIV/0!</v>
      </c>
      <c r="Q16" s="68"/>
      <c r="R16" s="66"/>
      <c r="S16" s="67" t="str">
        <f t="shared" si="27"/>
        <v>#DIV/0!</v>
      </c>
      <c r="T16" s="68"/>
      <c r="U16" s="66"/>
      <c r="V16" s="67" t="str">
        <f t="shared" si="28"/>
        <v>#DIV/0!</v>
      </c>
      <c r="W16" s="68"/>
      <c r="X16" s="66"/>
      <c r="Y16" s="67" t="str">
        <f t="shared" si="29"/>
        <v>#DIV/0!</v>
      </c>
      <c r="Z16" s="68"/>
      <c r="AA16" s="66"/>
      <c r="AB16" s="67" t="str">
        <f t="shared" si="30"/>
        <v>#DIV/0!</v>
      </c>
      <c r="AC16" s="68"/>
      <c r="AD16" s="66"/>
      <c r="AE16" s="67" t="str">
        <f t="shared" si="31"/>
        <v>#DIV/0!</v>
      </c>
      <c r="AF16" s="68"/>
      <c r="AG16" s="66"/>
      <c r="AH16" s="67" t="str">
        <f t="shared" si="32"/>
        <v>#DIV/0!</v>
      </c>
      <c r="AI16" s="68"/>
      <c r="AJ16" s="66"/>
      <c r="AK16" s="67" t="str">
        <f t="shared" si="33"/>
        <v>#DIV/0!</v>
      </c>
      <c r="AL16" s="68"/>
      <c r="AM16" s="66"/>
      <c r="AN16" s="67" t="str">
        <f t="shared" si="34"/>
        <v>#DIV/0!</v>
      </c>
      <c r="AO16" s="68"/>
      <c r="AP16" s="66"/>
      <c r="AQ16" s="67" t="str">
        <f t="shared" si="35"/>
        <v>#DIV/0!</v>
      </c>
      <c r="AR16" s="68"/>
      <c r="AS16" s="66"/>
      <c r="AT16" s="67" t="str">
        <f t="shared" si="36"/>
        <v>#DIV/0!</v>
      </c>
      <c r="AU16" s="68"/>
      <c r="AV16" s="66">
        <f t="shared" si="46"/>
        <v>0</v>
      </c>
      <c r="AW16" s="67" t="str">
        <f t="shared" si="37"/>
        <v>#DIV/0!</v>
      </c>
      <c r="AX16" s="71">
        <f t="shared" ref="AX16:AY16" si="58">E16+W16</f>
        <v>0</v>
      </c>
      <c r="AY16" s="66">
        <f t="shared" si="58"/>
        <v>0</v>
      </c>
      <c r="AZ16" s="67" t="str">
        <f t="shared" si="39"/>
        <v>#DIV/0!</v>
      </c>
      <c r="BA16" s="72">
        <f t="shared" si="48"/>
        <v>0</v>
      </c>
      <c r="BB16" s="73">
        <f t="shared" si="49"/>
        <v>0</v>
      </c>
      <c r="BC16" s="67" t="str">
        <f t="shared" si="40"/>
        <v>#DIV/0!</v>
      </c>
      <c r="BD16" s="71">
        <f t="shared" ref="BD16:BE16" si="59">AL16+AC16+K16</f>
        <v>0</v>
      </c>
      <c r="BE16" s="66">
        <f t="shared" si="59"/>
        <v>0</v>
      </c>
      <c r="BF16" s="67" t="str">
        <f t="shared" si="42"/>
        <v>#DIV/0!</v>
      </c>
      <c r="BG16" s="72">
        <f t="shared" ref="BG16:BH16" si="60">AO16+AF16+N16</f>
        <v>0</v>
      </c>
      <c r="BH16" s="66">
        <f t="shared" si="60"/>
        <v>0</v>
      </c>
      <c r="BI16" s="67" t="str">
        <f t="shared" si="44"/>
        <v>#DIV/0!</v>
      </c>
      <c r="BJ16" s="72">
        <f t="shared" si="52"/>
        <v>0</v>
      </c>
      <c r="BK16" s="73">
        <f t="shared" si="53"/>
        <v>0</v>
      </c>
      <c r="BL16" s="67" t="str">
        <f t="shared" si="45"/>
        <v>#DIV/0!</v>
      </c>
      <c r="BM16" s="68">
        <f t="shared" si="54"/>
        <v>0</v>
      </c>
      <c r="BN16" s="76"/>
    </row>
    <row r="17" ht="14.25" customHeight="1">
      <c r="A17" s="65" t="s">
        <v>27</v>
      </c>
      <c r="B17" s="65"/>
      <c r="C17" s="66"/>
      <c r="D17" s="67" t="str">
        <f t="shared" si="22"/>
        <v>#DIV/0!</v>
      </c>
      <c r="E17" s="68"/>
      <c r="F17" s="66"/>
      <c r="G17" s="67" t="str">
        <f t="shared" si="23"/>
        <v>#DIV/0!</v>
      </c>
      <c r="H17" s="68"/>
      <c r="I17" s="66"/>
      <c r="J17" s="67" t="str">
        <f t="shared" si="24"/>
        <v>#DIV/0!</v>
      </c>
      <c r="K17" s="68"/>
      <c r="L17" s="66"/>
      <c r="M17" s="67" t="str">
        <f t="shared" si="25"/>
        <v>#DIV/0!</v>
      </c>
      <c r="N17" s="68"/>
      <c r="O17" s="66"/>
      <c r="P17" s="67" t="str">
        <f t="shared" si="26"/>
        <v>#DIV/0!</v>
      </c>
      <c r="Q17" s="68"/>
      <c r="R17" s="66"/>
      <c r="S17" s="67" t="str">
        <f t="shared" si="27"/>
        <v>#DIV/0!</v>
      </c>
      <c r="T17" s="68"/>
      <c r="U17" s="66"/>
      <c r="V17" s="67" t="str">
        <f t="shared" si="28"/>
        <v>#DIV/0!</v>
      </c>
      <c r="W17" s="68"/>
      <c r="X17" s="66"/>
      <c r="Y17" s="67" t="str">
        <f t="shared" si="29"/>
        <v>#DIV/0!</v>
      </c>
      <c r="Z17" s="68"/>
      <c r="AA17" s="66"/>
      <c r="AB17" s="67" t="str">
        <f t="shared" si="30"/>
        <v>#DIV/0!</v>
      </c>
      <c r="AC17" s="68"/>
      <c r="AD17" s="66"/>
      <c r="AE17" s="67" t="str">
        <f t="shared" si="31"/>
        <v>#DIV/0!</v>
      </c>
      <c r="AF17" s="68"/>
      <c r="AG17" s="66"/>
      <c r="AH17" s="67" t="str">
        <f t="shared" si="32"/>
        <v>#DIV/0!</v>
      </c>
      <c r="AI17" s="68"/>
      <c r="AJ17" s="66"/>
      <c r="AK17" s="67" t="str">
        <f t="shared" si="33"/>
        <v>#DIV/0!</v>
      </c>
      <c r="AL17" s="68"/>
      <c r="AM17" s="66"/>
      <c r="AN17" s="67" t="str">
        <f t="shared" si="34"/>
        <v>#DIV/0!</v>
      </c>
      <c r="AO17" s="68"/>
      <c r="AP17" s="66"/>
      <c r="AQ17" s="67" t="str">
        <f t="shared" si="35"/>
        <v>#DIV/0!</v>
      </c>
      <c r="AR17" s="68"/>
      <c r="AS17" s="66"/>
      <c r="AT17" s="67" t="str">
        <f t="shared" si="36"/>
        <v>#DIV/0!</v>
      </c>
      <c r="AU17" s="68"/>
      <c r="AV17" s="66">
        <f t="shared" si="46"/>
        <v>0</v>
      </c>
      <c r="AW17" s="67" t="str">
        <f t="shared" si="37"/>
        <v>#DIV/0!</v>
      </c>
      <c r="AX17" s="71">
        <f t="shared" ref="AX17:AY17" si="61">E17+W17</f>
        <v>0</v>
      </c>
      <c r="AY17" s="66">
        <f t="shared" si="61"/>
        <v>0</v>
      </c>
      <c r="AZ17" s="67" t="str">
        <f t="shared" si="39"/>
        <v>#DIV/0!</v>
      </c>
      <c r="BA17" s="72">
        <f t="shared" si="48"/>
        <v>0</v>
      </c>
      <c r="BB17" s="73">
        <f t="shared" si="49"/>
        <v>0</v>
      </c>
      <c r="BC17" s="67" t="str">
        <f t="shared" si="40"/>
        <v>#DIV/0!</v>
      </c>
      <c r="BD17" s="71">
        <f t="shared" ref="BD17:BE17" si="62">AL17+AC17+K17</f>
        <v>0</v>
      </c>
      <c r="BE17" s="66">
        <f t="shared" si="62"/>
        <v>0</v>
      </c>
      <c r="BF17" s="67" t="str">
        <f t="shared" si="42"/>
        <v>#DIV/0!</v>
      </c>
      <c r="BG17" s="72">
        <f t="shared" ref="BG17:BH17" si="63">AO17+AF17+N17</f>
        <v>0</v>
      </c>
      <c r="BH17" s="66">
        <f t="shared" si="63"/>
        <v>0</v>
      </c>
      <c r="BI17" s="67" t="str">
        <f t="shared" si="44"/>
        <v>#DIV/0!</v>
      </c>
      <c r="BJ17" s="72">
        <f t="shared" si="52"/>
        <v>0</v>
      </c>
      <c r="BK17" s="73">
        <f t="shared" si="53"/>
        <v>0</v>
      </c>
      <c r="BL17" s="67" t="str">
        <f t="shared" si="45"/>
        <v>#DIV/0!</v>
      </c>
      <c r="BM17" s="68">
        <f t="shared" si="54"/>
        <v>0</v>
      </c>
      <c r="BN17" s="76"/>
    </row>
    <row r="18" ht="14.25" customHeight="1">
      <c r="A18" s="65" t="s">
        <v>28</v>
      </c>
      <c r="B18" s="65"/>
      <c r="C18" s="66"/>
      <c r="D18" s="67" t="str">
        <f t="shared" si="22"/>
        <v>#DIV/0!</v>
      </c>
      <c r="E18" s="68"/>
      <c r="F18" s="66"/>
      <c r="G18" s="67" t="str">
        <f t="shared" si="23"/>
        <v>#DIV/0!</v>
      </c>
      <c r="H18" s="68"/>
      <c r="I18" s="66"/>
      <c r="J18" s="67" t="str">
        <f t="shared" si="24"/>
        <v>#DIV/0!</v>
      </c>
      <c r="K18" s="68"/>
      <c r="L18" s="66"/>
      <c r="M18" s="67" t="str">
        <f t="shared" si="25"/>
        <v>#DIV/0!</v>
      </c>
      <c r="N18" s="68"/>
      <c r="O18" s="66"/>
      <c r="P18" s="67" t="str">
        <f t="shared" si="26"/>
        <v>#DIV/0!</v>
      </c>
      <c r="Q18" s="68"/>
      <c r="R18" s="66"/>
      <c r="S18" s="67" t="str">
        <f t="shared" si="27"/>
        <v>#DIV/0!</v>
      </c>
      <c r="T18" s="68"/>
      <c r="U18" s="66"/>
      <c r="V18" s="67" t="str">
        <f t="shared" si="28"/>
        <v>#DIV/0!</v>
      </c>
      <c r="W18" s="68"/>
      <c r="X18" s="66"/>
      <c r="Y18" s="67" t="str">
        <f t="shared" si="29"/>
        <v>#DIV/0!</v>
      </c>
      <c r="Z18" s="68"/>
      <c r="AA18" s="66"/>
      <c r="AB18" s="67" t="str">
        <f t="shared" si="30"/>
        <v>#DIV/0!</v>
      </c>
      <c r="AC18" s="68"/>
      <c r="AD18" s="66"/>
      <c r="AE18" s="67" t="str">
        <f t="shared" si="31"/>
        <v>#DIV/0!</v>
      </c>
      <c r="AF18" s="68"/>
      <c r="AG18" s="66"/>
      <c r="AH18" s="67" t="str">
        <f t="shared" si="32"/>
        <v>#DIV/0!</v>
      </c>
      <c r="AI18" s="68"/>
      <c r="AJ18" s="66"/>
      <c r="AK18" s="67" t="str">
        <f t="shared" si="33"/>
        <v>#DIV/0!</v>
      </c>
      <c r="AL18" s="68"/>
      <c r="AM18" s="66"/>
      <c r="AN18" s="67" t="str">
        <f t="shared" si="34"/>
        <v>#DIV/0!</v>
      </c>
      <c r="AO18" s="68"/>
      <c r="AP18" s="66"/>
      <c r="AQ18" s="67" t="str">
        <f t="shared" si="35"/>
        <v>#DIV/0!</v>
      </c>
      <c r="AR18" s="68"/>
      <c r="AS18" s="66"/>
      <c r="AT18" s="67" t="str">
        <f t="shared" si="36"/>
        <v>#DIV/0!</v>
      </c>
      <c r="AU18" s="68"/>
      <c r="AV18" s="66">
        <f t="shared" si="46"/>
        <v>0</v>
      </c>
      <c r="AW18" s="67" t="str">
        <f t="shared" si="37"/>
        <v>#DIV/0!</v>
      </c>
      <c r="AX18" s="71">
        <f t="shared" ref="AX18:AY18" si="64">E18+W18</f>
        <v>0</v>
      </c>
      <c r="AY18" s="66">
        <f t="shared" si="64"/>
        <v>0</v>
      </c>
      <c r="AZ18" s="67" t="str">
        <f t="shared" si="39"/>
        <v>#DIV/0!</v>
      </c>
      <c r="BA18" s="72">
        <f t="shared" si="48"/>
        <v>0</v>
      </c>
      <c r="BB18" s="73">
        <f t="shared" si="49"/>
        <v>0</v>
      </c>
      <c r="BC18" s="67" t="str">
        <f t="shared" si="40"/>
        <v>#DIV/0!</v>
      </c>
      <c r="BD18" s="71">
        <f t="shared" ref="BD18:BE18" si="65">AL18+AC18+K18</f>
        <v>0</v>
      </c>
      <c r="BE18" s="66">
        <f t="shared" si="65"/>
        <v>0</v>
      </c>
      <c r="BF18" s="67" t="str">
        <f t="shared" si="42"/>
        <v>#DIV/0!</v>
      </c>
      <c r="BG18" s="72">
        <f t="shared" ref="BG18:BH18" si="66">AO18+AF18+N18</f>
        <v>0</v>
      </c>
      <c r="BH18" s="66">
        <f t="shared" si="66"/>
        <v>0</v>
      </c>
      <c r="BI18" s="67" t="str">
        <f t="shared" si="44"/>
        <v>#DIV/0!</v>
      </c>
      <c r="BJ18" s="72">
        <f t="shared" si="52"/>
        <v>0</v>
      </c>
      <c r="BK18" s="73">
        <f t="shared" si="53"/>
        <v>0</v>
      </c>
      <c r="BL18" s="67" t="str">
        <f t="shared" si="45"/>
        <v>#DIV/0!</v>
      </c>
      <c r="BM18" s="68">
        <f t="shared" si="54"/>
        <v>0</v>
      </c>
      <c r="BN18" s="76"/>
    </row>
    <row r="19" ht="14.25" customHeight="1">
      <c r="A19" s="65" t="s">
        <v>29</v>
      </c>
      <c r="B19" s="65"/>
      <c r="C19" s="66"/>
      <c r="D19" s="67" t="str">
        <f t="shared" si="22"/>
        <v>#DIV/0!</v>
      </c>
      <c r="E19" s="68"/>
      <c r="F19" s="66"/>
      <c r="G19" s="67" t="str">
        <f t="shared" si="23"/>
        <v>#DIV/0!</v>
      </c>
      <c r="H19" s="68"/>
      <c r="I19" s="66"/>
      <c r="J19" s="67" t="str">
        <f t="shared" si="24"/>
        <v>#DIV/0!</v>
      </c>
      <c r="K19" s="68"/>
      <c r="L19" s="66"/>
      <c r="M19" s="67" t="str">
        <f t="shared" si="25"/>
        <v>#DIV/0!</v>
      </c>
      <c r="N19" s="68"/>
      <c r="O19" s="66"/>
      <c r="P19" s="67" t="str">
        <f t="shared" si="26"/>
        <v>#DIV/0!</v>
      </c>
      <c r="Q19" s="68"/>
      <c r="R19" s="66"/>
      <c r="S19" s="67" t="str">
        <f t="shared" si="27"/>
        <v>#DIV/0!</v>
      </c>
      <c r="T19" s="68"/>
      <c r="U19" s="66"/>
      <c r="V19" s="67" t="str">
        <f t="shared" si="28"/>
        <v>#DIV/0!</v>
      </c>
      <c r="W19" s="68"/>
      <c r="X19" s="66"/>
      <c r="Y19" s="67" t="str">
        <f t="shared" si="29"/>
        <v>#DIV/0!</v>
      </c>
      <c r="Z19" s="68"/>
      <c r="AA19" s="66"/>
      <c r="AB19" s="67" t="str">
        <f t="shared" si="30"/>
        <v>#DIV/0!</v>
      </c>
      <c r="AC19" s="68"/>
      <c r="AD19" s="66"/>
      <c r="AE19" s="67" t="str">
        <f t="shared" si="31"/>
        <v>#DIV/0!</v>
      </c>
      <c r="AF19" s="68"/>
      <c r="AG19" s="66"/>
      <c r="AH19" s="67" t="str">
        <f t="shared" si="32"/>
        <v>#DIV/0!</v>
      </c>
      <c r="AI19" s="68"/>
      <c r="AJ19" s="66"/>
      <c r="AK19" s="67" t="str">
        <f t="shared" si="33"/>
        <v>#DIV/0!</v>
      </c>
      <c r="AL19" s="68"/>
      <c r="AM19" s="66"/>
      <c r="AN19" s="67" t="str">
        <f t="shared" si="34"/>
        <v>#DIV/0!</v>
      </c>
      <c r="AO19" s="68"/>
      <c r="AP19" s="66"/>
      <c r="AQ19" s="67" t="str">
        <f t="shared" si="35"/>
        <v>#DIV/0!</v>
      </c>
      <c r="AR19" s="68"/>
      <c r="AS19" s="66"/>
      <c r="AT19" s="67" t="str">
        <f t="shared" si="36"/>
        <v>#DIV/0!</v>
      </c>
      <c r="AU19" s="68"/>
      <c r="AV19" s="66">
        <f t="shared" si="46"/>
        <v>0</v>
      </c>
      <c r="AW19" s="67" t="str">
        <f t="shared" si="37"/>
        <v>#DIV/0!</v>
      </c>
      <c r="AX19" s="71">
        <f t="shared" ref="AX19:AY19" si="67">E19+W19</f>
        <v>0</v>
      </c>
      <c r="AY19" s="66">
        <f t="shared" si="67"/>
        <v>0</v>
      </c>
      <c r="AZ19" s="67" t="str">
        <f t="shared" si="39"/>
        <v>#DIV/0!</v>
      </c>
      <c r="BA19" s="72">
        <f t="shared" si="48"/>
        <v>0</v>
      </c>
      <c r="BB19" s="73">
        <f t="shared" si="49"/>
        <v>0</v>
      </c>
      <c r="BC19" s="67" t="str">
        <f t="shared" si="40"/>
        <v>#DIV/0!</v>
      </c>
      <c r="BD19" s="71">
        <f t="shared" ref="BD19:BE19" si="68">AL19+AC19+K19</f>
        <v>0</v>
      </c>
      <c r="BE19" s="66">
        <f t="shared" si="68"/>
        <v>0</v>
      </c>
      <c r="BF19" s="67" t="str">
        <f t="shared" si="42"/>
        <v>#DIV/0!</v>
      </c>
      <c r="BG19" s="72">
        <f t="shared" ref="BG19:BH19" si="69">AO19+AF19+N19</f>
        <v>0</v>
      </c>
      <c r="BH19" s="66">
        <f t="shared" si="69"/>
        <v>0</v>
      </c>
      <c r="BI19" s="67" t="str">
        <f t="shared" si="44"/>
        <v>#DIV/0!</v>
      </c>
      <c r="BJ19" s="72">
        <f t="shared" si="52"/>
        <v>0</v>
      </c>
      <c r="BK19" s="73">
        <f t="shared" si="53"/>
        <v>0</v>
      </c>
      <c r="BL19" s="67" t="str">
        <f t="shared" si="45"/>
        <v>#DIV/0!</v>
      </c>
      <c r="BM19" s="68">
        <f t="shared" si="54"/>
        <v>0</v>
      </c>
      <c r="BN19" s="76"/>
    </row>
    <row r="20" ht="14.25" customHeight="1">
      <c r="A20" s="65" t="s">
        <v>30</v>
      </c>
      <c r="B20" s="65"/>
      <c r="C20" s="66"/>
      <c r="D20" s="67" t="str">
        <f t="shared" si="22"/>
        <v>#DIV/0!</v>
      </c>
      <c r="E20" s="68"/>
      <c r="F20" s="66"/>
      <c r="G20" s="67" t="str">
        <f t="shared" si="23"/>
        <v>#DIV/0!</v>
      </c>
      <c r="H20" s="68"/>
      <c r="I20" s="66"/>
      <c r="J20" s="67" t="str">
        <f t="shared" si="24"/>
        <v>#DIV/0!</v>
      </c>
      <c r="K20" s="68"/>
      <c r="L20" s="66"/>
      <c r="M20" s="67" t="str">
        <f t="shared" si="25"/>
        <v>#DIV/0!</v>
      </c>
      <c r="N20" s="68"/>
      <c r="O20" s="66"/>
      <c r="P20" s="67" t="str">
        <f t="shared" si="26"/>
        <v>#DIV/0!</v>
      </c>
      <c r="Q20" s="68"/>
      <c r="R20" s="66"/>
      <c r="S20" s="67" t="str">
        <f t="shared" si="27"/>
        <v>#DIV/0!</v>
      </c>
      <c r="T20" s="68"/>
      <c r="U20" s="66"/>
      <c r="V20" s="67" t="str">
        <f t="shared" si="28"/>
        <v>#DIV/0!</v>
      </c>
      <c r="W20" s="68"/>
      <c r="X20" s="66"/>
      <c r="Y20" s="67" t="str">
        <f t="shared" si="29"/>
        <v>#DIV/0!</v>
      </c>
      <c r="Z20" s="68"/>
      <c r="AA20" s="66"/>
      <c r="AB20" s="67" t="str">
        <f t="shared" si="30"/>
        <v>#DIV/0!</v>
      </c>
      <c r="AC20" s="68"/>
      <c r="AD20" s="66"/>
      <c r="AE20" s="67" t="str">
        <f t="shared" si="31"/>
        <v>#DIV/0!</v>
      </c>
      <c r="AF20" s="68"/>
      <c r="AG20" s="66"/>
      <c r="AH20" s="67" t="str">
        <f t="shared" si="32"/>
        <v>#DIV/0!</v>
      </c>
      <c r="AI20" s="68"/>
      <c r="AJ20" s="66"/>
      <c r="AK20" s="67" t="str">
        <f t="shared" si="33"/>
        <v>#DIV/0!</v>
      </c>
      <c r="AL20" s="68"/>
      <c r="AM20" s="66"/>
      <c r="AN20" s="67" t="str">
        <f t="shared" si="34"/>
        <v>#DIV/0!</v>
      </c>
      <c r="AO20" s="68"/>
      <c r="AP20" s="66"/>
      <c r="AQ20" s="67" t="str">
        <f t="shared" si="35"/>
        <v>#DIV/0!</v>
      </c>
      <c r="AR20" s="68"/>
      <c r="AS20" s="66"/>
      <c r="AT20" s="67" t="str">
        <f t="shared" si="36"/>
        <v>#DIV/0!</v>
      </c>
      <c r="AU20" s="68"/>
      <c r="AV20" s="66">
        <f t="shared" si="46"/>
        <v>0</v>
      </c>
      <c r="AW20" s="67" t="str">
        <f t="shared" si="37"/>
        <v>#DIV/0!</v>
      </c>
      <c r="AX20" s="71">
        <f t="shared" ref="AX20:AY20" si="70">E20+W20</f>
        <v>0</v>
      </c>
      <c r="AY20" s="66">
        <f t="shared" si="70"/>
        <v>0</v>
      </c>
      <c r="AZ20" s="67" t="str">
        <f t="shared" si="39"/>
        <v>#DIV/0!</v>
      </c>
      <c r="BA20" s="72">
        <f t="shared" si="48"/>
        <v>0</v>
      </c>
      <c r="BB20" s="73">
        <f t="shared" si="49"/>
        <v>0</v>
      </c>
      <c r="BC20" s="67" t="str">
        <f t="shared" si="40"/>
        <v>#DIV/0!</v>
      </c>
      <c r="BD20" s="71">
        <f t="shared" ref="BD20:BE20" si="71">AL20+AC20+K20</f>
        <v>0</v>
      </c>
      <c r="BE20" s="66">
        <f t="shared" si="71"/>
        <v>0</v>
      </c>
      <c r="BF20" s="67" t="str">
        <f t="shared" si="42"/>
        <v>#DIV/0!</v>
      </c>
      <c r="BG20" s="72">
        <f t="shared" ref="BG20:BH20" si="72">AO20+AF20+N20</f>
        <v>0</v>
      </c>
      <c r="BH20" s="66">
        <f t="shared" si="72"/>
        <v>0</v>
      </c>
      <c r="BI20" s="67" t="str">
        <f t="shared" si="44"/>
        <v>#DIV/0!</v>
      </c>
      <c r="BJ20" s="72">
        <f t="shared" si="52"/>
        <v>0</v>
      </c>
      <c r="BK20" s="73">
        <f t="shared" si="53"/>
        <v>0</v>
      </c>
      <c r="BL20" s="67" t="str">
        <f t="shared" si="45"/>
        <v>#DIV/0!</v>
      </c>
      <c r="BM20" s="68">
        <f t="shared" si="54"/>
        <v>0</v>
      </c>
      <c r="BN20" s="76"/>
    </row>
    <row r="21" ht="14.25" customHeight="1">
      <c r="A21" s="65" t="s">
        <v>31</v>
      </c>
      <c r="B21" s="65"/>
      <c r="C21" s="66"/>
      <c r="D21" s="67" t="str">
        <f t="shared" si="22"/>
        <v>#DIV/0!</v>
      </c>
      <c r="E21" s="68"/>
      <c r="F21" s="66"/>
      <c r="G21" s="67" t="str">
        <f t="shared" si="23"/>
        <v>#DIV/0!</v>
      </c>
      <c r="H21" s="68"/>
      <c r="I21" s="66"/>
      <c r="J21" s="67" t="str">
        <f t="shared" si="24"/>
        <v>#DIV/0!</v>
      </c>
      <c r="K21" s="68"/>
      <c r="L21" s="66"/>
      <c r="M21" s="67" t="str">
        <f t="shared" si="25"/>
        <v>#DIV/0!</v>
      </c>
      <c r="N21" s="68"/>
      <c r="O21" s="66"/>
      <c r="P21" s="67" t="str">
        <f t="shared" si="26"/>
        <v>#DIV/0!</v>
      </c>
      <c r="Q21" s="68"/>
      <c r="R21" s="66"/>
      <c r="S21" s="67" t="str">
        <f t="shared" si="27"/>
        <v>#DIV/0!</v>
      </c>
      <c r="T21" s="68"/>
      <c r="U21" s="66"/>
      <c r="V21" s="67" t="str">
        <f t="shared" si="28"/>
        <v>#DIV/0!</v>
      </c>
      <c r="W21" s="68"/>
      <c r="X21" s="66"/>
      <c r="Y21" s="67" t="str">
        <f t="shared" si="29"/>
        <v>#DIV/0!</v>
      </c>
      <c r="Z21" s="68"/>
      <c r="AA21" s="66"/>
      <c r="AB21" s="67" t="str">
        <f t="shared" si="30"/>
        <v>#DIV/0!</v>
      </c>
      <c r="AC21" s="68"/>
      <c r="AD21" s="66"/>
      <c r="AE21" s="67" t="str">
        <f t="shared" si="31"/>
        <v>#DIV/0!</v>
      </c>
      <c r="AF21" s="68"/>
      <c r="AG21" s="66"/>
      <c r="AH21" s="67" t="str">
        <f t="shared" si="32"/>
        <v>#DIV/0!</v>
      </c>
      <c r="AI21" s="68"/>
      <c r="AJ21" s="66"/>
      <c r="AK21" s="67" t="str">
        <f t="shared" si="33"/>
        <v>#DIV/0!</v>
      </c>
      <c r="AL21" s="68"/>
      <c r="AM21" s="66"/>
      <c r="AN21" s="67" t="str">
        <f t="shared" si="34"/>
        <v>#DIV/0!</v>
      </c>
      <c r="AO21" s="68"/>
      <c r="AP21" s="66"/>
      <c r="AQ21" s="67" t="str">
        <f t="shared" si="35"/>
        <v>#DIV/0!</v>
      </c>
      <c r="AR21" s="68"/>
      <c r="AS21" s="66"/>
      <c r="AT21" s="67" t="str">
        <f t="shared" si="36"/>
        <v>#DIV/0!</v>
      </c>
      <c r="AU21" s="68"/>
      <c r="AV21" s="66">
        <f t="shared" si="46"/>
        <v>0</v>
      </c>
      <c r="AW21" s="67" t="str">
        <f t="shared" si="37"/>
        <v>#DIV/0!</v>
      </c>
      <c r="AX21" s="71">
        <f t="shared" ref="AX21:AY21" si="73">E21+W21</f>
        <v>0</v>
      </c>
      <c r="AY21" s="66">
        <f t="shared" si="73"/>
        <v>0</v>
      </c>
      <c r="AZ21" s="67" t="str">
        <f t="shared" si="39"/>
        <v>#DIV/0!</v>
      </c>
      <c r="BA21" s="72">
        <f t="shared" si="48"/>
        <v>0</v>
      </c>
      <c r="BB21" s="73">
        <f t="shared" si="49"/>
        <v>0</v>
      </c>
      <c r="BC21" s="67" t="str">
        <f t="shared" si="40"/>
        <v>#DIV/0!</v>
      </c>
      <c r="BD21" s="71">
        <f t="shared" ref="BD21:BE21" si="74">AL21+AC21+K21</f>
        <v>0</v>
      </c>
      <c r="BE21" s="66">
        <f t="shared" si="74"/>
        <v>0</v>
      </c>
      <c r="BF21" s="67" t="str">
        <f t="shared" si="42"/>
        <v>#DIV/0!</v>
      </c>
      <c r="BG21" s="72">
        <f t="shared" ref="BG21:BH21" si="75">AO21+AF21+N21</f>
        <v>0</v>
      </c>
      <c r="BH21" s="66">
        <f t="shared" si="75"/>
        <v>0</v>
      </c>
      <c r="BI21" s="67" t="str">
        <f t="shared" si="44"/>
        <v>#DIV/0!</v>
      </c>
      <c r="BJ21" s="72">
        <f t="shared" si="52"/>
        <v>0</v>
      </c>
      <c r="BK21" s="73">
        <f t="shared" si="53"/>
        <v>0</v>
      </c>
      <c r="BL21" s="67" t="str">
        <f t="shared" si="45"/>
        <v>#DIV/0!</v>
      </c>
      <c r="BM21" s="68">
        <f t="shared" si="54"/>
        <v>0</v>
      </c>
      <c r="BN21" s="76"/>
    </row>
    <row r="22" ht="14.25" customHeight="1">
      <c r="A22" s="65" t="s">
        <v>32</v>
      </c>
      <c r="B22" s="65"/>
      <c r="C22" s="66"/>
      <c r="D22" s="67" t="str">
        <f t="shared" si="22"/>
        <v>#DIV/0!</v>
      </c>
      <c r="E22" s="68"/>
      <c r="F22" s="66"/>
      <c r="G22" s="67" t="str">
        <f t="shared" si="23"/>
        <v>#DIV/0!</v>
      </c>
      <c r="H22" s="68"/>
      <c r="I22" s="66"/>
      <c r="J22" s="67" t="str">
        <f t="shared" si="24"/>
        <v>#DIV/0!</v>
      </c>
      <c r="K22" s="68"/>
      <c r="L22" s="66"/>
      <c r="M22" s="67" t="str">
        <f t="shared" si="25"/>
        <v>#DIV/0!</v>
      </c>
      <c r="N22" s="68"/>
      <c r="O22" s="66"/>
      <c r="P22" s="67" t="str">
        <f t="shared" si="26"/>
        <v>#DIV/0!</v>
      </c>
      <c r="Q22" s="68"/>
      <c r="R22" s="66"/>
      <c r="S22" s="67" t="str">
        <f t="shared" si="27"/>
        <v>#DIV/0!</v>
      </c>
      <c r="T22" s="68"/>
      <c r="U22" s="66"/>
      <c r="V22" s="67" t="str">
        <f t="shared" si="28"/>
        <v>#DIV/0!</v>
      </c>
      <c r="W22" s="68"/>
      <c r="X22" s="66"/>
      <c r="Y22" s="67" t="str">
        <f t="shared" si="29"/>
        <v>#DIV/0!</v>
      </c>
      <c r="Z22" s="68"/>
      <c r="AA22" s="66"/>
      <c r="AB22" s="67" t="str">
        <f t="shared" si="30"/>
        <v>#DIV/0!</v>
      </c>
      <c r="AC22" s="68"/>
      <c r="AD22" s="66"/>
      <c r="AE22" s="67" t="str">
        <f t="shared" si="31"/>
        <v>#DIV/0!</v>
      </c>
      <c r="AF22" s="68"/>
      <c r="AG22" s="66"/>
      <c r="AH22" s="67" t="str">
        <f t="shared" si="32"/>
        <v>#DIV/0!</v>
      </c>
      <c r="AI22" s="68"/>
      <c r="AJ22" s="66"/>
      <c r="AK22" s="67" t="str">
        <f t="shared" si="33"/>
        <v>#DIV/0!</v>
      </c>
      <c r="AL22" s="68"/>
      <c r="AM22" s="66"/>
      <c r="AN22" s="67" t="str">
        <f t="shared" si="34"/>
        <v>#DIV/0!</v>
      </c>
      <c r="AO22" s="68"/>
      <c r="AP22" s="66"/>
      <c r="AQ22" s="67" t="str">
        <f t="shared" si="35"/>
        <v>#DIV/0!</v>
      </c>
      <c r="AR22" s="68"/>
      <c r="AS22" s="66"/>
      <c r="AT22" s="67" t="str">
        <f t="shared" si="36"/>
        <v>#DIV/0!</v>
      </c>
      <c r="AU22" s="68"/>
      <c r="AV22" s="66">
        <f t="shared" si="46"/>
        <v>0</v>
      </c>
      <c r="AW22" s="67" t="str">
        <f t="shared" si="37"/>
        <v>#DIV/0!</v>
      </c>
      <c r="AX22" s="71">
        <f t="shared" ref="AX22:AY22" si="76">E22+W22</f>
        <v>0</v>
      </c>
      <c r="AY22" s="66">
        <f t="shared" si="76"/>
        <v>0</v>
      </c>
      <c r="AZ22" s="67" t="str">
        <f t="shared" si="39"/>
        <v>#DIV/0!</v>
      </c>
      <c r="BA22" s="72">
        <f t="shared" si="48"/>
        <v>0</v>
      </c>
      <c r="BB22" s="73">
        <f t="shared" si="49"/>
        <v>0</v>
      </c>
      <c r="BC22" s="67" t="str">
        <f t="shared" si="40"/>
        <v>#DIV/0!</v>
      </c>
      <c r="BD22" s="71">
        <f t="shared" ref="BD22:BE22" si="77">AL22+AC22+K22</f>
        <v>0</v>
      </c>
      <c r="BE22" s="66">
        <f t="shared" si="77"/>
        <v>0</v>
      </c>
      <c r="BF22" s="67" t="str">
        <f t="shared" si="42"/>
        <v>#DIV/0!</v>
      </c>
      <c r="BG22" s="72">
        <f t="shared" ref="BG22:BH22" si="78">AO22+AF22+N22</f>
        <v>0</v>
      </c>
      <c r="BH22" s="66">
        <f t="shared" si="78"/>
        <v>0</v>
      </c>
      <c r="BI22" s="67" t="str">
        <f t="shared" si="44"/>
        <v>#DIV/0!</v>
      </c>
      <c r="BJ22" s="72">
        <f t="shared" si="52"/>
        <v>0</v>
      </c>
      <c r="BK22" s="73">
        <f t="shared" si="53"/>
        <v>0</v>
      </c>
      <c r="BL22" s="67" t="str">
        <f t="shared" si="45"/>
        <v>#DIV/0!</v>
      </c>
      <c r="BM22" s="68">
        <f t="shared" si="54"/>
        <v>0</v>
      </c>
      <c r="BN22" s="76"/>
    </row>
    <row r="23" ht="14.25" customHeight="1">
      <c r="A23" s="65" t="s">
        <v>33</v>
      </c>
      <c r="B23" s="65"/>
      <c r="C23" s="66"/>
      <c r="D23" s="67" t="str">
        <f t="shared" si="22"/>
        <v>#DIV/0!</v>
      </c>
      <c r="E23" s="68"/>
      <c r="F23" s="66"/>
      <c r="G23" s="67" t="str">
        <f t="shared" si="23"/>
        <v>#DIV/0!</v>
      </c>
      <c r="H23" s="68"/>
      <c r="I23" s="66"/>
      <c r="J23" s="67" t="str">
        <f t="shared" si="24"/>
        <v>#DIV/0!</v>
      </c>
      <c r="K23" s="68"/>
      <c r="L23" s="66"/>
      <c r="M23" s="67" t="str">
        <f t="shared" si="25"/>
        <v>#DIV/0!</v>
      </c>
      <c r="N23" s="68"/>
      <c r="O23" s="66"/>
      <c r="P23" s="67" t="str">
        <f t="shared" si="26"/>
        <v>#DIV/0!</v>
      </c>
      <c r="Q23" s="68"/>
      <c r="R23" s="66"/>
      <c r="S23" s="67" t="str">
        <f t="shared" si="27"/>
        <v>#DIV/0!</v>
      </c>
      <c r="T23" s="68"/>
      <c r="U23" s="66"/>
      <c r="V23" s="67" t="str">
        <f t="shared" si="28"/>
        <v>#DIV/0!</v>
      </c>
      <c r="W23" s="68"/>
      <c r="X23" s="66"/>
      <c r="Y23" s="67" t="str">
        <f t="shared" si="29"/>
        <v>#DIV/0!</v>
      </c>
      <c r="Z23" s="68"/>
      <c r="AA23" s="66"/>
      <c r="AB23" s="67" t="str">
        <f t="shared" si="30"/>
        <v>#DIV/0!</v>
      </c>
      <c r="AC23" s="68"/>
      <c r="AD23" s="66"/>
      <c r="AE23" s="67" t="str">
        <f t="shared" si="31"/>
        <v>#DIV/0!</v>
      </c>
      <c r="AF23" s="68"/>
      <c r="AG23" s="66"/>
      <c r="AH23" s="67" t="str">
        <f t="shared" si="32"/>
        <v>#DIV/0!</v>
      </c>
      <c r="AI23" s="68"/>
      <c r="AJ23" s="66"/>
      <c r="AK23" s="67" t="str">
        <f t="shared" si="33"/>
        <v>#DIV/0!</v>
      </c>
      <c r="AL23" s="68"/>
      <c r="AM23" s="66"/>
      <c r="AN23" s="67" t="str">
        <f t="shared" si="34"/>
        <v>#DIV/0!</v>
      </c>
      <c r="AO23" s="68"/>
      <c r="AP23" s="66"/>
      <c r="AQ23" s="67" t="str">
        <f t="shared" si="35"/>
        <v>#DIV/0!</v>
      </c>
      <c r="AR23" s="68"/>
      <c r="AS23" s="66"/>
      <c r="AT23" s="67" t="str">
        <f t="shared" si="36"/>
        <v>#DIV/0!</v>
      </c>
      <c r="AU23" s="68"/>
      <c r="AV23" s="66">
        <f t="shared" si="46"/>
        <v>0</v>
      </c>
      <c r="AW23" s="67" t="str">
        <f t="shared" si="37"/>
        <v>#DIV/0!</v>
      </c>
      <c r="AX23" s="71">
        <f t="shared" ref="AX23:AY23" si="79">E23+W23</f>
        <v>0</v>
      </c>
      <c r="AY23" s="66">
        <f t="shared" si="79"/>
        <v>0</v>
      </c>
      <c r="AZ23" s="67" t="str">
        <f t="shared" si="39"/>
        <v>#DIV/0!</v>
      </c>
      <c r="BA23" s="72">
        <f t="shared" si="48"/>
        <v>0</v>
      </c>
      <c r="BB23" s="73">
        <f t="shared" si="49"/>
        <v>0</v>
      </c>
      <c r="BC23" s="67" t="str">
        <f t="shared" si="40"/>
        <v>#DIV/0!</v>
      </c>
      <c r="BD23" s="71">
        <f t="shared" ref="BD23:BE23" si="80">AL23+AC23+K23</f>
        <v>0</v>
      </c>
      <c r="BE23" s="66">
        <f t="shared" si="80"/>
        <v>0</v>
      </c>
      <c r="BF23" s="67" t="str">
        <f t="shared" si="42"/>
        <v>#DIV/0!</v>
      </c>
      <c r="BG23" s="72">
        <f t="shared" ref="BG23:BH23" si="81">AO23+AF23+N23</f>
        <v>0</v>
      </c>
      <c r="BH23" s="66">
        <f t="shared" si="81"/>
        <v>0</v>
      </c>
      <c r="BI23" s="67" t="str">
        <f t="shared" si="44"/>
        <v>#DIV/0!</v>
      </c>
      <c r="BJ23" s="72">
        <f t="shared" si="52"/>
        <v>0</v>
      </c>
      <c r="BK23" s="73">
        <f t="shared" si="53"/>
        <v>0</v>
      </c>
      <c r="BL23" s="67" t="str">
        <f t="shared" si="45"/>
        <v>#DIV/0!</v>
      </c>
      <c r="BM23" s="68">
        <f t="shared" si="54"/>
        <v>0</v>
      </c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79"/>
      <c r="S24" s="80"/>
      <c r="T24" s="81"/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/>
      <c r="AT24" s="80"/>
      <c r="AU24" s="81"/>
      <c r="AV24" s="79">
        <f t="shared" si="46"/>
        <v>0</v>
      </c>
      <c r="AW24" s="80" t="str">
        <f t="shared" si="37"/>
        <v>#DIV/0!</v>
      </c>
      <c r="AX24" s="82">
        <f t="shared" ref="AX24:AY24" si="82">E24+W24</f>
        <v>0</v>
      </c>
      <c r="AY24" s="79">
        <f t="shared" si="82"/>
        <v>0</v>
      </c>
      <c r="AZ24" s="80" t="str">
        <f t="shared" si="39"/>
        <v>#DIV/0!</v>
      </c>
      <c r="BA24" s="83">
        <f t="shared" si="48"/>
        <v>0</v>
      </c>
      <c r="BB24" s="84">
        <f t="shared" si="49"/>
        <v>0</v>
      </c>
      <c r="BC24" s="80" t="str">
        <f t="shared" si="40"/>
        <v>#DIV/0!</v>
      </c>
      <c r="BD24" s="82">
        <f t="shared" ref="BD24:BE24" si="83">AL24+AC24+K24</f>
        <v>0</v>
      </c>
      <c r="BE24" s="79">
        <f t="shared" si="83"/>
        <v>0</v>
      </c>
      <c r="BF24" s="80" t="str">
        <f t="shared" si="42"/>
        <v>#DIV/0!</v>
      </c>
      <c r="BG24" s="83">
        <f t="shared" ref="BG24:BH24" si="84">AO24+AF24+N24</f>
        <v>0</v>
      </c>
      <c r="BH24" s="79">
        <f t="shared" si="84"/>
        <v>0</v>
      </c>
      <c r="BI24" s="80" t="str">
        <f t="shared" si="44"/>
        <v>#DIV/0!</v>
      </c>
      <c r="BJ24" s="83">
        <f t="shared" si="52"/>
        <v>0</v>
      </c>
      <c r="BK24" s="84">
        <f t="shared" si="53"/>
        <v>0</v>
      </c>
      <c r="BL24" s="80" t="str">
        <f t="shared" si="45"/>
        <v>#DIV/0!</v>
      </c>
      <c r="BM24" s="81">
        <f t="shared" si="54"/>
        <v>0</v>
      </c>
      <c r="BN24" s="85"/>
    </row>
    <row r="25" ht="14.25" customHeight="1">
      <c r="A25" s="86" t="s">
        <v>34</v>
      </c>
      <c r="B25" s="86"/>
    </row>
    <row r="26" ht="14.25" customHeight="1">
      <c r="A26" s="87" t="s">
        <v>39</v>
      </c>
      <c r="B26" s="87"/>
    </row>
    <row r="27" ht="14.25" customHeight="1">
      <c r="A27" s="88" t="s">
        <v>40</v>
      </c>
      <c r="B27" s="88"/>
    </row>
    <row r="28" ht="14.25" customHeight="1"/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scale="4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14.25" customHeight="1">
      <c r="A6" s="6" t="s">
        <v>49</v>
      </c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91" t="s">
        <v>38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0</v>
      </c>
      <c r="C12" s="56">
        <f t="shared" si="1"/>
        <v>0</v>
      </c>
      <c r="D12" s="57" t="str">
        <f t="shared" ref="D12:D23" si="22">E12/C12</f>
        <v>#DIV/0!</v>
      </c>
      <c r="E12" s="58">
        <f t="shared" ref="E12:F12" si="2">SUM(E13:E24)</f>
        <v>0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56">
        <f t="shared" si="3"/>
        <v>0</v>
      </c>
      <c r="J12" s="57" t="str">
        <f t="shared" ref="J12:J23" si="24">K12/I12</f>
        <v>#DIV/0!</v>
      </c>
      <c r="K12" s="58">
        <f t="shared" ref="K12:L12" si="4">SUM(K13:K24)</f>
        <v>0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56">
        <f t="shared" si="5"/>
        <v>0</v>
      </c>
      <c r="P12" s="57" t="str">
        <f t="shared" ref="P12:P23" si="26">Q12/O12</f>
        <v>#DIV/0!</v>
      </c>
      <c r="Q12" s="58">
        <f t="shared" ref="Q12:R12" si="6">SUM(Q13:Q24)</f>
        <v>0</v>
      </c>
      <c r="R12" s="56">
        <f t="shared" si="6"/>
        <v>0</v>
      </c>
      <c r="S12" s="57" t="str">
        <f t="shared" ref="S12:S23" si="27">T12/R12</f>
        <v>#DIV/0!</v>
      </c>
      <c r="T12" s="58">
        <f t="shared" ref="T12:U12" si="7">SUM(T13:T24)</f>
        <v>0</v>
      </c>
      <c r="U12" s="56">
        <f t="shared" si="7"/>
        <v>0</v>
      </c>
      <c r="V12" s="57" t="str">
        <f t="shared" ref="V12:V23" si="28">W12/U12</f>
        <v>#DIV/0!</v>
      </c>
      <c r="W12" s="58">
        <f t="shared" ref="W12:X12" si="8">SUM(W13:W24)</f>
        <v>0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56">
        <f t="shared" si="9"/>
        <v>0</v>
      </c>
      <c r="AB12" s="57" t="str">
        <f t="shared" ref="AB12:AB23" si="30">AC12/AA12</f>
        <v>#DIV/0!</v>
      </c>
      <c r="AC12" s="58">
        <f t="shared" ref="AC12:AD12" si="10">SUM(AC13:AC24)</f>
        <v>0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56">
        <f t="shared" si="11"/>
        <v>0</v>
      </c>
      <c r="AH12" s="57" t="str">
        <f t="shared" ref="AH12:AH23" si="32">AI12/AG12</f>
        <v>#DIV/0!</v>
      </c>
      <c r="AI12" s="58">
        <f t="shared" ref="AI12:AJ12" si="12">SUM(AI13:AI24)</f>
        <v>0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56">
        <f t="shared" si="15"/>
        <v>0</v>
      </c>
      <c r="AT12" s="57" t="str">
        <f t="shared" ref="AT12:AT23" si="36">AU12/AS12</f>
        <v>#DIV/0!</v>
      </c>
      <c r="AU12" s="58">
        <f t="shared" ref="AU12:AV12" si="16">SUM(AU13:AU24)</f>
        <v>0</v>
      </c>
      <c r="AV12" s="56">
        <f t="shared" si="16"/>
        <v>0</v>
      </c>
      <c r="AW12" s="57" t="str">
        <f t="shared" ref="AW12:AW24" si="37">AX12/AV12</f>
        <v>#DIV/0!</v>
      </c>
      <c r="AX12" s="59">
        <f t="shared" ref="AX12:AY12" si="17">SUM(AX13:AX24)</f>
        <v>0</v>
      </c>
      <c r="AY12" s="56">
        <f t="shared" si="17"/>
        <v>0</v>
      </c>
      <c r="AZ12" s="57" t="str">
        <f t="shared" ref="AZ12:AZ24" si="39">BA12/AY12</f>
        <v>#DIV/0!</v>
      </c>
      <c r="BA12" s="60">
        <f t="shared" ref="BA12:BB12" si="18">SUM(BA13:BA24)</f>
        <v>0</v>
      </c>
      <c r="BB12" s="61">
        <f t="shared" si="18"/>
        <v>0</v>
      </c>
      <c r="BC12" s="57" t="str">
        <f t="shared" ref="BC12:BC24" si="40">BD12/BB12</f>
        <v>#DIV/0!</v>
      </c>
      <c r="BD12" s="59">
        <f t="shared" ref="BD12:BE12" si="19">SUM(BD13:BD24)</f>
        <v>0</v>
      </c>
      <c r="BE12" s="56">
        <f t="shared" si="19"/>
        <v>0</v>
      </c>
      <c r="BF12" s="57" t="str">
        <f t="shared" ref="BF12:BF24" si="42">BG12/BE12</f>
        <v>#DIV/0!</v>
      </c>
      <c r="BG12" s="60">
        <f t="shared" ref="BG12:BH12" si="20">SUM(BG13:BG24)</f>
        <v>0</v>
      </c>
      <c r="BH12" s="56">
        <f t="shared" si="20"/>
        <v>0</v>
      </c>
      <c r="BI12" s="57" t="str">
        <f t="shared" ref="BI12:BI24" si="44">BJ12/BH12</f>
        <v>#DIV/0!</v>
      </c>
      <c r="BJ12" s="60">
        <f t="shared" ref="BJ12:BK12" si="21">SUM(BJ13:BJ24)</f>
        <v>0</v>
      </c>
      <c r="BK12" s="61">
        <f t="shared" si="21"/>
        <v>0</v>
      </c>
      <c r="BL12" s="57" t="str">
        <f t="shared" ref="BL12:BL24" si="45">BM12/BK12</f>
        <v>#DIV/0!</v>
      </c>
      <c r="BM12" s="58">
        <f>SUM(BM13:BM24)</f>
        <v>0</v>
      </c>
      <c r="BN12" s="64"/>
    </row>
    <row r="13" ht="14.25" customHeight="1">
      <c r="A13" s="65" t="s">
        <v>23</v>
      </c>
      <c r="B13" s="65"/>
      <c r="C13" s="66"/>
      <c r="D13" s="67" t="str">
        <f t="shared" si="22"/>
        <v>#DIV/0!</v>
      </c>
      <c r="E13" s="68"/>
      <c r="F13" s="66"/>
      <c r="G13" s="67" t="str">
        <f t="shared" si="23"/>
        <v>#DIV/0!</v>
      </c>
      <c r="H13" s="68"/>
      <c r="I13" s="66"/>
      <c r="J13" s="67" t="str">
        <f t="shared" si="24"/>
        <v>#DIV/0!</v>
      </c>
      <c r="K13" s="68"/>
      <c r="L13" s="66"/>
      <c r="M13" s="67" t="str">
        <f t="shared" si="25"/>
        <v>#DIV/0!</v>
      </c>
      <c r="N13" s="68"/>
      <c r="O13" s="66"/>
      <c r="P13" s="67" t="str">
        <f t="shared" si="26"/>
        <v>#DIV/0!</v>
      </c>
      <c r="Q13" s="68"/>
      <c r="R13" s="66"/>
      <c r="S13" s="67" t="str">
        <f t="shared" si="27"/>
        <v>#DIV/0!</v>
      </c>
      <c r="T13" s="68"/>
      <c r="U13" s="66"/>
      <c r="V13" s="67" t="str">
        <f t="shared" si="28"/>
        <v>#DIV/0!</v>
      </c>
      <c r="W13" s="68"/>
      <c r="X13" s="66"/>
      <c r="Y13" s="67" t="str">
        <f t="shared" si="29"/>
        <v>#DIV/0!</v>
      </c>
      <c r="Z13" s="68"/>
      <c r="AA13" s="66"/>
      <c r="AB13" s="67" t="str">
        <f t="shared" si="30"/>
        <v>#DIV/0!</v>
      </c>
      <c r="AC13" s="68"/>
      <c r="AD13" s="66"/>
      <c r="AE13" s="67" t="str">
        <f t="shared" si="31"/>
        <v>#DIV/0!</v>
      </c>
      <c r="AF13" s="68"/>
      <c r="AG13" s="66"/>
      <c r="AH13" s="67" t="str">
        <f t="shared" si="32"/>
        <v>#DIV/0!</v>
      </c>
      <c r="AI13" s="68"/>
      <c r="AJ13" s="66"/>
      <c r="AK13" s="67" t="str">
        <f t="shared" si="33"/>
        <v>#DIV/0!</v>
      </c>
      <c r="AL13" s="68"/>
      <c r="AM13" s="66"/>
      <c r="AN13" s="67" t="str">
        <f t="shared" si="34"/>
        <v>#DIV/0!</v>
      </c>
      <c r="AO13" s="68"/>
      <c r="AP13" s="66"/>
      <c r="AQ13" s="67" t="str">
        <f t="shared" si="35"/>
        <v>#DIV/0!</v>
      </c>
      <c r="AR13" s="68"/>
      <c r="AS13" s="66"/>
      <c r="AT13" s="67" t="str">
        <f t="shared" si="36"/>
        <v>#DIV/0!</v>
      </c>
      <c r="AU13" s="68"/>
      <c r="AV13" s="66">
        <f t="shared" ref="AV13:AV24" si="46">C13+U13</f>
        <v>0</v>
      </c>
      <c r="AW13" s="67" t="str">
        <f t="shared" si="37"/>
        <v>#DIV/0!</v>
      </c>
      <c r="AX13" s="71">
        <f t="shared" ref="AX13:AY13" si="38">E13+W13</f>
        <v>0</v>
      </c>
      <c r="AY13" s="66">
        <f t="shared" si="38"/>
        <v>0</v>
      </c>
      <c r="AZ13" s="67" t="str">
        <f t="shared" si="39"/>
        <v>#DIV/0!</v>
      </c>
      <c r="BA13" s="72">
        <f t="shared" ref="BA13:BA24" si="48">H13+Z13</f>
        <v>0</v>
      </c>
      <c r="BB13" s="73">
        <f t="shared" ref="BB13:BB24" si="49">AJ13+AA13+I13</f>
        <v>0</v>
      </c>
      <c r="BC13" s="67" t="str">
        <f t="shared" si="40"/>
        <v>#DIV/0!</v>
      </c>
      <c r="BD13" s="71">
        <f t="shared" ref="BD13:BE13" si="41">AL13+AC13+K13</f>
        <v>0</v>
      </c>
      <c r="BE13" s="66">
        <f t="shared" si="41"/>
        <v>0</v>
      </c>
      <c r="BF13" s="67" t="str">
        <f t="shared" si="42"/>
        <v>#DIV/0!</v>
      </c>
      <c r="BG13" s="72">
        <f t="shared" ref="BG13:BH13" si="43">AO13+AF13+N13</f>
        <v>0</v>
      </c>
      <c r="BH13" s="66">
        <f t="shared" si="43"/>
        <v>0</v>
      </c>
      <c r="BI13" s="67" t="str">
        <f t="shared" si="44"/>
        <v>#DIV/0!</v>
      </c>
      <c r="BJ13" s="72">
        <f t="shared" ref="BJ13:BJ24" si="52">AR13+AI13+Q13</f>
        <v>0</v>
      </c>
      <c r="BK13" s="73">
        <f t="shared" ref="BK13:BK24" si="53">AV13+AY13+BB13+BE13+BH13</f>
        <v>0</v>
      </c>
      <c r="BL13" s="67" t="str">
        <f t="shared" si="45"/>
        <v>#DIV/0!</v>
      </c>
      <c r="BM13" s="68">
        <f t="shared" ref="BM13:BM24" si="54">AX13+BA13+BD13+BG13+BJ13</f>
        <v>0</v>
      </c>
      <c r="BN13" s="76"/>
    </row>
    <row r="14" ht="14.25" customHeight="1">
      <c r="A14" s="65" t="s">
        <v>24</v>
      </c>
      <c r="B14" s="65"/>
      <c r="C14" s="66"/>
      <c r="D14" s="67" t="str">
        <f t="shared" si="22"/>
        <v>#DIV/0!</v>
      </c>
      <c r="E14" s="68"/>
      <c r="F14" s="66"/>
      <c r="G14" s="67" t="str">
        <f t="shared" si="23"/>
        <v>#DIV/0!</v>
      </c>
      <c r="H14" s="68"/>
      <c r="I14" s="66"/>
      <c r="J14" s="67" t="str">
        <f t="shared" si="24"/>
        <v>#DIV/0!</v>
      </c>
      <c r="K14" s="68"/>
      <c r="L14" s="66"/>
      <c r="M14" s="67" t="str">
        <f t="shared" si="25"/>
        <v>#DIV/0!</v>
      </c>
      <c r="N14" s="68"/>
      <c r="O14" s="66"/>
      <c r="P14" s="67" t="str">
        <f t="shared" si="26"/>
        <v>#DIV/0!</v>
      </c>
      <c r="Q14" s="68"/>
      <c r="R14" s="66"/>
      <c r="S14" s="67" t="str">
        <f t="shared" si="27"/>
        <v>#DIV/0!</v>
      </c>
      <c r="T14" s="68"/>
      <c r="U14" s="66"/>
      <c r="V14" s="67" t="str">
        <f t="shared" si="28"/>
        <v>#DIV/0!</v>
      </c>
      <c r="W14" s="68"/>
      <c r="X14" s="66"/>
      <c r="Y14" s="67" t="str">
        <f t="shared" si="29"/>
        <v>#DIV/0!</v>
      </c>
      <c r="Z14" s="68"/>
      <c r="AA14" s="66"/>
      <c r="AB14" s="67" t="str">
        <f t="shared" si="30"/>
        <v>#DIV/0!</v>
      </c>
      <c r="AC14" s="68"/>
      <c r="AD14" s="66"/>
      <c r="AE14" s="67" t="str">
        <f t="shared" si="31"/>
        <v>#DIV/0!</v>
      </c>
      <c r="AF14" s="68"/>
      <c r="AG14" s="66"/>
      <c r="AH14" s="67" t="str">
        <f t="shared" si="32"/>
        <v>#DIV/0!</v>
      </c>
      <c r="AI14" s="68"/>
      <c r="AJ14" s="66"/>
      <c r="AK14" s="67" t="str">
        <f t="shared" si="33"/>
        <v>#DIV/0!</v>
      </c>
      <c r="AL14" s="68"/>
      <c r="AM14" s="66"/>
      <c r="AN14" s="67" t="str">
        <f t="shared" si="34"/>
        <v>#DIV/0!</v>
      </c>
      <c r="AO14" s="68"/>
      <c r="AP14" s="66"/>
      <c r="AQ14" s="67" t="str">
        <f t="shared" si="35"/>
        <v>#DIV/0!</v>
      </c>
      <c r="AR14" s="68"/>
      <c r="AS14" s="66"/>
      <c r="AT14" s="67" t="str">
        <f t="shared" si="36"/>
        <v>#DIV/0!</v>
      </c>
      <c r="AU14" s="68"/>
      <c r="AV14" s="66">
        <f t="shared" si="46"/>
        <v>0</v>
      </c>
      <c r="AW14" s="67" t="str">
        <f t="shared" si="37"/>
        <v>#DIV/0!</v>
      </c>
      <c r="AX14" s="71">
        <f t="shared" ref="AX14:AY14" si="47">E14+W14</f>
        <v>0</v>
      </c>
      <c r="AY14" s="66">
        <f t="shared" si="47"/>
        <v>0</v>
      </c>
      <c r="AZ14" s="67" t="str">
        <f t="shared" si="39"/>
        <v>#DIV/0!</v>
      </c>
      <c r="BA14" s="72">
        <f t="shared" si="48"/>
        <v>0</v>
      </c>
      <c r="BB14" s="73">
        <f t="shared" si="49"/>
        <v>0</v>
      </c>
      <c r="BC14" s="67" t="str">
        <f t="shared" si="40"/>
        <v>#DIV/0!</v>
      </c>
      <c r="BD14" s="71">
        <f t="shared" ref="BD14:BE14" si="50">AL14+AC14+K14</f>
        <v>0</v>
      </c>
      <c r="BE14" s="66">
        <f t="shared" si="50"/>
        <v>0</v>
      </c>
      <c r="BF14" s="67" t="str">
        <f t="shared" si="42"/>
        <v>#DIV/0!</v>
      </c>
      <c r="BG14" s="72">
        <f t="shared" ref="BG14:BH14" si="51">AO14+AF14+N14</f>
        <v>0</v>
      </c>
      <c r="BH14" s="66">
        <f t="shared" si="51"/>
        <v>0</v>
      </c>
      <c r="BI14" s="67" t="str">
        <f t="shared" si="44"/>
        <v>#DIV/0!</v>
      </c>
      <c r="BJ14" s="72">
        <f t="shared" si="52"/>
        <v>0</v>
      </c>
      <c r="BK14" s="73">
        <f t="shared" si="53"/>
        <v>0</v>
      </c>
      <c r="BL14" s="67" t="str">
        <f t="shared" si="45"/>
        <v>#DIV/0!</v>
      </c>
      <c r="BM14" s="68">
        <f t="shared" si="54"/>
        <v>0</v>
      </c>
      <c r="BN14" s="76"/>
    </row>
    <row r="15" ht="14.25" customHeight="1">
      <c r="A15" s="65" t="s">
        <v>25</v>
      </c>
      <c r="B15" s="65"/>
      <c r="C15" s="66"/>
      <c r="D15" s="67" t="str">
        <f t="shared" si="22"/>
        <v>#DIV/0!</v>
      </c>
      <c r="E15" s="68"/>
      <c r="F15" s="66"/>
      <c r="G15" s="67" t="str">
        <f t="shared" si="23"/>
        <v>#DIV/0!</v>
      </c>
      <c r="H15" s="68"/>
      <c r="I15" s="66"/>
      <c r="J15" s="67" t="str">
        <f t="shared" si="24"/>
        <v>#DIV/0!</v>
      </c>
      <c r="K15" s="68"/>
      <c r="L15" s="66"/>
      <c r="M15" s="67" t="str">
        <f t="shared" si="25"/>
        <v>#DIV/0!</v>
      </c>
      <c r="N15" s="68"/>
      <c r="O15" s="66"/>
      <c r="P15" s="67" t="str">
        <f t="shared" si="26"/>
        <v>#DIV/0!</v>
      </c>
      <c r="Q15" s="68"/>
      <c r="R15" s="66"/>
      <c r="S15" s="67" t="str">
        <f t="shared" si="27"/>
        <v>#DIV/0!</v>
      </c>
      <c r="T15" s="68"/>
      <c r="U15" s="66"/>
      <c r="V15" s="67" t="str">
        <f t="shared" si="28"/>
        <v>#DIV/0!</v>
      </c>
      <c r="W15" s="68"/>
      <c r="X15" s="66"/>
      <c r="Y15" s="67" t="str">
        <f t="shared" si="29"/>
        <v>#DIV/0!</v>
      </c>
      <c r="Z15" s="68"/>
      <c r="AA15" s="66"/>
      <c r="AB15" s="67" t="str">
        <f t="shared" si="30"/>
        <v>#DIV/0!</v>
      </c>
      <c r="AC15" s="68"/>
      <c r="AD15" s="66"/>
      <c r="AE15" s="67" t="str">
        <f t="shared" si="31"/>
        <v>#DIV/0!</v>
      </c>
      <c r="AF15" s="68"/>
      <c r="AG15" s="66"/>
      <c r="AH15" s="67" t="str">
        <f t="shared" si="32"/>
        <v>#DIV/0!</v>
      </c>
      <c r="AI15" s="68"/>
      <c r="AJ15" s="66"/>
      <c r="AK15" s="67" t="str">
        <f t="shared" si="33"/>
        <v>#DIV/0!</v>
      </c>
      <c r="AL15" s="68"/>
      <c r="AM15" s="66"/>
      <c r="AN15" s="67" t="str">
        <f t="shared" si="34"/>
        <v>#DIV/0!</v>
      </c>
      <c r="AO15" s="68"/>
      <c r="AP15" s="66"/>
      <c r="AQ15" s="67" t="str">
        <f t="shared" si="35"/>
        <v>#DIV/0!</v>
      </c>
      <c r="AR15" s="68"/>
      <c r="AS15" s="66"/>
      <c r="AT15" s="67" t="str">
        <f t="shared" si="36"/>
        <v>#DIV/0!</v>
      </c>
      <c r="AU15" s="68"/>
      <c r="AV15" s="66">
        <f t="shared" si="46"/>
        <v>0</v>
      </c>
      <c r="AW15" s="67" t="str">
        <f t="shared" si="37"/>
        <v>#DIV/0!</v>
      </c>
      <c r="AX15" s="71">
        <f t="shared" ref="AX15:AY15" si="55">E15+W15</f>
        <v>0</v>
      </c>
      <c r="AY15" s="66">
        <f t="shared" si="55"/>
        <v>0</v>
      </c>
      <c r="AZ15" s="67" t="str">
        <f t="shared" si="39"/>
        <v>#DIV/0!</v>
      </c>
      <c r="BA15" s="72">
        <f t="shared" si="48"/>
        <v>0</v>
      </c>
      <c r="BB15" s="73">
        <f t="shared" si="49"/>
        <v>0</v>
      </c>
      <c r="BC15" s="67" t="str">
        <f t="shared" si="40"/>
        <v>#DIV/0!</v>
      </c>
      <c r="BD15" s="71">
        <f t="shared" ref="BD15:BE15" si="56">AL15+AC15+K15</f>
        <v>0</v>
      </c>
      <c r="BE15" s="66">
        <f t="shared" si="56"/>
        <v>0</v>
      </c>
      <c r="BF15" s="67" t="str">
        <f t="shared" si="42"/>
        <v>#DIV/0!</v>
      </c>
      <c r="BG15" s="72">
        <f t="shared" ref="BG15:BH15" si="57">AO15+AF15+N15</f>
        <v>0</v>
      </c>
      <c r="BH15" s="66">
        <f t="shared" si="57"/>
        <v>0</v>
      </c>
      <c r="BI15" s="67" t="str">
        <f t="shared" si="44"/>
        <v>#DIV/0!</v>
      </c>
      <c r="BJ15" s="72">
        <f t="shared" si="52"/>
        <v>0</v>
      </c>
      <c r="BK15" s="73">
        <f t="shared" si="53"/>
        <v>0</v>
      </c>
      <c r="BL15" s="67" t="str">
        <f t="shared" si="45"/>
        <v>#DIV/0!</v>
      </c>
      <c r="BM15" s="68">
        <f t="shared" si="54"/>
        <v>0</v>
      </c>
      <c r="BN15" s="76"/>
    </row>
    <row r="16" ht="14.25" customHeight="1">
      <c r="A16" s="65" t="s">
        <v>26</v>
      </c>
      <c r="B16" s="65"/>
      <c r="C16" s="66"/>
      <c r="D16" s="67" t="str">
        <f t="shared" si="22"/>
        <v>#DIV/0!</v>
      </c>
      <c r="E16" s="68"/>
      <c r="F16" s="66"/>
      <c r="G16" s="67" t="str">
        <f t="shared" si="23"/>
        <v>#DIV/0!</v>
      </c>
      <c r="H16" s="68"/>
      <c r="I16" s="66"/>
      <c r="J16" s="67" t="str">
        <f t="shared" si="24"/>
        <v>#DIV/0!</v>
      </c>
      <c r="K16" s="68"/>
      <c r="L16" s="66"/>
      <c r="M16" s="67" t="str">
        <f t="shared" si="25"/>
        <v>#DIV/0!</v>
      </c>
      <c r="N16" s="68"/>
      <c r="O16" s="66"/>
      <c r="P16" s="67" t="str">
        <f t="shared" si="26"/>
        <v>#DIV/0!</v>
      </c>
      <c r="Q16" s="68"/>
      <c r="R16" s="66"/>
      <c r="S16" s="67" t="str">
        <f t="shared" si="27"/>
        <v>#DIV/0!</v>
      </c>
      <c r="T16" s="68"/>
      <c r="U16" s="66"/>
      <c r="V16" s="67" t="str">
        <f t="shared" si="28"/>
        <v>#DIV/0!</v>
      </c>
      <c r="W16" s="68"/>
      <c r="X16" s="66"/>
      <c r="Y16" s="67" t="str">
        <f t="shared" si="29"/>
        <v>#DIV/0!</v>
      </c>
      <c r="Z16" s="68"/>
      <c r="AA16" s="66"/>
      <c r="AB16" s="67" t="str">
        <f t="shared" si="30"/>
        <v>#DIV/0!</v>
      </c>
      <c r="AC16" s="68"/>
      <c r="AD16" s="66"/>
      <c r="AE16" s="67" t="str">
        <f t="shared" si="31"/>
        <v>#DIV/0!</v>
      </c>
      <c r="AF16" s="68"/>
      <c r="AG16" s="66"/>
      <c r="AH16" s="67" t="str">
        <f t="shared" si="32"/>
        <v>#DIV/0!</v>
      </c>
      <c r="AI16" s="68"/>
      <c r="AJ16" s="66"/>
      <c r="AK16" s="67" t="str">
        <f t="shared" si="33"/>
        <v>#DIV/0!</v>
      </c>
      <c r="AL16" s="68"/>
      <c r="AM16" s="66"/>
      <c r="AN16" s="67" t="str">
        <f t="shared" si="34"/>
        <v>#DIV/0!</v>
      </c>
      <c r="AO16" s="68"/>
      <c r="AP16" s="66"/>
      <c r="AQ16" s="67" t="str">
        <f t="shared" si="35"/>
        <v>#DIV/0!</v>
      </c>
      <c r="AR16" s="68"/>
      <c r="AS16" s="66"/>
      <c r="AT16" s="67" t="str">
        <f t="shared" si="36"/>
        <v>#DIV/0!</v>
      </c>
      <c r="AU16" s="68"/>
      <c r="AV16" s="66">
        <f t="shared" si="46"/>
        <v>0</v>
      </c>
      <c r="AW16" s="67" t="str">
        <f t="shared" si="37"/>
        <v>#DIV/0!</v>
      </c>
      <c r="AX16" s="71">
        <f t="shared" ref="AX16:AY16" si="58">E16+W16</f>
        <v>0</v>
      </c>
      <c r="AY16" s="66">
        <f t="shared" si="58"/>
        <v>0</v>
      </c>
      <c r="AZ16" s="67" t="str">
        <f t="shared" si="39"/>
        <v>#DIV/0!</v>
      </c>
      <c r="BA16" s="72">
        <f t="shared" si="48"/>
        <v>0</v>
      </c>
      <c r="BB16" s="73">
        <f t="shared" si="49"/>
        <v>0</v>
      </c>
      <c r="BC16" s="67" t="str">
        <f t="shared" si="40"/>
        <v>#DIV/0!</v>
      </c>
      <c r="BD16" s="71">
        <f t="shared" ref="BD16:BE16" si="59">AL16+AC16+K16</f>
        <v>0</v>
      </c>
      <c r="BE16" s="66">
        <f t="shared" si="59"/>
        <v>0</v>
      </c>
      <c r="BF16" s="67" t="str">
        <f t="shared" si="42"/>
        <v>#DIV/0!</v>
      </c>
      <c r="BG16" s="72">
        <f t="shared" ref="BG16:BH16" si="60">AO16+AF16+N16</f>
        <v>0</v>
      </c>
      <c r="BH16" s="66">
        <f t="shared" si="60"/>
        <v>0</v>
      </c>
      <c r="BI16" s="67" t="str">
        <f t="shared" si="44"/>
        <v>#DIV/0!</v>
      </c>
      <c r="BJ16" s="72">
        <f t="shared" si="52"/>
        <v>0</v>
      </c>
      <c r="BK16" s="73">
        <f t="shared" si="53"/>
        <v>0</v>
      </c>
      <c r="BL16" s="67" t="str">
        <f t="shared" si="45"/>
        <v>#DIV/0!</v>
      </c>
      <c r="BM16" s="68">
        <f t="shared" si="54"/>
        <v>0</v>
      </c>
      <c r="BN16" s="76"/>
    </row>
    <row r="17" ht="14.25" customHeight="1">
      <c r="A17" s="65" t="s">
        <v>27</v>
      </c>
      <c r="B17" s="65"/>
      <c r="C17" s="66"/>
      <c r="D17" s="67" t="str">
        <f t="shared" si="22"/>
        <v>#DIV/0!</v>
      </c>
      <c r="E17" s="68"/>
      <c r="F17" s="66"/>
      <c r="G17" s="67" t="str">
        <f t="shared" si="23"/>
        <v>#DIV/0!</v>
      </c>
      <c r="H17" s="68"/>
      <c r="I17" s="66"/>
      <c r="J17" s="67" t="str">
        <f t="shared" si="24"/>
        <v>#DIV/0!</v>
      </c>
      <c r="K17" s="68"/>
      <c r="L17" s="66"/>
      <c r="M17" s="67" t="str">
        <f t="shared" si="25"/>
        <v>#DIV/0!</v>
      </c>
      <c r="N17" s="68"/>
      <c r="O17" s="66"/>
      <c r="P17" s="67" t="str">
        <f t="shared" si="26"/>
        <v>#DIV/0!</v>
      </c>
      <c r="Q17" s="68"/>
      <c r="R17" s="66"/>
      <c r="S17" s="67" t="str">
        <f t="shared" si="27"/>
        <v>#DIV/0!</v>
      </c>
      <c r="T17" s="68"/>
      <c r="U17" s="66"/>
      <c r="V17" s="67" t="str">
        <f t="shared" si="28"/>
        <v>#DIV/0!</v>
      </c>
      <c r="W17" s="68"/>
      <c r="X17" s="66"/>
      <c r="Y17" s="67" t="str">
        <f t="shared" si="29"/>
        <v>#DIV/0!</v>
      </c>
      <c r="Z17" s="68"/>
      <c r="AA17" s="66"/>
      <c r="AB17" s="67" t="str">
        <f t="shared" si="30"/>
        <v>#DIV/0!</v>
      </c>
      <c r="AC17" s="68"/>
      <c r="AD17" s="66"/>
      <c r="AE17" s="67" t="str">
        <f t="shared" si="31"/>
        <v>#DIV/0!</v>
      </c>
      <c r="AF17" s="68"/>
      <c r="AG17" s="66"/>
      <c r="AH17" s="67" t="str">
        <f t="shared" si="32"/>
        <v>#DIV/0!</v>
      </c>
      <c r="AI17" s="68"/>
      <c r="AJ17" s="66"/>
      <c r="AK17" s="67" t="str">
        <f t="shared" si="33"/>
        <v>#DIV/0!</v>
      </c>
      <c r="AL17" s="68"/>
      <c r="AM17" s="66"/>
      <c r="AN17" s="67" t="str">
        <f t="shared" si="34"/>
        <v>#DIV/0!</v>
      </c>
      <c r="AO17" s="68"/>
      <c r="AP17" s="66"/>
      <c r="AQ17" s="67" t="str">
        <f t="shared" si="35"/>
        <v>#DIV/0!</v>
      </c>
      <c r="AR17" s="68"/>
      <c r="AS17" s="66"/>
      <c r="AT17" s="67" t="str">
        <f t="shared" si="36"/>
        <v>#DIV/0!</v>
      </c>
      <c r="AU17" s="68"/>
      <c r="AV17" s="66">
        <f t="shared" si="46"/>
        <v>0</v>
      </c>
      <c r="AW17" s="67" t="str">
        <f t="shared" si="37"/>
        <v>#DIV/0!</v>
      </c>
      <c r="AX17" s="71">
        <f t="shared" ref="AX17:AY17" si="61">E17+W17</f>
        <v>0</v>
      </c>
      <c r="AY17" s="66">
        <f t="shared" si="61"/>
        <v>0</v>
      </c>
      <c r="AZ17" s="67" t="str">
        <f t="shared" si="39"/>
        <v>#DIV/0!</v>
      </c>
      <c r="BA17" s="72">
        <f t="shared" si="48"/>
        <v>0</v>
      </c>
      <c r="BB17" s="73">
        <f t="shared" si="49"/>
        <v>0</v>
      </c>
      <c r="BC17" s="67" t="str">
        <f t="shared" si="40"/>
        <v>#DIV/0!</v>
      </c>
      <c r="BD17" s="71">
        <f t="shared" ref="BD17:BE17" si="62">AL17+AC17+K17</f>
        <v>0</v>
      </c>
      <c r="BE17" s="66">
        <f t="shared" si="62"/>
        <v>0</v>
      </c>
      <c r="BF17" s="67" t="str">
        <f t="shared" si="42"/>
        <v>#DIV/0!</v>
      </c>
      <c r="BG17" s="72">
        <f t="shared" ref="BG17:BH17" si="63">AO17+AF17+N17</f>
        <v>0</v>
      </c>
      <c r="BH17" s="66">
        <f t="shared" si="63"/>
        <v>0</v>
      </c>
      <c r="BI17" s="67" t="str">
        <f t="shared" si="44"/>
        <v>#DIV/0!</v>
      </c>
      <c r="BJ17" s="72">
        <f t="shared" si="52"/>
        <v>0</v>
      </c>
      <c r="BK17" s="73">
        <f t="shared" si="53"/>
        <v>0</v>
      </c>
      <c r="BL17" s="67" t="str">
        <f t="shared" si="45"/>
        <v>#DIV/0!</v>
      </c>
      <c r="BM17" s="68">
        <f t="shared" si="54"/>
        <v>0</v>
      </c>
      <c r="BN17" s="76"/>
    </row>
    <row r="18" ht="14.25" customHeight="1">
      <c r="A18" s="65" t="s">
        <v>28</v>
      </c>
      <c r="B18" s="65"/>
      <c r="C18" s="66"/>
      <c r="D18" s="67" t="str">
        <f t="shared" si="22"/>
        <v>#DIV/0!</v>
      </c>
      <c r="E18" s="68"/>
      <c r="F18" s="66"/>
      <c r="G18" s="67" t="str">
        <f t="shared" si="23"/>
        <v>#DIV/0!</v>
      </c>
      <c r="H18" s="68"/>
      <c r="I18" s="66"/>
      <c r="J18" s="67" t="str">
        <f t="shared" si="24"/>
        <v>#DIV/0!</v>
      </c>
      <c r="K18" s="68"/>
      <c r="L18" s="66"/>
      <c r="M18" s="67" t="str">
        <f t="shared" si="25"/>
        <v>#DIV/0!</v>
      </c>
      <c r="N18" s="68"/>
      <c r="O18" s="66"/>
      <c r="P18" s="67" t="str">
        <f t="shared" si="26"/>
        <v>#DIV/0!</v>
      </c>
      <c r="Q18" s="68"/>
      <c r="R18" s="66"/>
      <c r="S18" s="67" t="str">
        <f t="shared" si="27"/>
        <v>#DIV/0!</v>
      </c>
      <c r="T18" s="68"/>
      <c r="U18" s="66"/>
      <c r="V18" s="67" t="str">
        <f t="shared" si="28"/>
        <v>#DIV/0!</v>
      </c>
      <c r="W18" s="68"/>
      <c r="X18" s="66"/>
      <c r="Y18" s="67" t="str">
        <f t="shared" si="29"/>
        <v>#DIV/0!</v>
      </c>
      <c r="Z18" s="68"/>
      <c r="AA18" s="66"/>
      <c r="AB18" s="67" t="str">
        <f t="shared" si="30"/>
        <v>#DIV/0!</v>
      </c>
      <c r="AC18" s="68"/>
      <c r="AD18" s="66"/>
      <c r="AE18" s="67" t="str">
        <f t="shared" si="31"/>
        <v>#DIV/0!</v>
      </c>
      <c r="AF18" s="68"/>
      <c r="AG18" s="66"/>
      <c r="AH18" s="67" t="str">
        <f t="shared" si="32"/>
        <v>#DIV/0!</v>
      </c>
      <c r="AI18" s="68"/>
      <c r="AJ18" s="66"/>
      <c r="AK18" s="67" t="str">
        <f t="shared" si="33"/>
        <v>#DIV/0!</v>
      </c>
      <c r="AL18" s="68"/>
      <c r="AM18" s="66"/>
      <c r="AN18" s="67" t="str">
        <f t="shared" si="34"/>
        <v>#DIV/0!</v>
      </c>
      <c r="AO18" s="68"/>
      <c r="AP18" s="66"/>
      <c r="AQ18" s="67" t="str">
        <f t="shared" si="35"/>
        <v>#DIV/0!</v>
      </c>
      <c r="AR18" s="68"/>
      <c r="AS18" s="66"/>
      <c r="AT18" s="67" t="str">
        <f t="shared" si="36"/>
        <v>#DIV/0!</v>
      </c>
      <c r="AU18" s="68"/>
      <c r="AV18" s="66">
        <f t="shared" si="46"/>
        <v>0</v>
      </c>
      <c r="AW18" s="67" t="str">
        <f t="shared" si="37"/>
        <v>#DIV/0!</v>
      </c>
      <c r="AX18" s="71">
        <f t="shared" ref="AX18:AY18" si="64">E18+W18</f>
        <v>0</v>
      </c>
      <c r="AY18" s="66">
        <f t="shared" si="64"/>
        <v>0</v>
      </c>
      <c r="AZ18" s="67" t="str">
        <f t="shared" si="39"/>
        <v>#DIV/0!</v>
      </c>
      <c r="BA18" s="72">
        <f t="shared" si="48"/>
        <v>0</v>
      </c>
      <c r="BB18" s="73">
        <f t="shared" si="49"/>
        <v>0</v>
      </c>
      <c r="BC18" s="67" t="str">
        <f t="shared" si="40"/>
        <v>#DIV/0!</v>
      </c>
      <c r="BD18" s="71">
        <f t="shared" ref="BD18:BE18" si="65">AL18+AC18+K18</f>
        <v>0</v>
      </c>
      <c r="BE18" s="66">
        <f t="shared" si="65"/>
        <v>0</v>
      </c>
      <c r="BF18" s="67" t="str">
        <f t="shared" si="42"/>
        <v>#DIV/0!</v>
      </c>
      <c r="BG18" s="72">
        <f t="shared" ref="BG18:BH18" si="66">AO18+AF18+N18</f>
        <v>0</v>
      </c>
      <c r="BH18" s="66">
        <f t="shared" si="66"/>
        <v>0</v>
      </c>
      <c r="BI18" s="67" t="str">
        <f t="shared" si="44"/>
        <v>#DIV/0!</v>
      </c>
      <c r="BJ18" s="72">
        <f t="shared" si="52"/>
        <v>0</v>
      </c>
      <c r="BK18" s="73">
        <f t="shared" si="53"/>
        <v>0</v>
      </c>
      <c r="BL18" s="67" t="str">
        <f t="shared" si="45"/>
        <v>#DIV/0!</v>
      </c>
      <c r="BM18" s="68">
        <f t="shared" si="54"/>
        <v>0</v>
      </c>
      <c r="BN18" s="76"/>
    </row>
    <row r="19" ht="14.25" customHeight="1">
      <c r="A19" s="65" t="s">
        <v>29</v>
      </c>
      <c r="B19" s="65"/>
      <c r="C19" s="66"/>
      <c r="D19" s="67" t="str">
        <f t="shared" si="22"/>
        <v>#DIV/0!</v>
      </c>
      <c r="E19" s="68"/>
      <c r="F19" s="66"/>
      <c r="G19" s="67" t="str">
        <f t="shared" si="23"/>
        <v>#DIV/0!</v>
      </c>
      <c r="H19" s="68"/>
      <c r="I19" s="66"/>
      <c r="J19" s="67" t="str">
        <f t="shared" si="24"/>
        <v>#DIV/0!</v>
      </c>
      <c r="K19" s="68"/>
      <c r="L19" s="66"/>
      <c r="M19" s="67" t="str">
        <f t="shared" si="25"/>
        <v>#DIV/0!</v>
      </c>
      <c r="N19" s="68"/>
      <c r="O19" s="66"/>
      <c r="P19" s="67" t="str">
        <f t="shared" si="26"/>
        <v>#DIV/0!</v>
      </c>
      <c r="Q19" s="68"/>
      <c r="R19" s="66"/>
      <c r="S19" s="67" t="str">
        <f t="shared" si="27"/>
        <v>#DIV/0!</v>
      </c>
      <c r="T19" s="68"/>
      <c r="U19" s="66"/>
      <c r="V19" s="67" t="str">
        <f t="shared" si="28"/>
        <v>#DIV/0!</v>
      </c>
      <c r="W19" s="68"/>
      <c r="X19" s="66"/>
      <c r="Y19" s="67" t="str">
        <f t="shared" si="29"/>
        <v>#DIV/0!</v>
      </c>
      <c r="Z19" s="68"/>
      <c r="AA19" s="66"/>
      <c r="AB19" s="67" t="str">
        <f t="shared" si="30"/>
        <v>#DIV/0!</v>
      </c>
      <c r="AC19" s="68"/>
      <c r="AD19" s="66"/>
      <c r="AE19" s="67" t="str">
        <f t="shared" si="31"/>
        <v>#DIV/0!</v>
      </c>
      <c r="AF19" s="68"/>
      <c r="AG19" s="66"/>
      <c r="AH19" s="67" t="str">
        <f t="shared" si="32"/>
        <v>#DIV/0!</v>
      </c>
      <c r="AI19" s="68"/>
      <c r="AJ19" s="66"/>
      <c r="AK19" s="67" t="str">
        <f t="shared" si="33"/>
        <v>#DIV/0!</v>
      </c>
      <c r="AL19" s="68"/>
      <c r="AM19" s="66"/>
      <c r="AN19" s="67" t="str">
        <f t="shared" si="34"/>
        <v>#DIV/0!</v>
      </c>
      <c r="AO19" s="68"/>
      <c r="AP19" s="66"/>
      <c r="AQ19" s="67" t="str">
        <f t="shared" si="35"/>
        <v>#DIV/0!</v>
      </c>
      <c r="AR19" s="68"/>
      <c r="AS19" s="66"/>
      <c r="AT19" s="67" t="str">
        <f t="shared" si="36"/>
        <v>#DIV/0!</v>
      </c>
      <c r="AU19" s="68"/>
      <c r="AV19" s="66">
        <f t="shared" si="46"/>
        <v>0</v>
      </c>
      <c r="AW19" s="67" t="str">
        <f t="shared" si="37"/>
        <v>#DIV/0!</v>
      </c>
      <c r="AX19" s="71">
        <f t="shared" ref="AX19:AY19" si="67">E19+W19</f>
        <v>0</v>
      </c>
      <c r="AY19" s="66">
        <f t="shared" si="67"/>
        <v>0</v>
      </c>
      <c r="AZ19" s="67" t="str">
        <f t="shared" si="39"/>
        <v>#DIV/0!</v>
      </c>
      <c r="BA19" s="72">
        <f t="shared" si="48"/>
        <v>0</v>
      </c>
      <c r="BB19" s="73">
        <f t="shared" si="49"/>
        <v>0</v>
      </c>
      <c r="BC19" s="67" t="str">
        <f t="shared" si="40"/>
        <v>#DIV/0!</v>
      </c>
      <c r="BD19" s="71">
        <f t="shared" ref="BD19:BE19" si="68">AL19+AC19+K19</f>
        <v>0</v>
      </c>
      <c r="BE19" s="66">
        <f t="shared" si="68"/>
        <v>0</v>
      </c>
      <c r="BF19" s="67" t="str">
        <f t="shared" si="42"/>
        <v>#DIV/0!</v>
      </c>
      <c r="BG19" s="72">
        <f t="shared" ref="BG19:BH19" si="69">AO19+AF19+N19</f>
        <v>0</v>
      </c>
      <c r="BH19" s="66">
        <f t="shared" si="69"/>
        <v>0</v>
      </c>
      <c r="BI19" s="67" t="str">
        <f t="shared" si="44"/>
        <v>#DIV/0!</v>
      </c>
      <c r="BJ19" s="72">
        <f t="shared" si="52"/>
        <v>0</v>
      </c>
      <c r="BK19" s="73">
        <f t="shared" si="53"/>
        <v>0</v>
      </c>
      <c r="BL19" s="67" t="str">
        <f t="shared" si="45"/>
        <v>#DIV/0!</v>
      </c>
      <c r="BM19" s="68">
        <f t="shared" si="54"/>
        <v>0</v>
      </c>
      <c r="BN19" s="76"/>
    </row>
    <row r="20" ht="14.25" customHeight="1">
      <c r="A20" s="65" t="s">
        <v>30</v>
      </c>
      <c r="B20" s="65"/>
      <c r="C20" s="66"/>
      <c r="D20" s="67" t="str">
        <f t="shared" si="22"/>
        <v>#DIV/0!</v>
      </c>
      <c r="E20" s="68"/>
      <c r="F20" s="66"/>
      <c r="G20" s="67" t="str">
        <f t="shared" si="23"/>
        <v>#DIV/0!</v>
      </c>
      <c r="H20" s="68"/>
      <c r="I20" s="66"/>
      <c r="J20" s="67" t="str">
        <f t="shared" si="24"/>
        <v>#DIV/0!</v>
      </c>
      <c r="K20" s="68"/>
      <c r="L20" s="66"/>
      <c r="M20" s="67" t="str">
        <f t="shared" si="25"/>
        <v>#DIV/0!</v>
      </c>
      <c r="N20" s="68"/>
      <c r="O20" s="66"/>
      <c r="P20" s="67" t="str">
        <f t="shared" si="26"/>
        <v>#DIV/0!</v>
      </c>
      <c r="Q20" s="68"/>
      <c r="R20" s="66"/>
      <c r="S20" s="67" t="str">
        <f t="shared" si="27"/>
        <v>#DIV/0!</v>
      </c>
      <c r="T20" s="68"/>
      <c r="U20" s="66"/>
      <c r="V20" s="67" t="str">
        <f t="shared" si="28"/>
        <v>#DIV/0!</v>
      </c>
      <c r="W20" s="68"/>
      <c r="X20" s="66"/>
      <c r="Y20" s="67" t="str">
        <f t="shared" si="29"/>
        <v>#DIV/0!</v>
      </c>
      <c r="Z20" s="68"/>
      <c r="AA20" s="66"/>
      <c r="AB20" s="67" t="str">
        <f t="shared" si="30"/>
        <v>#DIV/0!</v>
      </c>
      <c r="AC20" s="68"/>
      <c r="AD20" s="66"/>
      <c r="AE20" s="67" t="str">
        <f t="shared" si="31"/>
        <v>#DIV/0!</v>
      </c>
      <c r="AF20" s="68"/>
      <c r="AG20" s="66"/>
      <c r="AH20" s="67" t="str">
        <f t="shared" si="32"/>
        <v>#DIV/0!</v>
      </c>
      <c r="AI20" s="68"/>
      <c r="AJ20" s="66"/>
      <c r="AK20" s="67" t="str">
        <f t="shared" si="33"/>
        <v>#DIV/0!</v>
      </c>
      <c r="AL20" s="68"/>
      <c r="AM20" s="66"/>
      <c r="AN20" s="67" t="str">
        <f t="shared" si="34"/>
        <v>#DIV/0!</v>
      </c>
      <c r="AO20" s="68"/>
      <c r="AP20" s="66"/>
      <c r="AQ20" s="67" t="str">
        <f t="shared" si="35"/>
        <v>#DIV/0!</v>
      </c>
      <c r="AR20" s="68"/>
      <c r="AS20" s="66"/>
      <c r="AT20" s="67" t="str">
        <f t="shared" si="36"/>
        <v>#DIV/0!</v>
      </c>
      <c r="AU20" s="68"/>
      <c r="AV20" s="66">
        <f t="shared" si="46"/>
        <v>0</v>
      </c>
      <c r="AW20" s="67" t="str">
        <f t="shared" si="37"/>
        <v>#DIV/0!</v>
      </c>
      <c r="AX20" s="71">
        <f t="shared" ref="AX20:AY20" si="70">E20+W20</f>
        <v>0</v>
      </c>
      <c r="AY20" s="66">
        <f t="shared" si="70"/>
        <v>0</v>
      </c>
      <c r="AZ20" s="67" t="str">
        <f t="shared" si="39"/>
        <v>#DIV/0!</v>
      </c>
      <c r="BA20" s="72">
        <f t="shared" si="48"/>
        <v>0</v>
      </c>
      <c r="BB20" s="73">
        <f t="shared" si="49"/>
        <v>0</v>
      </c>
      <c r="BC20" s="67" t="str">
        <f t="shared" si="40"/>
        <v>#DIV/0!</v>
      </c>
      <c r="BD20" s="71">
        <f t="shared" ref="BD20:BE20" si="71">AL20+AC20+K20</f>
        <v>0</v>
      </c>
      <c r="BE20" s="66">
        <f t="shared" si="71"/>
        <v>0</v>
      </c>
      <c r="BF20" s="67" t="str">
        <f t="shared" si="42"/>
        <v>#DIV/0!</v>
      </c>
      <c r="BG20" s="72">
        <f t="shared" ref="BG20:BH20" si="72">AO20+AF20+N20</f>
        <v>0</v>
      </c>
      <c r="BH20" s="66">
        <f t="shared" si="72"/>
        <v>0</v>
      </c>
      <c r="BI20" s="67" t="str">
        <f t="shared" si="44"/>
        <v>#DIV/0!</v>
      </c>
      <c r="BJ20" s="72">
        <f t="shared" si="52"/>
        <v>0</v>
      </c>
      <c r="BK20" s="73">
        <f t="shared" si="53"/>
        <v>0</v>
      </c>
      <c r="BL20" s="67" t="str">
        <f t="shared" si="45"/>
        <v>#DIV/0!</v>
      </c>
      <c r="BM20" s="68">
        <f t="shared" si="54"/>
        <v>0</v>
      </c>
      <c r="BN20" s="76"/>
    </row>
    <row r="21" ht="14.25" customHeight="1">
      <c r="A21" s="65" t="s">
        <v>31</v>
      </c>
      <c r="B21" s="65"/>
      <c r="C21" s="66"/>
      <c r="D21" s="67" t="str">
        <f t="shared" si="22"/>
        <v>#DIV/0!</v>
      </c>
      <c r="E21" s="68"/>
      <c r="F21" s="66"/>
      <c r="G21" s="67" t="str">
        <f t="shared" si="23"/>
        <v>#DIV/0!</v>
      </c>
      <c r="H21" s="68"/>
      <c r="I21" s="66"/>
      <c r="J21" s="67" t="str">
        <f t="shared" si="24"/>
        <v>#DIV/0!</v>
      </c>
      <c r="K21" s="68"/>
      <c r="L21" s="66"/>
      <c r="M21" s="67" t="str">
        <f t="shared" si="25"/>
        <v>#DIV/0!</v>
      </c>
      <c r="N21" s="68"/>
      <c r="O21" s="66"/>
      <c r="P21" s="67" t="str">
        <f t="shared" si="26"/>
        <v>#DIV/0!</v>
      </c>
      <c r="Q21" s="68"/>
      <c r="R21" s="66"/>
      <c r="S21" s="67" t="str">
        <f t="shared" si="27"/>
        <v>#DIV/0!</v>
      </c>
      <c r="T21" s="68"/>
      <c r="U21" s="66"/>
      <c r="V21" s="67" t="str">
        <f t="shared" si="28"/>
        <v>#DIV/0!</v>
      </c>
      <c r="W21" s="68"/>
      <c r="X21" s="66"/>
      <c r="Y21" s="67" t="str">
        <f t="shared" si="29"/>
        <v>#DIV/0!</v>
      </c>
      <c r="Z21" s="68"/>
      <c r="AA21" s="66"/>
      <c r="AB21" s="67" t="str">
        <f t="shared" si="30"/>
        <v>#DIV/0!</v>
      </c>
      <c r="AC21" s="68"/>
      <c r="AD21" s="66"/>
      <c r="AE21" s="67" t="str">
        <f t="shared" si="31"/>
        <v>#DIV/0!</v>
      </c>
      <c r="AF21" s="68"/>
      <c r="AG21" s="66"/>
      <c r="AH21" s="67" t="str">
        <f t="shared" si="32"/>
        <v>#DIV/0!</v>
      </c>
      <c r="AI21" s="68"/>
      <c r="AJ21" s="66"/>
      <c r="AK21" s="67" t="str">
        <f t="shared" si="33"/>
        <v>#DIV/0!</v>
      </c>
      <c r="AL21" s="68"/>
      <c r="AM21" s="66"/>
      <c r="AN21" s="67" t="str">
        <f t="shared" si="34"/>
        <v>#DIV/0!</v>
      </c>
      <c r="AO21" s="68"/>
      <c r="AP21" s="66"/>
      <c r="AQ21" s="67" t="str">
        <f t="shared" si="35"/>
        <v>#DIV/0!</v>
      </c>
      <c r="AR21" s="68"/>
      <c r="AS21" s="66"/>
      <c r="AT21" s="67" t="str">
        <f t="shared" si="36"/>
        <v>#DIV/0!</v>
      </c>
      <c r="AU21" s="68"/>
      <c r="AV21" s="66">
        <f t="shared" si="46"/>
        <v>0</v>
      </c>
      <c r="AW21" s="67" t="str">
        <f t="shared" si="37"/>
        <v>#DIV/0!</v>
      </c>
      <c r="AX21" s="71">
        <f t="shared" ref="AX21:AY21" si="73">E21+W21</f>
        <v>0</v>
      </c>
      <c r="AY21" s="66">
        <f t="shared" si="73"/>
        <v>0</v>
      </c>
      <c r="AZ21" s="67" t="str">
        <f t="shared" si="39"/>
        <v>#DIV/0!</v>
      </c>
      <c r="BA21" s="72">
        <f t="shared" si="48"/>
        <v>0</v>
      </c>
      <c r="BB21" s="73">
        <f t="shared" si="49"/>
        <v>0</v>
      </c>
      <c r="BC21" s="67" t="str">
        <f t="shared" si="40"/>
        <v>#DIV/0!</v>
      </c>
      <c r="BD21" s="71">
        <f t="shared" ref="BD21:BE21" si="74">AL21+AC21+K21</f>
        <v>0</v>
      </c>
      <c r="BE21" s="66">
        <f t="shared" si="74"/>
        <v>0</v>
      </c>
      <c r="BF21" s="67" t="str">
        <f t="shared" si="42"/>
        <v>#DIV/0!</v>
      </c>
      <c r="BG21" s="72">
        <f t="shared" ref="BG21:BH21" si="75">AO21+AF21+N21</f>
        <v>0</v>
      </c>
      <c r="BH21" s="66">
        <f t="shared" si="75"/>
        <v>0</v>
      </c>
      <c r="BI21" s="67" t="str">
        <f t="shared" si="44"/>
        <v>#DIV/0!</v>
      </c>
      <c r="BJ21" s="72">
        <f t="shared" si="52"/>
        <v>0</v>
      </c>
      <c r="BK21" s="73">
        <f t="shared" si="53"/>
        <v>0</v>
      </c>
      <c r="BL21" s="67" t="str">
        <f t="shared" si="45"/>
        <v>#DIV/0!</v>
      </c>
      <c r="BM21" s="68">
        <f t="shared" si="54"/>
        <v>0</v>
      </c>
      <c r="BN21" s="76"/>
    </row>
    <row r="22" ht="14.25" customHeight="1">
      <c r="A22" s="65" t="s">
        <v>32</v>
      </c>
      <c r="B22" s="65"/>
      <c r="C22" s="66"/>
      <c r="D22" s="67" t="str">
        <f t="shared" si="22"/>
        <v>#DIV/0!</v>
      </c>
      <c r="E22" s="68"/>
      <c r="F22" s="66"/>
      <c r="G22" s="67" t="str">
        <f t="shared" si="23"/>
        <v>#DIV/0!</v>
      </c>
      <c r="H22" s="68"/>
      <c r="I22" s="66"/>
      <c r="J22" s="67" t="str">
        <f t="shared" si="24"/>
        <v>#DIV/0!</v>
      </c>
      <c r="K22" s="68"/>
      <c r="L22" s="66"/>
      <c r="M22" s="67" t="str">
        <f t="shared" si="25"/>
        <v>#DIV/0!</v>
      </c>
      <c r="N22" s="68"/>
      <c r="O22" s="66"/>
      <c r="P22" s="67" t="str">
        <f t="shared" si="26"/>
        <v>#DIV/0!</v>
      </c>
      <c r="Q22" s="68"/>
      <c r="R22" s="66"/>
      <c r="S22" s="67" t="str">
        <f t="shared" si="27"/>
        <v>#DIV/0!</v>
      </c>
      <c r="T22" s="68"/>
      <c r="U22" s="66"/>
      <c r="V22" s="67" t="str">
        <f t="shared" si="28"/>
        <v>#DIV/0!</v>
      </c>
      <c r="W22" s="68"/>
      <c r="X22" s="66"/>
      <c r="Y22" s="67" t="str">
        <f t="shared" si="29"/>
        <v>#DIV/0!</v>
      </c>
      <c r="Z22" s="68"/>
      <c r="AA22" s="66"/>
      <c r="AB22" s="67" t="str">
        <f t="shared" si="30"/>
        <v>#DIV/0!</v>
      </c>
      <c r="AC22" s="68"/>
      <c r="AD22" s="66"/>
      <c r="AE22" s="67" t="str">
        <f t="shared" si="31"/>
        <v>#DIV/0!</v>
      </c>
      <c r="AF22" s="68"/>
      <c r="AG22" s="66"/>
      <c r="AH22" s="67" t="str">
        <f t="shared" si="32"/>
        <v>#DIV/0!</v>
      </c>
      <c r="AI22" s="68"/>
      <c r="AJ22" s="66"/>
      <c r="AK22" s="67" t="str">
        <f t="shared" si="33"/>
        <v>#DIV/0!</v>
      </c>
      <c r="AL22" s="68"/>
      <c r="AM22" s="66"/>
      <c r="AN22" s="67" t="str">
        <f t="shared" si="34"/>
        <v>#DIV/0!</v>
      </c>
      <c r="AO22" s="68"/>
      <c r="AP22" s="66"/>
      <c r="AQ22" s="67" t="str">
        <f t="shared" si="35"/>
        <v>#DIV/0!</v>
      </c>
      <c r="AR22" s="68"/>
      <c r="AS22" s="66"/>
      <c r="AT22" s="67" t="str">
        <f t="shared" si="36"/>
        <v>#DIV/0!</v>
      </c>
      <c r="AU22" s="68"/>
      <c r="AV22" s="66">
        <f t="shared" si="46"/>
        <v>0</v>
      </c>
      <c r="AW22" s="67" t="str">
        <f t="shared" si="37"/>
        <v>#DIV/0!</v>
      </c>
      <c r="AX22" s="71">
        <f t="shared" ref="AX22:AY22" si="76">E22+W22</f>
        <v>0</v>
      </c>
      <c r="AY22" s="66">
        <f t="shared" si="76"/>
        <v>0</v>
      </c>
      <c r="AZ22" s="67" t="str">
        <f t="shared" si="39"/>
        <v>#DIV/0!</v>
      </c>
      <c r="BA22" s="72">
        <f t="shared" si="48"/>
        <v>0</v>
      </c>
      <c r="BB22" s="73">
        <f t="shared" si="49"/>
        <v>0</v>
      </c>
      <c r="BC22" s="67" t="str">
        <f t="shared" si="40"/>
        <v>#DIV/0!</v>
      </c>
      <c r="BD22" s="71">
        <f t="shared" ref="BD22:BE22" si="77">AL22+AC22+K22</f>
        <v>0</v>
      </c>
      <c r="BE22" s="66">
        <f t="shared" si="77"/>
        <v>0</v>
      </c>
      <c r="BF22" s="67" t="str">
        <f t="shared" si="42"/>
        <v>#DIV/0!</v>
      </c>
      <c r="BG22" s="72">
        <f t="shared" ref="BG22:BH22" si="78">AO22+AF22+N22</f>
        <v>0</v>
      </c>
      <c r="BH22" s="66">
        <f t="shared" si="78"/>
        <v>0</v>
      </c>
      <c r="BI22" s="67" t="str">
        <f t="shared" si="44"/>
        <v>#DIV/0!</v>
      </c>
      <c r="BJ22" s="72">
        <f t="shared" si="52"/>
        <v>0</v>
      </c>
      <c r="BK22" s="73">
        <f t="shared" si="53"/>
        <v>0</v>
      </c>
      <c r="BL22" s="67" t="str">
        <f t="shared" si="45"/>
        <v>#DIV/0!</v>
      </c>
      <c r="BM22" s="68">
        <f t="shared" si="54"/>
        <v>0</v>
      </c>
      <c r="BN22" s="76"/>
    </row>
    <row r="23" ht="14.25" customHeight="1">
      <c r="A23" s="65" t="s">
        <v>33</v>
      </c>
      <c r="B23" s="65"/>
      <c r="C23" s="66"/>
      <c r="D23" s="67" t="str">
        <f t="shared" si="22"/>
        <v>#DIV/0!</v>
      </c>
      <c r="E23" s="68"/>
      <c r="F23" s="66"/>
      <c r="G23" s="67" t="str">
        <f t="shared" si="23"/>
        <v>#DIV/0!</v>
      </c>
      <c r="H23" s="68"/>
      <c r="I23" s="66"/>
      <c r="J23" s="67" t="str">
        <f t="shared" si="24"/>
        <v>#DIV/0!</v>
      </c>
      <c r="K23" s="68"/>
      <c r="L23" s="66"/>
      <c r="M23" s="67" t="str">
        <f t="shared" si="25"/>
        <v>#DIV/0!</v>
      </c>
      <c r="N23" s="68"/>
      <c r="O23" s="66"/>
      <c r="P23" s="67" t="str">
        <f t="shared" si="26"/>
        <v>#DIV/0!</v>
      </c>
      <c r="Q23" s="68"/>
      <c r="R23" s="66"/>
      <c r="S23" s="67" t="str">
        <f t="shared" si="27"/>
        <v>#DIV/0!</v>
      </c>
      <c r="T23" s="68"/>
      <c r="U23" s="66"/>
      <c r="V23" s="67" t="str">
        <f t="shared" si="28"/>
        <v>#DIV/0!</v>
      </c>
      <c r="W23" s="68"/>
      <c r="X23" s="66"/>
      <c r="Y23" s="67" t="str">
        <f t="shared" si="29"/>
        <v>#DIV/0!</v>
      </c>
      <c r="Z23" s="68"/>
      <c r="AA23" s="66"/>
      <c r="AB23" s="67" t="str">
        <f t="shared" si="30"/>
        <v>#DIV/0!</v>
      </c>
      <c r="AC23" s="68"/>
      <c r="AD23" s="66"/>
      <c r="AE23" s="67" t="str">
        <f t="shared" si="31"/>
        <v>#DIV/0!</v>
      </c>
      <c r="AF23" s="68"/>
      <c r="AG23" s="66"/>
      <c r="AH23" s="67" t="str">
        <f t="shared" si="32"/>
        <v>#DIV/0!</v>
      </c>
      <c r="AI23" s="68"/>
      <c r="AJ23" s="66"/>
      <c r="AK23" s="67" t="str">
        <f t="shared" si="33"/>
        <v>#DIV/0!</v>
      </c>
      <c r="AL23" s="68"/>
      <c r="AM23" s="66"/>
      <c r="AN23" s="67" t="str">
        <f t="shared" si="34"/>
        <v>#DIV/0!</v>
      </c>
      <c r="AO23" s="68"/>
      <c r="AP23" s="66"/>
      <c r="AQ23" s="67" t="str">
        <f t="shared" si="35"/>
        <v>#DIV/0!</v>
      </c>
      <c r="AR23" s="68"/>
      <c r="AS23" s="66"/>
      <c r="AT23" s="67" t="str">
        <f t="shared" si="36"/>
        <v>#DIV/0!</v>
      </c>
      <c r="AU23" s="68"/>
      <c r="AV23" s="66">
        <f t="shared" si="46"/>
        <v>0</v>
      </c>
      <c r="AW23" s="67" t="str">
        <f t="shared" si="37"/>
        <v>#DIV/0!</v>
      </c>
      <c r="AX23" s="71">
        <f t="shared" ref="AX23:AY23" si="79">E23+W23</f>
        <v>0</v>
      </c>
      <c r="AY23" s="66">
        <f t="shared" si="79"/>
        <v>0</v>
      </c>
      <c r="AZ23" s="67" t="str">
        <f t="shared" si="39"/>
        <v>#DIV/0!</v>
      </c>
      <c r="BA23" s="72">
        <f t="shared" si="48"/>
        <v>0</v>
      </c>
      <c r="BB23" s="73">
        <f t="shared" si="49"/>
        <v>0</v>
      </c>
      <c r="BC23" s="67" t="str">
        <f t="shared" si="40"/>
        <v>#DIV/0!</v>
      </c>
      <c r="BD23" s="71">
        <f t="shared" ref="BD23:BE23" si="80">AL23+AC23+K23</f>
        <v>0</v>
      </c>
      <c r="BE23" s="66">
        <f t="shared" si="80"/>
        <v>0</v>
      </c>
      <c r="BF23" s="67" t="str">
        <f t="shared" si="42"/>
        <v>#DIV/0!</v>
      </c>
      <c r="BG23" s="72">
        <f t="shared" ref="BG23:BH23" si="81">AO23+AF23+N23</f>
        <v>0</v>
      </c>
      <c r="BH23" s="66">
        <f t="shared" si="81"/>
        <v>0</v>
      </c>
      <c r="BI23" s="67" t="str">
        <f t="shared" si="44"/>
        <v>#DIV/0!</v>
      </c>
      <c r="BJ23" s="72">
        <f t="shared" si="52"/>
        <v>0</v>
      </c>
      <c r="BK23" s="73">
        <f t="shared" si="53"/>
        <v>0</v>
      </c>
      <c r="BL23" s="67" t="str">
        <f t="shared" si="45"/>
        <v>#DIV/0!</v>
      </c>
      <c r="BM23" s="68">
        <f t="shared" si="54"/>
        <v>0</v>
      </c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79"/>
      <c r="S24" s="80"/>
      <c r="T24" s="81"/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/>
      <c r="AT24" s="80"/>
      <c r="AU24" s="81"/>
      <c r="AV24" s="79">
        <f t="shared" si="46"/>
        <v>0</v>
      </c>
      <c r="AW24" s="80" t="str">
        <f t="shared" si="37"/>
        <v>#DIV/0!</v>
      </c>
      <c r="AX24" s="82">
        <f t="shared" ref="AX24:AY24" si="82">E24+W24</f>
        <v>0</v>
      </c>
      <c r="AY24" s="79">
        <f t="shared" si="82"/>
        <v>0</v>
      </c>
      <c r="AZ24" s="80" t="str">
        <f t="shared" si="39"/>
        <v>#DIV/0!</v>
      </c>
      <c r="BA24" s="83">
        <f t="shared" si="48"/>
        <v>0</v>
      </c>
      <c r="BB24" s="84">
        <f t="shared" si="49"/>
        <v>0</v>
      </c>
      <c r="BC24" s="80" t="str">
        <f t="shared" si="40"/>
        <v>#DIV/0!</v>
      </c>
      <c r="BD24" s="82">
        <f t="shared" ref="BD24:BE24" si="83">AL24+AC24+K24</f>
        <v>0</v>
      </c>
      <c r="BE24" s="79">
        <f t="shared" si="83"/>
        <v>0</v>
      </c>
      <c r="BF24" s="80" t="str">
        <f t="shared" si="42"/>
        <v>#DIV/0!</v>
      </c>
      <c r="BG24" s="83">
        <f t="shared" ref="BG24:BH24" si="84">AO24+AF24+N24</f>
        <v>0</v>
      </c>
      <c r="BH24" s="79">
        <f t="shared" si="84"/>
        <v>0</v>
      </c>
      <c r="BI24" s="80" t="str">
        <f t="shared" si="44"/>
        <v>#DIV/0!</v>
      </c>
      <c r="BJ24" s="83">
        <f t="shared" si="52"/>
        <v>0</v>
      </c>
      <c r="BK24" s="84">
        <f t="shared" si="53"/>
        <v>0</v>
      </c>
      <c r="BL24" s="80" t="str">
        <f t="shared" si="45"/>
        <v>#DIV/0!</v>
      </c>
      <c r="BM24" s="81">
        <f t="shared" si="54"/>
        <v>0</v>
      </c>
      <c r="BN24" s="85"/>
    </row>
    <row r="25" ht="14.25" customHeight="1">
      <c r="A25" s="86" t="s">
        <v>34</v>
      </c>
      <c r="B25" s="86"/>
    </row>
    <row r="26" ht="14.25" customHeight="1">
      <c r="A26" s="87" t="s">
        <v>39</v>
      </c>
      <c r="B26" s="87"/>
    </row>
    <row r="27" ht="14.25" customHeight="1">
      <c r="A27" s="88" t="s">
        <v>40</v>
      </c>
      <c r="B27" s="88"/>
    </row>
    <row r="28" ht="14.25" customHeight="1"/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scale="4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14.25" customHeight="1">
      <c r="A6" s="6" t="s">
        <v>49</v>
      </c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91" t="s">
        <v>38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0</v>
      </c>
      <c r="C12" s="56">
        <f t="shared" si="1"/>
        <v>0</v>
      </c>
      <c r="D12" s="57" t="str">
        <f t="shared" ref="D12:D23" si="22">E12/C12</f>
        <v>#DIV/0!</v>
      </c>
      <c r="E12" s="58">
        <f t="shared" ref="E12:F12" si="2">SUM(E13:E24)</f>
        <v>0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56">
        <f t="shared" si="3"/>
        <v>0</v>
      </c>
      <c r="J12" s="57" t="str">
        <f t="shared" ref="J12:J23" si="24">K12/I12</f>
        <v>#DIV/0!</v>
      </c>
      <c r="K12" s="58">
        <f t="shared" ref="K12:L12" si="4">SUM(K13:K24)</f>
        <v>0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56">
        <f t="shared" si="5"/>
        <v>0</v>
      </c>
      <c r="P12" s="57" t="str">
        <f t="shared" ref="P12:P23" si="26">Q12/O12</f>
        <v>#DIV/0!</v>
      </c>
      <c r="Q12" s="58">
        <f t="shared" ref="Q12:R12" si="6">SUM(Q13:Q24)</f>
        <v>0</v>
      </c>
      <c r="R12" s="56">
        <f t="shared" si="6"/>
        <v>0</v>
      </c>
      <c r="S12" s="57" t="str">
        <f t="shared" ref="S12:S23" si="27">T12/R12</f>
        <v>#DIV/0!</v>
      </c>
      <c r="T12" s="58">
        <f t="shared" ref="T12:U12" si="7">SUM(T13:T24)</f>
        <v>0</v>
      </c>
      <c r="U12" s="56">
        <f t="shared" si="7"/>
        <v>0</v>
      </c>
      <c r="V12" s="57" t="str">
        <f t="shared" ref="V12:V23" si="28">W12/U12</f>
        <v>#DIV/0!</v>
      </c>
      <c r="W12" s="58">
        <f t="shared" ref="W12:X12" si="8">SUM(W13:W24)</f>
        <v>0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56">
        <f t="shared" si="9"/>
        <v>0</v>
      </c>
      <c r="AB12" s="57" t="str">
        <f t="shared" ref="AB12:AB23" si="30">AC12/AA12</f>
        <v>#DIV/0!</v>
      </c>
      <c r="AC12" s="58">
        <f t="shared" ref="AC12:AD12" si="10">SUM(AC13:AC24)</f>
        <v>0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56">
        <f t="shared" si="11"/>
        <v>0</v>
      </c>
      <c r="AH12" s="57" t="str">
        <f t="shared" ref="AH12:AH23" si="32">AI12/AG12</f>
        <v>#DIV/0!</v>
      </c>
      <c r="AI12" s="58">
        <f t="shared" ref="AI12:AJ12" si="12">SUM(AI13:AI24)</f>
        <v>0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56">
        <f t="shared" si="15"/>
        <v>0</v>
      </c>
      <c r="AT12" s="57" t="str">
        <f t="shared" ref="AT12:AT23" si="36">AU12/AS12</f>
        <v>#DIV/0!</v>
      </c>
      <c r="AU12" s="58">
        <f t="shared" ref="AU12:AV12" si="16">SUM(AU13:AU24)</f>
        <v>0</v>
      </c>
      <c r="AV12" s="56">
        <f t="shared" si="16"/>
        <v>0</v>
      </c>
      <c r="AW12" s="57" t="str">
        <f t="shared" ref="AW12:AW23" si="37">AX12/AV12</f>
        <v>#DIV/0!</v>
      </c>
      <c r="AX12" s="59">
        <f t="shared" ref="AX12:AY12" si="17">SUM(AX13:AX24)</f>
        <v>0</v>
      </c>
      <c r="AY12" s="56">
        <f t="shared" si="17"/>
        <v>0</v>
      </c>
      <c r="AZ12" s="57" t="str">
        <f t="shared" ref="AZ12:AZ23" si="38">BA12/AY12</f>
        <v>#DIV/0!</v>
      </c>
      <c r="BA12" s="60">
        <f t="shared" ref="BA12:BB12" si="18">SUM(BA13:BA24)</f>
        <v>0</v>
      </c>
      <c r="BB12" s="61">
        <f t="shared" si="18"/>
        <v>0</v>
      </c>
      <c r="BC12" s="57" t="str">
        <f t="shared" ref="BC12:BC23" si="39">BD12/BB12</f>
        <v>#DIV/0!</v>
      </c>
      <c r="BD12" s="59">
        <f t="shared" ref="BD12:BE12" si="19">SUM(BD13:BD24)</f>
        <v>0</v>
      </c>
      <c r="BE12" s="56">
        <f t="shared" si="19"/>
        <v>0</v>
      </c>
      <c r="BF12" s="57" t="str">
        <f t="shared" ref="BF12:BF23" si="40">BG12/BE12</f>
        <v>#DIV/0!</v>
      </c>
      <c r="BG12" s="60">
        <f t="shared" ref="BG12:BH12" si="20">SUM(BG13:BG24)</f>
        <v>0</v>
      </c>
      <c r="BH12" s="56">
        <f t="shared" si="20"/>
        <v>0</v>
      </c>
      <c r="BI12" s="57" t="str">
        <f t="shared" ref="BI12:BI23" si="41">BJ12/BH12</f>
        <v>#DIV/0!</v>
      </c>
      <c r="BJ12" s="60">
        <f t="shared" ref="BJ12:BK12" si="21">SUM(BJ13:BJ24)</f>
        <v>0</v>
      </c>
      <c r="BK12" s="61">
        <f t="shared" si="21"/>
        <v>0</v>
      </c>
      <c r="BL12" s="57" t="str">
        <f t="shared" ref="BL12:BL23" si="42">BM12/BK12</f>
        <v>#DIV/0!</v>
      </c>
      <c r="BM12" s="58">
        <f>SUM(BM13:BM24)</f>
        <v>0</v>
      </c>
      <c r="BN12" s="64"/>
    </row>
    <row r="13" ht="14.25" customHeight="1">
      <c r="A13" s="65" t="s">
        <v>23</v>
      </c>
      <c r="B13" s="65"/>
      <c r="C13" s="66"/>
      <c r="D13" s="67" t="str">
        <f t="shared" si="22"/>
        <v>#DIV/0!</v>
      </c>
      <c r="E13" s="68"/>
      <c r="F13" s="66"/>
      <c r="G13" s="67" t="str">
        <f t="shared" si="23"/>
        <v>#DIV/0!</v>
      </c>
      <c r="H13" s="68"/>
      <c r="I13" s="66"/>
      <c r="J13" s="67" t="str">
        <f t="shared" si="24"/>
        <v>#DIV/0!</v>
      </c>
      <c r="K13" s="68"/>
      <c r="L13" s="66"/>
      <c r="M13" s="67" t="str">
        <f t="shared" si="25"/>
        <v>#DIV/0!</v>
      </c>
      <c r="N13" s="68"/>
      <c r="O13" s="66"/>
      <c r="P13" s="67" t="str">
        <f t="shared" si="26"/>
        <v>#DIV/0!</v>
      </c>
      <c r="Q13" s="68"/>
      <c r="R13" s="66"/>
      <c r="S13" s="67" t="str">
        <f t="shared" si="27"/>
        <v>#DIV/0!</v>
      </c>
      <c r="T13" s="68"/>
      <c r="U13" s="66"/>
      <c r="V13" s="67" t="str">
        <f t="shared" si="28"/>
        <v>#DIV/0!</v>
      </c>
      <c r="W13" s="68"/>
      <c r="X13" s="66"/>
      <c r="Y13" s="67" t="str">
        <f t="shared" si="29"/>
        <v>#DIV/0!</v>
      </c>
      <c r="Z13" s="68"/>
      <c r="AA13" s="66"/>
      <c r="AB13" s="67" t="str">
        <f t="shared" si="30"/>
        <v>#DIV/0!</v>
      </c>
      <c r="AC13" s="68"/>
      <c r="AD13" s="66"/>
      <c r="AE13" s="67" t="str">
        <f t="shared" si="31"/>
        <v>#DIV/0!</v>
      </c>
      <c r="AF13" s="68"/>
      <c r="AG13" s="66"/>
      <c r="AH13" s="67" t="str">
        <f t="shared" si="32"/>
        <v>#DIV/0!</v>
      </c>
      <c r="AI13" s="68"/>
      <c r="AJ13" s="66"/>
      <c r="AK13" s="67" t="str">
        <f t="shared" si="33"/>
        <v>#DIV/0!</v>
      </c>
      <c r="AL13" s="68"/>
      <c r="AM13" s="66"/>
      <c r="AN13" s="67" t="str">
        <f t="shared" si="34"/>
        <v>#DIV/0!</v>
      </c>
      <c r="AO13" s="68"/>
      <c r="AP13" s="66"/>
      <c r="AQ13" s="67" t="str">
        <f t="shared" si="35"/>
        <v>#DIV/0!</v>
      </c>
      <c r="AR13" s="68"/>
      <c r="AS13" s="66"/>
      <c r="AT13" s="67" t="str">
        <f t="shared" si="36"/>
        <v>#DIV/0!</v>
      </c>
      <c r="AU13" s="68"/>
      <c r="AV13" s="66"/>
      <c r="AW13" s="67" t="str">
        <f t="shared" si="37"/>
        <v>#DIV/0!</v>
      </c>
      <c r="AX13" s="71"/>
      <c r="AY13" s="66"/>
      <c r="AZ13" s="67" t="str">
        <f t="shared" si="38"/>
        <v>#DIV/0!</v>
      </c>
      <c r="BA13" s="72"/>
      <c r="BB13" s="73"/>
      <c r="BC13" s="67" t="str">
        <f t="shared" si="39"/>
        <v>#DIV/0!</v>
      </c>
      <c r="BD13" s="71"/>
      <c r="BE13" s="66"/>
      <c r="BF13" s="67" t="str">
        <f t="shared" si="40"/>
        <v>#DIV/0!</v>
      </c>
      <c r="BG13" s="72"/>
      <c r="BH13" s="66"/>
      <c r="BI13" s="67" t="str">
        <f t="shared" si="41"/>
        <v>#DIV/0!</v>
      </c>
      <c r="BJ13" s="72"/>
      <c r="BK13" s="73"/>
      <c r="BL13" s="67" t="str">
        <f t="shared" si="42"/>
        <v>#DIV/0!</v>
      </c>
      <c r="BM13" s="68"/>
      <c r="BN13" s="76"/>
    </row>
    <row r="14" ht="14.25" customHeight="1">
      <c r="A14" s="65" t="s">
        <v>24</v>
      </c>
      <c r="B14" s="65"/>
      <c r="C14" s="66"/>
      <c r="D14" s="67" t="str">
        <f t="shared" si="22"/>
        <v>#DIV/0!</v>
      </c>
      <c r="E14" s="68"/>
      <c r="F14" s="66"/>
      <c r="G14" s="67" t="str">
        <f t="shared" si="23"/>
        <v>#DIV/0!</v>
      </c>
      <c r="H14" s="68"/>
      <c r="I14" s="66"/>
      <c r="J14" s="67" t="str">
        <f t="shared" si="24"/>
        <v>#DIV/0!</v>
      </c>
      <c r="K14" s="68"/>
      <c r="L14" s="66"/>
      <c r="M14" s="67" t="str">
        <f t="shared" si="25"/>
        <v>#DIV/0!</v>
      </c>
      <c r="N14" s="68"/>
      <c r="O14" s="66"/>
      <c r="P14" s="67" t="str">
        <f t="shared" si="26"/>
        <v>#DIV/0!</v>
      </c>
      <c r="Q14" s="68"/>
      <c r="R14" s="66"/>
      <c r="S14" s="67" t="str">
        <f t="shared" si="27"/>
        <v>#DIV/0!</v>
      </c>
      <c r="T14" s="68"/>
      <c r="U14" s="66"/>
      <c r="V14" s="67" t="str">
        <f t="shared" si="28"/>
        <v>#DIV/0!</v>
      </c>
      <c r="W14" s="68"/>
      <c r="X14" s="66"/>
      <c r="Y14" s="67" t="str">
        <f t="shared" si="29"/>
        <v>#DIV/0!</v>
      </c>
      <c r="Z14" s="68"/>
      <c r="AA14" s="66"/>
      <c r="AB14" s="67" t="str">
        <f t="shared" si="30"/>
        <v>#DIV/0!</v>
      </c>
      <c r="AC14" s="68"/>
      <c r="AD14" s="66"/>
      <c r="AE14" s="67" t="str">
        <f t="shared" si="31"/>
        <v>#DIV/0!</v>
      </c>
      <c r="AF14" s="68"/>
      <c r="AG14" s="66"/>
      <c r="AH14" s="67" t="str">
        <f t="shared" si="32"/>
        <v>#DIV/0!</v>
      </c>
      <c r="AI14" s="68"/>
      <c r="AJ14" s="66"/>
      <c r="AK14" s="67" t="str">
        <f t="shared" si="33"/>
        <v>#DIV/0!</v>
      </c>
      <c r="AL14" s="68"/>
      <c r="AM14" s="66"/>
      <c r="AN14" s="67" t="str">
        <f t="shared" si="34"/>
        <v>#DIV/0!</v>
      </c>
      <c r="AO14" s="68"/>
      <c r="AP14" s="66"/>
      <c r="AQ14" s="67" t="str">
        <f t="shared" si="35"/>
        <v>#DIV/0!</v>
      </c>
      <c r="AR14" s="68"/>
      <c r="AS14" s="66"/>
      <c r="AT14" s="67" t="str">
        <f t="shared" si="36"/>
        <v>#DIV/0!</v>
      </c>
      <c r="AU14" s="68"/>
      <c r="AV14" s="66"/>
      <c r="AW14" s="67" t="str">
        <f t="shared" si="37"/>
        <v>#DIV/0!</v>
      </c>
      <c r="AX14" s="71"/>
      <c r="AY14" s="66"/>
      <c r="AZ14" s="67" t="str">
        <f t="shared" si="38"/>
        <v>#DIV/0!</v>
      </c>
      <c r="BA14" s="72"/>
      <c r="BB14" s="73"/>
      <c r="BC14" s="67" t="str">
        <f t="shared" si="39"/>
        <v>#DIV/0!</v>
      </c>
      <c r="BD14" s="71"/>
      <c r="BE14" s="66"/>
      <c r="BF14" s="67" t="str">
        <f t="shared" si="40"/>
        <v>#DIV/0!</v>
      </c>
      <c r="BG14" s="72"/>
      <c r="BH14" s="66"/>
      <c r="BI14" s="67" t="str">
        <f t="shared" si="41"/>
        <v>#DIV/0!</v>
      </c>
      <c r="BJ14" s="72"/>
      <c r="BK14" s="73"/>
      <c r="BL14" s="67" t="str">
        <f t="shared" si="42"/>
        <v>#DIV/0!</v>
      </c>
      <c r="BM14" s="68"/>
      <c r="BN14" s="76"/>
    </row>
    <row r="15" ht="14.25" customHeight="1">
      <c r="A15" s="65" t="s">
        <v>25</v>
      </c>
      <c r="B15" s="65"/>
      <c r="C15" s="66"/>
      <c r="D15" s="67" t="str">
        <f t="shared" si="22"/>
        <v>#DIV/0!</v>
      </c>
      <c r="E15" s="68"/>
      <c r="F15" s="66"/>
      <c r="G15" s="67" t="str">
        <f t="shared" si="23"/>
        <v>#DIV/0!</v>
      </c>
      <c r="H15" s="68"/>
      <c r="I15" s="66"/>
      <c r="J15" s="67" t="str">
        <f t="shared" si="24"/>
        <v>#DIV/0!</v>
      </c>
      <c r="K15" s="68"/>
      <c r="L15" s="66"/>
      <c r="M15" s="67" t="str">
        <f t="shared" si="25"/>
        <v>#DIV/0!</v>
      </c>
      <c r="N15" s="68"/>
      <c r="O15" s="66"/>
      <c r="P15" s="67" t="str">
        <f t="shared" si="26"/>
        <v>#DIV/0!</v>
      </c>
      <c r="Q15" s="68"/>
      <c r="R15" s="66"/>
      <c r="S15" s="67" t="str">
        <f t="shared" si="27"/>
        <v>#DIV/0!</v>
      </c>
      <c r="T15" s="68"/>
      <c r="U15" s="66"/>
      <c r="V15" s="67" t="str">
        <f t="shared" si="28"/>
        <v>#DIV/0!</v>
      </c>
      <c r="W15" s="68"/>
      <c r="X15" s="66"/>
      <c r="Y15" s="67" t="str">
        <f t="shared" si="29"/>
        <v>#DIV/0!</v>
      </c>
      <c r="Z15" s="68"/>
      <c r="AA15" s="66"/>
      <c r="AB15" s="67" t="str">
        <f t="shared" si="30"/>
        <v>#DIV/0!</v>
      </c>
      <c r="AC15" s="68"/>
      <c r="AD15" s="66"/>
      <c r="AE15" s="67" t="str">
        <f t="shared" si="31"/>
        <v>#DIV/0!</v>
      </c>
      <c r="AF15" s="68"/>
      <c r="AG15" s="66"/>
      <c r="AH15" s="67" t="str">
        <f t="shared" si="32"/>
        <v>#DIV/0!</v>
      </c>
      <c r="AI15" s="68"/>
      <c r="AJ15" s="66"/>
      <c r="AK15" s="67" t="str">
        <f t="shared" si="33"/>
        <v>#DIV/0!</v>
      </c>
      <c r="AL15" s="68"/>
      <c r="AM15" s="66"/>
      <c r="AN15" s="67" t="str">
        <f t="shared" si="34"/>
        <v>#DIV/0!</v>
      </c>
      <c r="AO15" s="68"/>
      <c r="AP15" s="66"/>
      <c r="AQ15" s="67" t="str">
        <f t="shared" si="35"/>
        <v>#DIV/0!</v>
      </c>
      <c r="AR15" s="68"/>
      <c r="AS15" s="66"/>
      <c r="AT15" s="67" t="str">
        <f t="shared" si="36"/>
        <v>#DIV/0!</v>
      </c>
      <c r="AU15" s="68"/>
      <c r="AV15" s="66"/>
      <c r="AW15" s="67" t="str">
        <f t="shared" si="37"/>
        <v>#DIV/0!</v>
      </c>
      <c r="AX15" s="71"/>
      <c r="AY15" s="66"/>
      <c r="AZ15" s="67" t="str">
        <f t="shared" si="38"/>
        <v>#DIV/0!</v>
      </c>
      <c r="BA15" s="72"/>
      <c r="BB15" s="73"/>
      <c r="BC15" s="67" t="str">
        <f t="shared" si="39"/>
        <v>#DIV/0!</v>
      </c>
      <c r="BD15" s="71"/>
      <c r="BE15" s="66"/>
      <c r="BF15" s="67" t="str">
        <f t="shared" si="40"/>
        <v>#DIV/0!</v>
      </c>
      <c r="BG15" s="72"/>
      <c r="BH15" s="66"/>
      <c r="BI15" s="67" t="str">
        <f t="shared" si="41"/>
        <v>#DIV/0!</v>
      </c>
      <c r="BJ15" s="72"/>
      <c r="BK15" s="73"/>
      <c r="BL15" s="67" t="str">
        <f t="shared" si="42"/>
        <v>#DIV/0!</v>
      </c>
      <c r="BM15" s="68"/>
      <c r="BN15" s="76"/>
    </row>
    <row r="16" ht="14.25" customHeight="1">
      <c r="A16" s="65" t="s">
        <v>26</v>
      </c>
      <c r="B16" s="65"/>
      <c r="C16" s="66"/>
      <c r="D16" s="67" t="str">
        <f t="shared" si="22"/>
        <v>#DIV/0!</v>
      </c>
      <c r="E16" s="68"/>
      <c r="F16" s="66"/>
      <c r="G16" s="67" t="str">
        <f t="shared" si="23"/>
        <v>#DIV/0!</v>
      </c>
      <c r="H16" s="68"/>
      <c r="I16" s="66"/>
      <c r="J16" s="67" t="str">
        <f t="shared" si="24"/>
        <v>#DIV/0!</v>
      </c>
      <c r="K16" s="68"/>
      <c r="L16" s="66"/>
      <c r="M16" s="67" t="str">
        <f t="shared" si="25"/>
        <v>#DIV/0!</v>
      </c>
      <c r="N16" s="68"/>
      <c r="O16" s="66"/>
      <c r="P16" s="67" t="str">
        <f t="shared" si="26"/>
        <v>#DIV/0!</v>
      </c>
      <c r="Q16" s="68"/>
      <c r="R16" s="66"/>
      <c r="S16" s="67" t="str">
        <f t="shared" si="27"/>
        <v>#DIV/0!</v>
      </c>
      <c r="T16" s="68"/>
      <c r="U16" s="66"/>
      <c r="V16" s="67" t="str">
        <f t="shared" si="28"/>
        <v>#DIV/0!</v>
      </c>
      <c r="W16" s="68"/>
      <c r="X16" s="66"/>
      <c r="Y16" s="67" t="str">
        <f t="shared" si="29"/>
        <v>#DIV/0!</v>
      </c>
      <c r="Z16" s="68"/>
      <c r="AA16" s="66"/>
      <c r="AB16" s="67" t="str">
        <f t="shared" si="30"/>
        <v>#DIV/0!</v>
      </c>
      <c r="AC16" s="68"/>
      <c r="AD16" s="66"/>
      <c r="AE16" s="67" t="str">
        <f t="shared" si="31"/>
        <v>#DIV/0!</v>
      </c>
      <c r="AF16" s="68"/>
      <c r="AG16" s="66"/>
      <c r="AH16" s="67" t="str">
        <f t="shared" si="32"/>
        <v>#DIV/0!</v>
      </c>
      <c r="AI16" s="68"/>
      <c r="AJ16" s="66"/>
      <c r="AK16" s="67" t="str">
        <f t="shared" si="33"/>
        <v>#DIV/0!</v>
      </c>
      <c r="AL16" s="68"/>
      <c r="AM16" s="66"/>
      <c r="AN16" s="67" t="str">
        <f t="shared" si="34"/>
        <v>#DIV/0!</v>
      </c>
      <c r="AO16" s="68"/>
      <c r="AP16" s="66"/>
      <c r="AQ16" s="67" t="str">
        <f t="shared" si="35"/>
        <v>#DIV/0!</v>
      </c>
      <c r="AR16" s="68"/>
      <c r="AS16" s="66"/>
      <c r="AT16" s="67" t="str">
        <f t="shared" si="36"/>
        <v>#DIV/0!</v>
      </c>
      <c r="AU16" s="68"/>
      <c r="AV16" s="66"/>
      <c r="AW16" s="67" t="str">
        <f t="shared" si="37"/>
        <v>#DIV/0!</v>
      </c>
      <c r="AX16" s="71"/>
      <c r="AY16" s="66"/>
      <c r="AZ16" s="67" t="str">
        <f t="shared" si="38"/>
        <v>#DIV/0!</v>
      </c>
      <c r="BA16" s="72"/>
      <c r="BB16" s="73"/>
      <c r="BC16" s="67" t="str">
        <f t="shared" si="39"/>
        <v>#DIV/0!</v>
      </c>
      <c r="BD16" s="71"/>
      <c r="BE16" s="66"/>
      <c r="BF16" s="67" t="str">
        <f t="shared" si="40"/>
        <v>#DIV/0!</v>
      </c>
      <c r="BG16" s="72"/>
      <c r="BH16" s="66"/>
      <c r="BI16" s="67" t="str">
        <f t="shared" si="41"/>
        <v>#DIV/0!</v>
      </c>
      <c r="BJ16" s="72"/>
      <c r="BK16" s="73"/>
      <c r="BL16" s="67" t="str">
        <f t="shared" si="42"/>
        <v>#DIV/0!</v>
      </c>
      <c r="BM16" s="68"/>
      <c r="BN16" s="76"/>
    </row>
    <row r="17" ht="14.25" customHeight="1">
      <c r="A17" s="65" t="s">
        <v>27</v>
      </c>
      <c r="B17" s="65"/>
      <c r="C17" s="66"/>
      <c r="D17" s="67" t="str">
        <f t="shared" si="22"/>
        <v>#DIV/0!</v>
      </c>
      <c r="E17" s="68"/>
      <c r="F17" s="66"/>
      <c r="G17" s="67" t="str">
        <f t="shared" si="23"/>
        <v>#DIV/0!</v>
      </c>
      <c r="H17" s="68"/>
      <c r="I17" s="66"/>
      <c r="J17" s="67" t="str">
        <f t="shared" si="24"/>
        <v>#DIV/0!</v>
      </c>
      <c r="K17" s="68"/>
      <c r="L17" s="66"/>
      <c r="M17" s="67" t="str">
        <f t="shared" si="25"/>
        <v>#DIV/0!</v>
      </c>
      <c r="N17" s="68"/>
      <c r="O17" s="66"/>
      <c r="P17" s="67" t="str">
        <f t="shared" si="26"/>
        <v>#DIV/0!</v>
      </c>
      <c r="Q17" s="68"/>
      <c r="R17" s="66"/>
      <c r="S17" s="67" t="str">
        <f t="shared" si="27"/>
        <v>#DIV/0!</v>
      </c>
      <c r="T17" s="68"/>
      <c r="U17" s="66"/>
      <c r="V17" s="67" t="str">
        <f t="shared" si="28"/>
        <v>#DIV/0!</v>
      </c>
      <c r="W17" s="68"/>
      <c r="X17" s="66"/>
      <c r="Y17" s="67" t="str">
        <f t="shared" si="29"/>
        <v>#DIV/0!</v>
      </c>
      <c r="Z17" s="68"/>
      <c r="AA17" s="66"/>
      <c r="AB17" s="67" t="str">
        <f t="shared" si="30"/>
        <v>#DIV/0!</v>
      </c>
      <c r="AC17" s="68"/>
      <c r="AD17" s="66"/>
      <c r="AE17" s="67" t="str">
        <f t="shared" si="31"/>
        <v>#DIV/0!</v>
      </c>
      <c r="AF17" s="68"/>
      <c r="AG17" s="66"/>
      <c r="AH17" s="67" t="str">
        <f t="shared" si="32"/>
        <v>#DIV/0!</v>
      </c>
      <c r="AI17" s="68"/>
      <c r="AJ17" s="66"/>
      <c r="AK17" s="67" t="str">
        <f t="shared" si="33"/>
        <v>#DIV/0!</v>
      </c>
      <c r="AL17" s="68"/>
      <c r="AM17" s="66"/>
      <c r="AN17" s="67" t="str">
        <f t="shared" si="34"/>
        <v>#DIV/0!</v>
      </c>
      <c r="AO17" s="68"/>
      <c r="AP17" s="66"/>
      <c r="AQ17" s="67" t="str">
        <f t="shared" si="35"/>
        <v>#DIV/0!</v>
      </c>
      <c r="AR17" s="68"/>
      <c r="AS17" s="66"/>
      <c r="AT17" s="67" t="str">
        <f t="shared" si="36"/>
        <v>#DIV/0!</v>
      </c>
      <c r="AU17" s="68"/>
      <c r="AV17" s="66"/>
      <c r="AW17" s="67" t="str">
        <f t="shared" si="37"/>
        <v>#DIV/0!</v>
      </c>
      <c r="AX17" s="71"/>
      <c r="AY17" s="66"/>
      <c r="AZ17" s="67" t="str">
        <f t="shared" si="38"/>
        <v>#DIV/0!</v>
      </c>
      <c r="BA17" s="72"/>
      <c r="BB17" s="73"/>
      <c r="BC17" s="67" t="str">
        <f t="shared" si="39"/>
        <v>#DIV/0!</v>
      </c>
      <c r="BD17" s="71"/>
      <c r="BE17" s="66"/>
      <c r="BF17" s="67" t="str">
        <f t="shared" si="40"/>
        <v>#DIV/0!</v>
      </c>
      <c r="BG17" s="72"/>
      <c r="BH17" s="66"/>
      <c r="BI17" s="67" t="str">
        <f t="shared" si="41"/>
        <v>#DIV/0!</v>
      </c>
      <c r="BJ17" s="72"/>
      <c r="BK17" s="73"/>
      <c r="BL17" s="67" t="str">
        <f t="shared" si="42"/>
        <v>#DIV/0!</v>
      </c>
      <c r="BM17" s="68"/>
      <c r="BN17" s="76"/>
    </row>
    <row r="18" ht="14.25" customHeight="1">
      <c r="A18" s="65" t="s">
        <v>28</v>
      </c>
      <c r="B18" s="65"/>
      <c r="C18" s="66"/>
      <c r="D18" s="67" t="str">
        <f t="shared" si="22"/>
        <v>#DIV/0!</v>
      </c>
      <c r="E18" s="68"/>
      <c r="F18" s="66"/>
      <c r="G18" s="67" t="str">
        <f t="shared" si="23"/>
        <v>#DIV/0!</v>
      </c>
      <c r="H18" s="68"/>
      <c r="I18" s="66"/>
      <c r="J18" s="67" t="str">
        <f t="shared" si="24"/>
        <v>#DIV/0!</v>
      </c>
      <c r="K18" s="68"/>
      <c r="L18" s="66"/>
      <c r="M18" s="67" t="str">
        <f t="shared" si="25"/>
        <v>#DIV/0!</v>
      </c>
      <c r="N18" s="68"/>
      <c r="O18" s="66"/>
      <c r="P18" s="67" t="str">
        <f t="shared" si="26"/>
        <v>#DIV/0!</v>
      </c>
      <c r="Q18" s="68"/>
      <c r="R18" s="66"/>
      <c r="S18" s="67" t="str">
        <f t="shared" si="27"/>
        <v>#DIV/0!</v>
      </c>
      <c r="T18" s="68"/>
      <c r="U18" s="66"/>
      <c r="V18" s="67" t="str">
        <f t="shared" si="28"/>
        <v>#DIV/0!</v>
      </c>
      <c r="W18" s="68"/>
      <c r="X18" s="66"/>
      <c r="Y18" s="67" t="str">
        <f t="shared" si="29"/>
        <v>#DIV/0!</v>
      </c>
      <c r="Z18" s="68"/>
      <c r="AA18" s="66"/>
      <c r="AB18" s="67" t="str">
        <f t="shared" si="30"/>
        <v>#DIV/0!</v>
      </c>
      <c r="AC18" s="68"/>
      <c r="AD18" s="66"/>
      <c r="AE18" s="67" t="str">
        <f t="shared" si="31"/>
        <v>#DIV/0!</v>
      </c>
      <c r="AF18" s="68"/>
      <c r="AG18" s="66"/>
      <c r="AH18" s="67" t="str">
        <f t="shared" si="32"/>
        <v>#DIV/0!</v>
      </c>
      <c r="AI18" s="68"/>
      <c r="AJ18" s="66"/>
      <c r="AK18" s="67" t="str">
        <f t="shared" si="33"/>
        <v>#DIV/0!</v>
      </c>
      <c r="AL18" s="68"/>
      <c r="AM18" s="66"/>
      <c r="AN18" s="67" t="str">
        <f t="shared" si="34"/>
        <v>#DIV/0!</v>
      </c>
      <c r="AO18" s="68"/>
      <c r="AP18" s="66"/>
      <c r="AQ18" s="67" t="str">
        <f t="shared" si="35"/>
        <v>#DIV/0!</v>
      </c>
      <c r="AR18" s="68"/>
      <c r="AS18" s="66"/>
      <c r="AT18" s="67" t="str">
        <f t="shared" si="36"/>
        <v>#DIV/0!</v>
      </c>
      <c r="AU18" s="68"/>
      <c r="AV18" s="66"/>
      <c r="AW18" s="67" t="str">
        <f t="shared" si="37"/>
        <v>#DIV/0!</v>
      </c>
      <c r="AX18" s="71"/>
      <c r="AY18" s="66"/>
      <c r="AZ18" s="67" t="str">
        <f t="shared" si="38"/>
        <v>#DIV/0!</v>
      </c>
      <c r="BA18" s="72"/>
      <c r="BB18" s="73"/>
      <c r="BC18" s="67" t="str">
        <f t="shared" si="39"/>
        <v>#DIV/0!</v>
      </c>
      <c r="BD18" s="71"/>
      <c r="BE18" s="66"/>
      <c r="BF18" s="67" t="str">
        <f t="shared" si="40"/>
        <v>#DIV/0!</v>
      </c>
      <c r="BG18" s="72"/>
      <c r="BH18" s="66"/>
      <c r="BI18" s="67" t="str">
        <f t="shared" si="41"/>
        <v>#DIV/0!</v>
      </c>
      <c r="BJ18" s="72"/>
      <c r="BK18" s="73"/>
      <c r="BL18" s="67" t="str">
        <f t="shared" si="42"/>
        <v>#DIV/0!</v>
      </c>
      <c r="BM18" s="68"/>
      <c r="BN18" s="76"/>
    </row>
    <row r="19" ht="14.25" customHeight="1">
      <c r="A19" s="65" t="s">
        <v>29</v>
      </c>
      <c r="B19" s="65"/>
      <c r="C19" s="66"/>
      <c r="D19" s="67" t="str">
        <f t="shared" si="22"/>
        <v>#DIV/0!</v>
      </c>
      <c r="E19" s="68"/>
      <c r="F19" s="66"/>
      <c r="G19" s="67" t="str">
        <f t="shared" si="23"/>
        <v>#DIV/0!</v>
      </c>
      <c r="H19" s="68"/>
      <c r="I19" s="66"/>
      <c r="J19" s="67" t="str">
        <f t="shared" si="24"/>
        <v>#DIV/0!</v>
      </c>
      <c r="K19" s="68"/>
      <c r="L19" s="66"/>
      <c r="M19" s="67" t="str">
        <f t="shared" si="25"/>
        <v>#DIV/0!</v>
      </c>
      <c r="N19" s="68"/>
      <c r="O19" s="66"/>
      <c r="P19" s="67" t="str">
        <f t="shared" si="26"/>
        <v>#DIV/0!</v>
      </c>
      <c r="Q19" s="68"/>
      <c r="R19" s="66"/>
      <c r="S19" s="67" t="str">
        <f t="shared" si="27"/>
        <v>#DIV/0!</v>
      </c>
      <c r="T19" s="68"/>
      <c r="U19" s="66"/>
      <c r="V19" s="67" t="str">
        <f t="shared" si="28"/>
        <v>#DIV/0!</v>
      </c>
      <c r="W19" s="68"/>
      <c r="X19" s="66"/>
      <c r="Y19" s="67" t="str">
        <f t="shared" si="29"/>
        <v>#DIV/0!</v>
      </c>
      <c r="Z19" s="68"/>
      <c r="AA19" s="66"/>
      <c r="AB19" s="67" t="str">
        <f t="shared" si="30"/>
        <v>#DIV/0!</v>
      </c>
      <c r="AC19" s="68"/>
      <c r="AD19" s="66"/>
      <c r="AE19" s="67" t="str">
        <f t="shared" si="31"/>
        <v>#DIV/0!</v>
      </c>
      <c r="AF19" s="68"/>
      <c r="AG19" s="66"/>
      <c r="AH19" s="67" t="str">
        <f t="shared" si="32"/>
        <v>#DIV/0!</v>
      </c>
      <c r="AI19" s="68"/>
      <c r="AJ19" s="66"/>
      <c r="AK19" s="67" t="str">
        <f t="shared" si="33"/>
        <v>#DIV/0!</v>
      </c>
      <c r="AL19" s="68"/>
      <c r="AM19" s="66"/>
      <c r="AN19" s="67" t="str">
        <f t="shared" si="34"/>
        <v>#DIV/0!</v>
      </c>
      <c r="AO19" s="68"/>
      <c r="AP19" s="66"/>
      <c r="AQ19" s="67" t="str">
        <f t="shared" si="35"/>
        <v>#DIV/0!</v>
      </c>
      <c r="AR19" s="68"/>
      <c r="AS19" s="66"/>
      <c r="AT19" s="67" t="str">
        <f t="shared" si="36"/>
        <v>#DIV/0!</v>
      </c>
      <c r="AU19" s="68"/>
      <c r="AV19" s="66"/>
      <c r="AW19" s="67" t="str">
        <f t="shared" si="37"/>
        <v>#DIV/0!</v>
      </c>
      <c r="AX19" s="71"/>
      <c r="AY19" s="66"/>
      <c r="AZ19" s="67" t="str">
        <f t="shared" si="38"/>
        <v>#DIV/0!</v>
      </c>
      <c r="BA19" s="72"/>
      <c r="BB19" s="73"/>
      <c r="BC19" s="67" t="str">
        <f t="shared" si="39"/>
        <v>#DIV/0!</v>
      </c>
      <c r="BD19" s="71"/>
      <c r="BE19" s="66"/>
      <c r="BF19" s="67" t="str">
        <f t="shared" si="40"/>
        <v>#DIV/0!</v>
      </c>
      <c r="BG19" s="72"/>
      <c r="BH19" s="66"/>
      <c r="BI19" s="67" t="str">
        <f t="shared" si="41"/>
        <v>#DIV/0!</v>
      </c>
      <c r="BJ19" s="72"/>
      <c r="BK19" s="73"/>
      <c r="BL19" s="67" t="str">
        <f t="shared" si="42"/>
        <v>#DIV/0!</v>
      </c>
      <c r="BM19" s="68"/>
      <c r="BN19" s="76"/>
    </row>
    <row r="20" ht="14.25" customHeight="1">
      <c r="A20" s="65" t="s">
        <v>30</v>
      </c>
      <c r="B20" s="65"/>
      <c r="C20" s="66"/>
      <c r="D20" s="67" t="str">
        <f t="shared" si="22"/>
        <v>#DIV/0!</v>
      </c>
      <c r="E20" s="68"/>
      <c r="F20" s="66"/>
      <c r="G20" s="67" t="str">
        <f t="shared" si="23"/>
        <v>#DIV/0!</v>
      </c>
      <c r="H20" s="68"/>
      <c r="I20" s="66"/>
      <c r="J20" s="67" t="str">
        <f t="shared" si="24"/>
        <v>#DIV/0!</v>
      </c>
      <c r="K20" s="68"/>
      <c r="L20" s="66"/>
      <c r="M20" s="67" t="str">
        <f t="shared" si="25"/>
        <v>#DIV/0!</v>
      </c>
      <c r="N20" s="68"/>
      <c r="O20" s="66"/>
      <c r="P20" s="67" t="str">
        <f t="shared" si="26"/>
        <v>#DIV/0!</v>
      </c>
      <c r="Q20" s="68"/>
      <c r="R20" s="66"/>
      <c r="S20" s="67" t="str">
        <f t="shared" si="27"/>
        <v>#DIV/0!</v>
      </c>
      <c r="T20" s="68"/>
      <c r="U20" s="66"/>
      <c r="V20" s="67" t="str">
        <f t="shared" si="28"/>
        <v>#DIV/0!</v>
      </c>
      <c r="W20" s="68"/>
      <c r="X20" s="66"/>
      <c r="Y20" s="67" t="str">
        <f t="shared" si="29"/>
        <v>#DIV/0!</v>
      </c>
      <c r="Z20" s="68"/>
      <c r="AA20" s="66"/>
      <c r="AB20" s="67" t="str">
        <f t="shared" si="30"/>
        <v>#DIV/0!</v>
      </c>
      <c r="AC20" s="68"/>
      <c r="AD20" s="66"/>
      <c r="AE20" s="67" t="str">
        <f t="shared" si="31"/>
        <v>#DIV/0!</v>
      </c>
      <c r="AF20" s="68"/>
      <c r="AG20" s="66"/>
      <c r="AH20" s="67" t="str">
        <f t="shared" si="32"/>
        <v>#DIV/0!</v>
      </c>
      <c r="AI20" s="68"/>
      <c r="AJ20" s="66"/>
      <c r="AK20" s="67" t="str">
        <f t="shared" si="33"/>
        <v>#DIV/0!</v>
      </c>
      <c r="AL20" s="68"/>
      <c r="AM20" s="66"/>
      <c r="AN20" s="67" t="str">
        <f t="shared" si="34"/>
        <v>#DIV/0!</v>
      </c>
      <c r="AO20" s="68"/>
      <c r="AP20" s="66"/>
      <c r="AQ20" s="67" t="str">
        <f t="shared" si="35"/>
        <v>#DIV/0!</v>
      </c>
      <c r="AR20" s="68"/>
      <c r="AS20" s="66"/>
      <c r="AT20" s="67" t="str">
        <f t="shared" si="36"/>
        <v>#DIV/0!</v>
      </c>
      <c r="AU20" s="68"/>
      <c r="AV20" s="66"/>
      <c r="AW20" s="67" t="str">
        <f t="shared" si="37"/>
        <v>#DIV/0!</v>
      </c>
      <c r="AX20" s="71"/>
      <c r="AY20" s="66"/>
      <c r="AZ20" s="67" t="str">
        <f t="shared" si="38"/>
        <v>#DIV/0!</v>
      </c>
      <c r="BA20" s="72"/>
      <c r="BB20" s="73"/>
      <c r="BC20" s="67" t="str">
        <f t="shared" si="39"/>
        <v>#DIV/0!</v>
      </c>
      <c r="BD20" s="71"/>
      <c r="BE20" s="66"/>
      <c r="BF20" s="67" t="str">
        <f t="shared" si="40"/>
        <v>#DIV/0!</v>
      </c>
      <c r="BG20" s="72"/>
      <c r="BH20" s="66"/>
      <c r="BI20" s="67" t="str">
        <f t="shared" si="41"/>
        <v>#DIV/0!</v>
      </c>
      <c r="BJ20" s="72"/>
      <c r="BK20" s="73"/>
      <c r="BL20" s="67" t="str">
        <f t="shared" si="42"/>
        <v>#DIV/0!</v>
      </c>
      <c r="BM20" s="68"/>
      <c r="BN20" s="76"/>
    </row>
    <row r="21" ht="14.25" customHeight="1">
      <c r="A21" s="65" t="s">
        <v>31</v>
      </c>
      <c r="B21" s="65"/>
      <c r="C21" s="66"/>
      <c r="D21" s="67" t="str">
        <f t="shared" si="22"/>
        <v>#DIV/0!</v>
      </c>
      <c r="E21" s="68"/>
      <c r="F21" s="66"/>
      <c r="G21" s="67" t="str">
        <f t="shared" si="23"/>
        <v>#DIV/0!</v>
      </c>
      <c r="H21" s="68"/>
      <c r="I21" s="66"/>
      <c r="J21" s="67" t="str">
        <f t="shared" si="24"/>
        <v>#DIV/0!</v>
      </c>
      <c r="K21" s="68"/>
      <c r="L21" s="66"/>
      <c r="M21" s="67" t="str">
        <f t="shared" si="25"/>
        <v>#DIV/0!</v>
      </c>
      <c r="N21" s="68"/>
      <c r="O21" s="66"/>
      <c r="P21" s="67" t="str">
        <f t="shared" si="26"/>
        <v>#DIV/0!</v>
      </c>
      <c r="Q21" s="68"/>
      <c r="R21" s="66"/>
      <c r="S21" s="67" t="str">
        <f t="shared" si="27"/>
        <v>#DIV/0!</v>
      </c>
      <c r="T21" s="68"/>
      <c r="U21" s="66"/>
      <c r="V21" s="67" t="str">
        <f t="shared" si="28"/>
        <v>#DIV/0!</v>
      </c>
      <c r="W21" s="68"/>
      <c r="X21" s="66"/>
      <c r="Y21" s="67" t="str">
        <f t="shared" si="29"/>
        <v>#DIV/0!</v>
      </c>
      <c r="Z21" s="68"/>
      <c r="AA21" s="66"/>
      <c r="AB21" s="67" t="str">
        <f t="shared" si="30"/>
        <v>#DIV/0!</v>
      </c>
      <c r="AC21" s="68"/>
      <c r="AD21" s="66"/>
      <c r="AE21" s="67" t="str">
        <f t="shared" si="31"/>
        <v>#DIV/0!</v>
      </c>
      <c r="AF21" s="68"/>
      <c r="AG21" s="66"/>
      <c r="AH21" s="67" t="str">
        <f t="shared" si="32"/>
        <v>#DIV/0!</v>
      </c>
      <c r="AI21" s="68"/>
      <c r="AJ21" s="66"/>
      <c r="AK21" s="67" t="str">
        <f t="shared" si="33"/>
        <v>#DIV/0!</v>
      </c>
      <c r="AL21" s="68"/>
      <c r="AM21" s="66"/>
      <c r="AN21" s="67" t="str">
        <f t="shared" si="34"/>
        <v>#DIV/0!</v>
      </c>
      <c r="AO21" s="68"/>
      <c r="AP21" s="66"/>
      <c r="AQ21" s="67" t="str">
        <f t="shared" si="35"/>
        <v>#DIV/0!</v>
      </c>
      <c r="AR21" s="68"/>
      <c r="AS21" s="66"/>
      <c r="AT21" s="67" t="str">
        <f t="shared" si="36"/>
        <v>#DIV/0!</v>
      </c>
      <c r="AU21" s="68"/>
      <c r="AV21" s="66"/>
      <c r="AW21" s="67" t="str">
        <f t="shared" si="37"/>
        <v>#DIV/0!</v>
      </c>
      <c r="AX21" s="71"/>
      <c r="AY21" s="66"/>
      <c r="AZ21" s="67" t="str">
        <f t="shared" si="38"/>
        <v>#DIV/0!</v>
      </c>
      <c r="BA21" s="72"/>
      <c r="BB21" s="73"/>
      <c r="BC21" s="67" t="str">
        <f t="shared" si="39"/>
        <v>#DIV/0!</v>
      </c>
      <c r="BD21" s="71"/>
      <c r="BE21" s="66"/>
      <c r="BF21" s="67" t="str">
        <f t="shared" si="40"/>
        <v>#DIV/0!</v>
      </c>
      <c r="BG21" s="72"/>
      <c r="BH21" s="66"/>
      <c r="BI21" s="67" t="str">
        <f t="shared" si="41"/>
        <v>#DIV/0!</v>
      </c>
      <c r="BJ21" s="72"/>
      <c r="BK21" s="73"/>
      <c r="BL21" s="67" t="str">
        <f t="shared" si="42"/>
        <v>#DIV/0!</v>
      </c>
      <c r="BM21" s="68"/>
      <c r="BN21" s="76"/>
    </row>
    <row r="22" ht="14.25" customHeight="1">
      <c r="A22" s="65" t="s">
        <v>32</v>
      </c>
      <c r="B22" s="65"/>
      <c r="C22" s="66"/>
      <c r="D22" s="67" t="str">
        <f t="shared" si="22"/>
        <v>#DIV/0!</v>
      </c>
      <c r="E22" s="68"/>
      <c r="F22" s="66"/>
      <c r="G22" s="67" t="str">
        <f t="shared" si="23"/>
        <v>#DIV/0!</v>
      </c>
      <c r="H22" s="68"/>
      <c r="I22" s="66"/>
      <c r="J22" s="67" t="str">
        <f t="shared" si="24"/>
        <v>#DIV/0!</v>
      </c>
      <c r="K22" s="68"/>
      <c r="L22" s="66"/>
      <c r="M22" s="67" t="str">
        <f t="shared" si="25"/>
        <v>#DIV/0!</v>
      </c>
      <c r="N22" s="68"/>
      <c r="O22" s="66"/>
      <c r="P22" s="67" t="str">
        <f t="shared" si="26"/>
        <v>#DIV/0!</v>
      </c>
      <c r="Q22" s="68"/>
      <c r="R22" s="66"/>
      <c r="S22" s="67" t="str">
        <f t="shared" si="27"/>
        <v>#DIV/0!</v>
      </c>
      <c r="T22" s="68"/>
      <c r="U22" s="66"/>
      <c r="V22" s="67" t="str">
        <f t="shared" si="28"/>
        <v>#DIV/0!</v>
      </c>
      <c r="W22" s="68"/>
      <c r="X22" s="66"/>
      <c r="Y22" s="67" t="str">
        <f t="shared" si="29"/>
        <v>#DIV/0!</v>
      </c>
      <c r="Z22" s="68"/>
      <c r="AA22" s="66"/>
      <c r="AB22" s="67" t="str">
        <f t="shared" si="30"/>
        <v>#DIV/0!</v>
      </c>
      <c r="AC22" s="68"/>
      <c r="AD22" s="66"/>
      <c r="AE22" s="67" t="str">
        <f t="shared" si="31"/>
        <v>#DIV/0!</v>
      </c>
      <c r="AF22" s="68"/>
      <c r="AG22" s="66"/>
      <c r="AH22" s="67" t="str">
        <f t="shared" si="32"/>
        <v>#DIV/0!</v>
      </c>
      <c r="AI22" s="68"/>
      <c r="AJ22" s="66"/>
      <c r="AK22" s="67" t="str">
        <f t="shared" si="33"/>
        <v>#DIV/0!</v>
      </c>
      <c r="AL22" s="68"/>
      <c r="AM22" s="66"/>
      <c r="AN22" s="67" t="str">
        <f t="shared" si="34"/>
        <v>#DIV/0!</v>
      </c>
      <c r="AO22" s="68"/>
      <c r="AP22" s="66"/>
      <c r="AQ22" s="67" t="str">
        <f t="shared" si="35"/>
        <v>#DIV/0!</v>
      </c>
      <c r="AR22" s="68"/>
      <c r="AS22" s="66"/>
      <c r="AT22" s="67" t="str">
        <f t="shared" si="36"/>
        <v>#DIV/0!</v>
      </c>
      <c r="AU22" s="68"/>
      <c r="AV22" s="66"/>
      <c r="AW22" s="67" t="str">
        <f t="shared" si="37"/>
        <v>#DIV/0!</v>
      </c>
      <c r="AX22" s="71"/>
      <c r="AY22" s="66"/>
      <c r="AZ22" s="67" t="str">
        <f t="shared" si="38"/>
        <v>#DIV/0!</v>
      </c>
      <c r="BA22" s="72"/>
      <c r="BB22" s="73"/>
      <c r="BC22" s="67" t="str">
        <f t="shared" si="39"/>
        <v>#DIV/0!</v>
      </c>
      <c r="BD22" s="71"/>
      <c r="BE22" s="66"/>
      <c r="BF22" s="67" t="str">
        <f t="shared" si="40"/>
        <v>#DIV/0!</v>
      </c>
      <c r="BG22" s="72"/>
      <c r="BH22" s="66"/>
      <c r="BI22" s="67" t="str">
        <f t="shared" si="41"/>
        <v>#DIV/0!</v>
      </c>
      <c r="BJ22" s="72"/>
      <c r="BK22" s="73"/>
      <c r="BL22" s="67" t="str">
        <f t="shared" si="42"/>
        <v>#DIV/0!</v>
      </c>
      <c r="BM22" s="68"/>
      <c r="BN22" s="76"/>
    </row>
    <row r="23" ht="14.25" customHeight="1">
      <c r="A23" s="65" t="s">
        <v>33</v>
      </c>
      <c r="B23" s="65"/>
      <c r="C23" s="66"/>
      <c r="D23" s="67" t="str">
        <f t="shared" si="22"/>
        <v>#DIV/0!</v>
      </c>
      <c r="E23" s="68"/>
      <c r="F23" s="66"/>
      <c r="G23" s="67" t="str">
        <f t="shared" si="23"/>
        <v>#DIV/0!</v>
      </c>
      <c r="H23" s="68"/>
      <c r="I23" s="66"/>
      <c r="J23" s="67" t="str">
        <f t="shared" si="24"/>
        <v>#DIV/0!</v>
      </c>
      <c r="K23" s="68"/>
      <c r="L23" s="66"/>
      <c r="M23" s="67" t="str">
        <f t="shared" si="25"/>
        <v>#DIV/0!</v>
      </c>
      <c r="N23" s="68"/>
      <c r="O23" s="66"/>
      <c r="P23" s="67" t="str">
        <f t="shared" si="26"/>
        <v>#DIV/0!</v>
      </c>
      <c r="Q23" s="68"/>
      <c r="R23" s="66"/>
      <c r="S23" s="67" t="str">
        <f t="shared" si="27"/>
        <v>#DIV/0!</v>
      </c>
      <c r="T23" s="68"/>
      <c r="U23" s="66"/>
      <c r="V23" s="67" t="str">
        <f t="shared" si="28"/>
        <v>#DIV/0!</v>
      </c>
      <c r="W23" s="68"/>
      <c r="X23" s="66"/>
      <c r="Y23" s="67" t="str">
        <f t="shared" si="29"/>
        <v>#DIV/0!</v>
      </c>
      <c r="Z23" s="68"/>
      <c r="AA23" s="66"/>
      <c r="AB23" s="67" t="str">
        <f t="shared" si="30"/>
        <v>#DIV/0!</v>
      </c>
      <c r="AC23" s="68"/>
      <c r="AD23" s="66"/>
      <c r="AE23" s="67" t="str">
        <f t="shared" si="31"/>
        <v>#DIV/0!</v>
      </c>
      <c r="AF23" s="68"/>
      <c r="AG23" s="66"/>
      <c r="AH23" s="67" t="str">
        <f t="shared" si="32"/>
        <v>#DIV/0!</v>
      </c>
      <c r="AI23" s="68"/>
      <c r="AJ23" s="66"/>
      <c r="AK23" s="67" t="str">
        <f t="shared" si="33"/>
        <v>#DIV/0!</v>
      </c>
      <c r="AL23" s="68"/>
      <c r="AM23" s="66"/>
      <c r="AN23" s="67" t="str">
        <f t="shared" si="34"/>
        <v>#DIV/0!</v>
      </c>
      <c r="AO23" s="68"/>
      <c r="AP23" s="66"/>
      <c r="AQ23" s="67" t="str">
        <f t="shared" si="35"/>
        <v>#DIV/0!</v>
      </c>
      <c r="AR23" s="68"/>
      <c r="AS23" s="66"/>
      <c r="AT23" s="67" t="str">
        <f t="shared" si="36"/>
        <v>#DIV/0!</v>
      </c>
      <c r="AU23" s="68"/>
      <c r="AV23" s="66"/>
      <c r="AW23" s="67" t="str">
        <f t="shared" si="37"/>
        <v>#DIV/0!</v>
      </c>
      <c r="AX23" s="71"/>
      <c r="AY23" s="66"/>
      <c r="AZ23" s="67" t="str">
        <f t="shared" si="38"/>
        <v>#DIV/0!</v>
      </c>
      <c r="BA23" s="72"/>
      <c r="BB23" s="73"/>
      <c r="BC23" s="67" t="str">
        <f t="shared" si="39"/>
        <v>#DIV/0!</v>
      </c>
      <c r="BD23" s="71"/>
      <c r="BE23" s="66"/>
      <c r="BF23" s="67" t="str">
        <f t="shared" si="40"/>
        <v>#DIV/0!</v>
      </c>
      <c r="BG23" s="72"/>
      <c r="BH23" s="66"/>
      <c r="BI23" s="67" t="str">
        <f t="shared" si="41"/>
        <v>#DIV/0!</v>
      </c>
      <c r="BJ23" s="72"/>
      <c r="BK23" s="73"/>
      <c r="BL23" s="67" t="str">
        <f t="shared" si="42"/>
        <v>#DIV/0!</v>
      </c>
      <c r="BM23" s="68"/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79"/>
      <c r="S24" s="80"/>
      <c r="T24" s="81"/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/>
      <c r="AT24" s="80"/>
      <c r="AU24" s="81"/>
      <c r="AV24" s="79"/>
      <c r="AW24" s="80"/>
      <c r="AX24" s="82"/>
      <c r="AY24" s="79"/>
      <c r="AZ24" s="80"/>
      <c r="BA24" s="83"/>
      <c r="BB24" s="84"/>
      <c r="BC24" s="80"/>
      <c r="BD24" s="82"/>
      <c r="BE24" s="79"/>
      <c r="BF24" s="80"/>
      <c r="BG24" s="83"/>
      <c r="BH24" s="79"/>
      <c r="BI24" s="80"/>
      <c r="BJ24" s="83"/>
      <c r="BK24" s="84"/>
      <c r="BL24" s="80"/>
      <c r="BM24" s="81"/>
      <c r="BN24" s="85"/>
    </row>
    <row r="25" ht="14.25" customHeight="1">
      <c r="A25" s="86" t="s">
        <v>34</v>
      </c>
      <c r="B25" s="86"/>
    </row>
    <row r="26" ht="14.25" customHeight="1">
      <c r="A26" s="87" t="s">
        <v>39</v>
      </c>
      <c r="B26" s="87"/>
    </row>
    <row r="27" ht="14.25" customHeight="1">
      <c r="A27" s="88" t="s">
        <v>40</v>
      </c>
      <c r="B27" s="88"/>
    </row>
    <row r="28" ht="14.25" customHeight="1"/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scale="4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4.43" defaultRowHeight="15.0"/>
  <cols>
    <col customWidth="1" min="1" max="1" width="21.86"/>
    <col customWidth="1" min="2" max="2" width="11.43"/>
    <col customWidth="1" min="3" max="65" width="10.29"/>
    <col customWidth="1" min="66" max="66" width="15.14"/>
  </cols>
  <sheetData>
    <row r="1" ht="14.25" customHeight="1">
      <c r="A1" s="1" t="s">
        <v>0</v>
      </c>
      <c r="B1" s="1"/>
    </row>
    <row r="2" ht="14.25" customHeight="1">
      <c r="A2" s="2" t="s">
        <v>1</v>
      </c>
      <c r="B2" s="2"/>
    </row>
    <row r="3" ht="14.25" customHeight="1">
      <c r="A3" s="3" t="s">
        <v>2</v>
      </c>
      <c r="B3" s="4"/>
    </row>
    <row r="4" ht="14.25" customHeight="1">
      <c r="A4" s="5"/>
      <c r="B4" s="5"/>
    </row>
    <row r="5" ht="14.25" customHeight="1">
      <c r="A5" s="2" t="s">
        <v>3</v>
      </c>
      <c r="B5" s="2"/>
    </row>
    <row r="6" ht="14.25" customHeight="1">
      <c r="A6" s="6" t="s">
        <v>49</v>
      </c>
      <c r="B6" s="6"/>
      <c r="C6" s="7"/>
      <c r="D6" s="7"/>
      <c r="E6" s="7"/>
    </row>
    <row r="7" ht="12.75" customHeight="1">
      <c r="A7" s="8" t="s">
        <v>4</v>
      </c>
      <c r="B7" s="9" t="s">
        <v>5</v>
      </c>
      <c r="C7" s="10" t="s">
        <v>6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2"/>
      <c r="U7" s="13" t="s">
        <v>7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4"/>
      <c r="AV7" s="91" t="s">
        <v>38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4"/>
      <c r="BN7" s="16" t="s">
        <v>8</v>
      </c>
    </row>
    <row r="8" ht="12.0" customHeight="1">
      <c r="A8" s="17"/>
      <c r="B8" s="18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2"/>
      <c r="AV8" s="19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2"/>
      <c r="BN8" s="23"/>
    </row>
    <row r="9" ht="19.5" customHeight="1">
      <c r="A9" s="17"/>
      <c r="B9" s="18"/>
      <c r="C9" s="24" t="s">
        <v>9</v>
      </c>
      <c r="D9" s="25"/>
      <c r="E9" s="26"/>
      <c r="F9" s="24" t="s">
        <v>10</v>
      </c>
      <c r="G9" s="25"/>
      <c r="H9" s="27"/>
      <c r="I9" s="28" t="s">
        <v>11</v>
      </c>
      <c r="J9" s="25"/>
      <c r="K9" s="26"/>
      <c r="L9" s="24" t="s">
        <v>12</v>
      </c>
      <c r="M9" s="25"/>
      <c r="N9" s="27"/>
      <c r="O9" s="28" t="s">
        <v>13</v>
      </c>
      <c r="P9" s="25"/>
      <c r="Q9" s="26"/>
      <c r="R9" s="29" t="s">
        <v>14</v>
      </c>
      <c r="S9" s="25"/>
      <c r="T9" s="27"/>
      <c r="U9" s="30" t="s">
        <v>15</v>
      </c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2"/>
      <c r="AJ9" s="33" t="s">
        <v>16</v>
      </c>
      <c r="AK9" s="31"/>
      <c r="AL9" s="31"/>
      <c r="AM9" s="31"/>
      <c r="AN9" s="31"/>
      <c r="AO9" s="31"/>
      <c r="AP9" s="31"/>
      <c r="AQ9" s="31"/>
      <c r="AR9" s="34"/>
      <c r="AS9" s="35" t="s">
        <v>14</v>
      </c>
      <c r="AT9" s="25"/>
      <c r="AU9" s="27"/>
      <c r="AV9" s="24" t="s">
        <v>9</v>
      </c>
      <c r="AW9" s="25"/>
      <c r="AX9" s="26"/>
      <c r="AY9" s="24" t="s">
        <v>10</v>
      </c>
      <c r="AZ9" s="25"/>
      <c r="BA9" s="27"/>
      <c r="BB9" s="28" t="s">
        <v>11</v>
      </c>
      <c r="BC9" s="25"/>
      <c r="BD9" s="26"/>
      <c r="BE9" s="24" t="s">
        <v>12</v>
      </c>
      <c r="BF9" s="25"/>
      <c r="BG9" s="27"/>
      <c r="BH9" s="24" t="s">
        <v>13</v>
      </c>
      <c r="BI9" s="25"/>
      <c r="BJ9" s="27"/>
      <c r="BK9" s="36" t="s">
        <v>14</v>
      </c>
      <c r="BL9" s="25"/>
      <c r="BM9" s="27"/>
      <c r="BN9" s="23"/>
    </row>
    <row r="10" ht="20.25" customHeight="1">
      <c r="A10" s="17"/>
      <c r="B10" s="18"/>
      <c r="C10" s="19"/>
      <c r="D10" s="20"/>
      <c r="E10" s="37"/>
      <c r="F10" s="19"/>
      <c r="G10" s="20"/>
      <c r="H10" s="22"/>
      <c r="I10" s="20"/>
      <c r="J10" s="20"/>
      <c r="K10" s="37"/>
      <c r="L10" s="19"/>
      <c r="M10" s="20"/>
      <c r="N10" s="22"/>
      <c r="O10" s="20"/>
      <c r="P10" s="20"/>
      <c r="Q10" s="37"/>
      <c r="R10" s="19"/>
      <c r="S10" s="20"/>
      <c r="T10" s="22"/>
      <c r="U10" s="38" t="s">
        <v>9</v>
      </c>
      <c r="V10" s="31"/>
      <c r="W10" s="39"/>
      <c r="X10" s="38" t="s">
        <v>10</v>
      </c>
      <c r="Y10" s="31"/>
      <c r="Z10" s="34"/>
      <c r="AA10" s="40" t="s">
        <v>17</v>
      </c>
      <c r="AB10" s="31"/>
      <c r="AC10" s="39"/>
      <c r="AD10" s="38" t="s">
        <v>12</v>
      </c>
      <c r="AE10" s="31"/>
      <c r="AF10" s="34"/>
      <c r="AG10" s="40" t="s">
        <v>18</v>
      </c>
      <c r="AH10" s="31"/>
      <c r="AI10" s="39"/>
      <c r="AJ10" s="38" t="s">
        <v>17</v>
      </c>
      <c r="AK10" s="31"/>
      <c r="AL10" s="39"/>
      <c r="AM10" s="38" t="s">
        <v>12</v>
      </c>
      <c r="AN10" s="31"/>
      <c r="AO10" s="34"/>
      <c r="AP10" s="40" t="s">
        <v>13</v>
      </c>
      <c r="AQ10" s="31"/>
      <c r="AR10" s="34"/>
      <c r="AS10" s="41"/>
      <c r="AT10" s="20"/>
      <c r="AU10" s="22"/>
      <c r="AV10" s="19"/>
      <c r="AW10" s="20"/>
      <c r="AX10" s="37"/>
      <c r="AY10" s="19"/>
      <c r="AZ10" s="20"/>
      <c r="BA10" s="22"/>
      <c r="BB10" s="20"/>
      <c r="BC10" s="20"/>
      <c r="BD10" s="37"/>
      <c r="BE10" s="19"/>
      <c r="BF10" s="20"/>
      <c r="BG10" s="22"/>
      <c r="BH10" s="19"/>
      <c r="BI10" s="20"/>
      <c r="BJ10" s="22"/>
      <c r="BK10" s="41"/>
      <c r="BL10" s="20"/>
      <c r="BM10" s="22"/>
      <c r="BN10" s="23"/>
    </row>
    <row r="11" ht="36.0" customHeight="1">
      <c r="A11" s="19"/>
      <c r="B11" s="42"/>
      <c r="C11" s="43" t="s">
        <v>19</v>
      </c>
      <c r="D11" s="44" t="s">
        <v>20</v>
      </c>
      <c r="E11" s="45" t="s">
        <v>21</v>
      </c>
      <c r="F11" s="43" t="s">
        <v>19</v>
      </c>
      <c r="G11" s="44" t="s">
        <v>20</v>
      </c>
      <c r="H11" s="46" t="s">
        <v>21</v>
      </c>
      <c r="I11" s="47" t="s">
        <v>19</v>
      </c>
      <c r="J11" s="44" t="s">
        <v>20</v>
      </c>
      <c r="K11" s="45" t="s">
        <v>21</v>
      </c>
      <c r="L11" s="43" t="s">
        <v>19</v>
      </c>
      <c r="M11" s="44" t="s">
        <v>20</v>
      </c>
      <c r="N11" s="46" t="s">
        <v>21</v>
      </c>
      <c r="O11" s="47" t="s">
        <v>19</v>
      </c>
      <c r="P11" s="44" t="s">
        <v>20</v>
      </c>
      <c r="Q11" s="45" t="s">
        <v>21</v>
      </c>
      <c r="R11" s="48" t="s">
        <v>19</v>
      </c>
      <c r="S11" s="49" t="s">
        <v>20</v>
      </c>
      <c r="T11" s="50" t="s">
        <v>21</v>
      </c>
      <c r="U11" s="43" t="s">
        <v>19</v>
      </c>
      <c r="V11" s="44" t="s">
        <v>20</v>
      </c>
      <c r="W11" s="45" t="s">
        <v>21</v>
      </c>
      <c r="X11" s="43" t="s">
        <v>19</v>
      </c>
      <c r="Y11" s="44" t="s">
        <v>20</v>
      </c>
      <c r="Z11" s="46" t="s">
        <v>21</v>
      </c>
      <c r="AA11" s="47" t="s">
        <v>19</v>
      </c>
      <c r="AB11" s="44" t="s">
        <v>20</v>
      </c>
      <c r="AC11" s="45" t="s">
        <v>21</v>
      </c>
      <c r="AD11" s="43" t="s">
        <v>19</v>
      </c>
      <c r="AE11" s="44" t="s">
        <v>20</v>
      </c>
      <c r="AF11" s="46" t="s">
        <v>21</v>
      </c>
      <c r="AG11" s="47" t="s">
        <v>19</v>
      </c>
      <c r="AH11" s="44" t="s">
        <v>20</v>
      </c>
      <c r="AI11" s="45" t="s">
        <v>21</v>
      </c>
      <c r="AJ11" s="43" t="s">
        <v>19</v>
      </c>
      <c r="AK11" s="44" t="s">
        <v>20</v>
      </c>
      <c r="AL11" s="45" t="s">
        <v>21</v>
      </c>
      <c r="AM11" s="43" t="s">
        <v>19</v>
      </c>
      <c r="AN11" s="44" t="s">
        <v>20</v>
      </c>
      <c r="AO11" s="46" t="s">
        <v>21</v>
      </c>
      <c r="AP11" s="47" t="s">
        <v>19</v>
      </c>
      <c r="AQ11" s="44" t="s">
        <v>20</v>
      </c>
      <c r="AR11" s="46" t="s">
        <v>21</v>
      </c>
      <c r="AS11" s="47" t="s">
        <v>19</v>
      </c>
      <c r="AT11" s="44" t="s">
        <v>20</v>
      </c>
      <c r="AU11" s="46" t="s">
        <v>21</v>
      </c>
      <c r="AV11" s="43" t="s">
        <v>19</v>
      </c>
      <c r="AW11" s="44" t="s">
        <v>20</v>
      </c>
      <c r="AX11" s="45" t="s">
        <v>21</v>
      </c>
      <c r="AY11" s="43" t="s">
        <v>19</v>
      </c>
      <c r="AZ11" s="44" t="s">
        <v>20</v>
      </c>
      <c r="BA11" s="46" t="s">
        <v>21</v>
      </c>
      <c r="BB11" s="47" t="s">
        <v>19</v>
      </c>
      <c r="BC11" s="44" t="s">
        <v>20</v>
      </c>
      <c r="BD11" s="45" t="s">
        <v>21</v>
      </c>
      <c r="BE11" s="43" t="s">
        <v>19</v>
      </c>
      <c r="BF11" s="44" t="s">
        <v>20</v>
      </c>
      <c r="BG11" s="46" t="s">
        <v>21</v>
      </c>
      <c r="BH11" s="43" t="s">
        <v>19</v>
      </c>
      <c r="BI11" s="44" t="s">
        <v>20</v>
      </c>
      <c r="BJ11" s="46" t="s">
        <v>21</v>
      </c>
      <c r="BK11" s="51" t="s">
        <v>19</v>
      </c>
      <c r="BL11" s="52" t="s">
        <v>20</v>
      </c>
      <c r="BM11" s="53" t="s">
        <v>21</v>
      </c>
      <c r="BN11" s="54"/>
    </row>
    <row r="12" ht="14.25" customHeight="1">
      <c r="A12" s="55" t="s">
        <v>22</v>
      </c>
      <c r="B12" s="55">
        <f t="shared" ref="B12:C12" si="1">SUM(B13:B24)</f>
        <v>0</v>
      </c>
      <c r="C12" s="56">
        <f t="shared" si="1"/>
        <v>0</v>
      </c>
      <c r="D12" s="57" t="str">
        <f t="shared" ref="D12:D23" si="22">E12/C12</f>
        <v>#DIV/0!</v>
      </c>
      <c r="E12" s="58">
        <f t="shared" ref="E12:F12" si="2">SUM(E13:E24)</f>
        <v>0</v>
      </c>
      <c r="F12" s="56">
        <f t="shared" si="2"/>
        <v>0</v>
      </c>
      <c r="G12" s="57" t="str">
        <f t="shared" ref="G12:G23" si="23">H12/F12</f>
        <v>#DIV/0!</v>
      </c>
      <c r="H12" s="58">
        <f t="shared" ref="H12:I12" si="3">SUM(H13:H24)</f>
        <v>0</v>
      </c>
      <c r="I12" s="56">
        <f t="shared" si="3"/>
        <v>0</v>
      </c>
      <c r="J12" s="57" t="str">
        <f t="shared" ref="J12:J23" si="24">K12/I12</f>
        <v>#DIV/0!</v>
      </c>
      <c r="K12" s="58">
        <f t="shared" ref="K12:L12" si="4">SUM(K13:K24)</f>
        <v>0</v>
      </c>
      <c r="L12" s="56">
        <f t="shared" si="4"/>
        <v>0</v>
      </c>
      <c r="M12" s="57" t="str">
        <f t="shared" ref="M12:M23" si="25">N12/L12</f>
        <v>#DIV/0!</v>
      </c>
      <c r="N12" s="58">
        <f t="shared" ref="N12:O12" si="5">SUM(N13:N24)</f>
        <v>0</v>
      </c>
      <c r="O12" s="56">
        <f t="shared" si="5"/>
        <v>0</v>
      </c>
      <c r="P12" s="57" t="str">
        <f t="shared" ref="P12:P23" si="26">Q12/O12</f>
        <v>#DIV/0!</v>
      </c>
      <c r="Q12" s="58">
        <f t="shared" ref="Q12:R12" si="6">SUM(Q13:Q24)</f>
        <v>0</v>
      </c>
      <c r="R12" s="56">
        <f t="shared" si="6"/>
        <v>0</v>
      </c>
      <c r="S12" s="57" t="str">
        <f t="shared" ref="S12:S23" si="27">T12/R12</f>
        <v>#DIV/0!</v>
      </c>
      <c r="T12" s="58">
        <f t="shared" ref="T12:U12" si="7">SUM(T13:T24)</f>
        <v>0</v>
      </c>
      <c r="U12" s="56">
        <f t="shared" si="7"/>
        <v>0</v>
      </c>
      <c r="V12" s="57" t="str">
        <f t="shared" ref="V12:V23" si="28">W12/U12</f>
        <v>#DIV/0!</v>
      </c>
      <c r="W12" s="58">
        <f t="shared" ref="W12:X12" si="8">SUM(W13:W24)</f>
        <v>0</v>
      </c>
      <c r="X12" s="56">
        <f t="shared" si="8"/>
        <v>0</v>
      </c>
      <c r="Y12" s="57" t="str">
        <f t="shared" ref="Y12:Y23" si="29">Z12/X12</f>
        <v>#DIV/0!</v>
      </c>
      <c r="Z12" s="58">
        <f t="shared" ref="Z12:AA12" si="9">SUM(Z13:Z24)</f>
        <v>0</v>
      </c>
      <c r="AA12" s="56">
        <f t="shared" si="9"/>
        <v>0</v>
      </c>
      <c r="AB12" s="57" t="str">
        <f t="shared" ref="AB12:AB23" si="30">AC12/AA12</f>
        <v>#DIV/0!</v>
      </c>
      <c r="AC12" s="58">
        <f t="shared" ref="AC12:AD12" si="10">SUM(AC13:AC24)</f>
        <v>0</v>
      </c>
      <c r="AD12" s="56">
        <f t="shared" si="10"/>
        <v>0</v>
      </c>
      <c r="AE12" s="57" t="str">
        <f t="shared" ref="AE12:AE23" si="31">AF12/AD12</f>
        <v>#DIV/0!</v>
      </c>
      <c r="AF12" s="58">
        <f t="shared" ref="AF12:AG12" si="11">SUM(AF13:AF24)</f>
        <v>0</v>
      </c>
      <c r="AG12" s="56">
        <f t="shared" si="11"/>
        <v>0</v>
      </c>
      <c r="AH12" s="57" t="str">
        <f t="shared" ref="AH12:AH23" si="32">AI12/AG12</f>
        <v>#DIV/0!</v>
      </c>
      <c r="AI12" s="58">
        <f t="shared" ref="AI12:AJ12" si="12">SUM(AI13:AI24)</f>
        <v>0</v>
      </c>
      <c r="AJ12" s="56">
        <f t="shared" si="12"/>
        <v>0</v>
      </c>
      <c r="AK12" s="57" t="str">
        <f t="shared" ref="AK12:AK23" si="33">AL12/AJ12</f>
        <v>#DIV/0!</v>
      </c>
      <c r="AL12" s="58">
        <f t="shared" ref="AL12:AM12" si="13">SUM(AL13:AL24)</f>
        <v>0</v>
      </c>
      <c r="AM12" s="56">
        <f t="shared" si="13"/>
        <v>0</v>
      </c>
      <c r="AN12" s="57" t="str">
        <f t="shared" ref="AN12:AN23" si="34">AO12/AM12</f>
        <v>#DIV/0!</v>
      </c>
      <c r="AO12" s="58">
        <f t="shared" ref="AO12:AP12" si="14">SUM(AO13:AO24)</f>
        <v>0</v>
      </c>
      <c r="AP12" s="56">
        <f t="shared" si="14"/>
        <v>0</v>
      </c>
      <c r="AQ12" s="57" t="str">
        <f t="shared" ref="AQ12:AQ23" si="35">AR12/AP12</f>
        <v>#DIV/0!</v>
      </c>
      <c r="AR12" s="58">
        <f t="shared" ref="AR12:AS12" si="15">SUM(AR13:AR24)</f>
        <v>0</v>
      </c>
      <c r="AS12" s="56">
        <f t="shared" si="15"/>
        <v>0</v>
      </c>
      <c r="AT12" s="57" t="str">
        <f t="shared" ref="AT12:AT23" si="36">AU12/AS12</f>
        <v>#DIV/0!</v>
      </c>
      <c r="AU12" s="58">
        <f t="shared" ref="AU12:AV12" si="16">SUM(AU13:AU24)</f>
        <v>0</v>
      </c>
      <c r="AV12" s="56">
        <f t="shared" si="16"/>
        <v>0</v>
      </c>
      <c r="AW12" s="57" t="str">
        <f t="shared" ref="AW12:AW23" si="37">AX12/AV12</f>
        <v>#DIV/0!</v>
      </c>
      <c r="AX12" s="59">
        <f t="shared" ref="AX12:AY12" si="17">SUM(AX13:AX24)</f>
        <v>0</v>
      </c>
      <c r="AY12" s="56">
        <f t="shared" si="17"/>
        <v>0</v>
      </c>
      <c r="AZ12" s="57" t="str">
        <f t="shared" ref="AZ12:AZ23" si="38">BA12/AY12</f>
        <v>#DIV/0!</v>
      </c>
      <c r="BA12" s="60">
        <f t="shared" ref="BA12:BB12" si="18">SUM(BA13:BA24)</f>
        <v>0</v>
      </c>
      <c r="BB12" s="61">
        <f t="shared" si="18"/>
        <v>0</v>
      </c>
      <c r="BC12" s="57" t="str">
        <f t="shared" ref="BC12:BC23" si="39">BD12/BB12</f>
        <v>#DIV/0!</v>
      </c>
      <c r="BD12" s="59">
        <f t="shared" ref="BD12:BE12" si="19">SUM(BD13:BD24)</f>
        <v>0</v>
      </c>
      <c r="BE12" s="56">
        <f t="shared" si="19"/>
        <v>0</v>
      </c>
      <c r="BF12" s="57" t="str">
        <f t="shared" ref="BF12:BF23" si="40">BG12/BE12</f>
        <v>#DIV/0!</v>
      </c>
      <c r="BG12" s="60">
        <f t="shared" ref="BG12:BH12" si="20">SUM(BG13:BG24)</f>
        <v>0</v>
      </c>
      <c r="BH12" s="56">
        <f t="shared" si="20"/>
        <v>0</v>
      </c>
      <c r="BI12" s="57" t="str">
        <f t="shared" ref="BI12:BI23" si="41">BJ12/BH12</f>
        <v>#DIV/0!</v>
      </c>
      <c r="BJ12" s="60">
        <f t="shared" ref="BJ12:BK12" si="21">SUM(BJ13:BJ24)</f>
        <v>0</v>
      </c>
      <c r="BK12" s="61">
        <f t="shared" si="21"/>
        <v>0</v>
      </c>
      <c r="BL12" s="57" t="str">
        <f t="shared" ref="BL12:BL23" si="42">BM12/BK12</f>
        <v>#DIV/0!</v>
      </c>
      <c r="BM12" s="58">
        <f>SUM(BM13:BM24)</f>
        <v>0</v>
      </c>
      <c r="BN12" s="64"/>
    </row>
    <row r="13" ht="14.25" customHeight="1">
      <c r="A13" s="65" t="s">
        <v>23</v>
      </c>
      <c r="B13" s="65"/>
      <c r="C13" s="66"/>
      <c r="D13" s="67" t="str">
        <f t="shared" si="22"/>
        <v>#DIV/0!</v>
      </c>
      <c r="E13" s="68"/>
      <c r="F13" s="66"/>
      <c r="G13" s="67" t="str">
        <f t="shared" si="23"/>
        <v>#DIV/0!</v>
      </c>
      <c r="H13" s="68"/>
      <c r="I13" s="66"/>
      <c r="J13" s="67" t="str">
        <f t="shared" si="24"/>
        <v>#DIV/0!</v>
      </c>
      <c r="K13" s="68"/>
      <c r="L13" s="66"/>
      <c r="M13" s="67" t="str">
        <f t="shared" si="25"/>
        <v>#DIV/0!</v>
      </c>
      <c r="N13" s="68"/>
      <c r="O13" s="66"/>
      <c r="P13" s="67" t="str">
        <f t="shared" si="26"/>
        <v>#DIV/0!</v>
      </c>
      <c r="Q13" s="68"/>
      <c r="R13" s="66"/>
      <c r="S13" s="67" t="str">
        <f t="shared" si="27"/>
        <v>#DIV/0!</v>
      </c>
      <c r="T13" s="68"/>
      <c r="U13" s="66"/>
      <c r="V13" s="67" t="str">
        <f t="shared" si="28"/>
        <v>#DIV/0!</v>
      </c>
      <c r="W13" s="68"/>
      <c r="X13" s="66"/>
      <c r="Y13" s="67" t="str">
        <f t="shared" si="29"/>
        <v>#DIV/0!</v>
      </c>
      <c r="Z13" s="68"/>
      <c r="AA13" s="66"/>
      <c r="AB13" s="67" t="str">
        <f t="shared" si="30"/>
        <v>#DIV/0!</v>
      </c>
      <c r="AC13" s="68"/>
      <c r="AD13" s="66"/>
      <c r="AE13" s="67" t="str">
        <f t="shared" si="31"/>
        <v>#DIV/0!</v>
      </c>
      <c r="AF13" s="68"/>
      <c r="AG13" s="66"/>
      <c r="AH13" s="67" t="str">
        <f t="shared" si="32"/>
        <v>#DIV/0!</v>
      </c>
      <c r="AI13" s="68"/>
      <c r="AJ13" s="66"/>
      <c r="AK13" s="67" t="str">
        <f t="shared" si="33"/>
        <v>#DIV/0!</v>
      </c>
      <c r="AL13" s="68"/>
      <c r="AM13" s="66"/>
      <c r="AN13" s="67" t="str">
        <f t="shared" si="34"/>
        <v>#DIV/0!</v>
      </c>
      <c r="AO13" s="68"/>
      <c r="AP13" s="66"/>
      <c r="AQ13" s="67" t="str">
        <f t="shared" si="35"/>
        <v>#DIV/0!</v>
      </c>
      <c r="AR13" s="68"/>
      <c r="AS13" s="66"/>
      <c r="AT13" s="67" t="str">
        <f t="shared" si="36"/>
        <v>#DIV/0!</v>
      </c>
      <c r="AU13" s="68"/>
      <c r="AV13" s="66"/>
      <c r="AW13" s="67" t="str">
        <f t="shared" si="37"/>
        <v>#DIV/0!</v>
      </c>
      <c r="AX13" s="71"/>
      <c r="AY13" s="66"/>
      <c r="AZ13" s="67" t="str">
        <f t="shared" si="38"/>
        <v>#DIV/0!</v>
      </c>
      <c r="BA13" s="72"/>
      <c r="BB13" s="73"/>
      <c r="BC13" s="67" t="str">
        <f t="shared" si="39"/>
        <v>#DIV/0!</v>
      </c>
      <c r="BD13" s="71"/>
      <c r="BE13" s="66"/>
      <c r="BF13" s="67" t="str">
        <f t="shared" si="40"/>
        <v>#DIV/0!</v>
      </c>
      <c r="BG13" s="72"/>
      <c r="BH13" s="66"/>
      <c r="BI13" s="67" t="str">
        <f t="shared" si="41"/>
        <v>#DIV/0!</v>
      </c>
      <c r="BJ13" s="72"/>
      <c r="BK13" s="73"/>
      <c r="BL13" s="67" t="str">
        <f t="shared" si="42"/>
        <v>#DIV/0!</v>
      </c>
      <c r="BM13" s="68"/>
      <c r="BN13" s="76"/>
    </row>
    <row r="14" ht="14.25" customHeight="1">
      <c r="A14" s="65" t="s">
        <v>24</v>
      </c>
      <c r="B14" s="65"/>
      <c r="C14" s="66"/>
      <c r="D14" s="67" t="str">
        <f t="shared" si="22"/>
        <v>#DIV/0!</v>
      </c>
      <c r="E14" s="68"/>
      <c r="F14" s="66"/>
      <c r="G14" s="67" t="str">
        <f t="shared" si="23"/>
        <v>#DIV/0!</v>
      </c>
      <c r="H14" s="68"/>
      <c r="I14" s="66"/>
      <c r="J14" s="67" t="str">
        <f t="shared" si="24"/>
        <v>#DIV/0!</v>
      </c>
      <c r="K14" s="68"/>
      <c r="L14" s="66"/>
      <c r="M14" s="67" t="str">
        <f t="shared" si="25"/>
        <v>#DIV/0!</v>
      </c>
      <c r="N14" s="68"/>
      <c r="O14" s="66"/>
      <c r="P14" s="67" t="str">
        <f t="shared" si="26"/>
        <v>#DIV/0!</v>
      </c>
      <c r="Q14" s="68"/>
      <c r="R14" s="66"/>
      <c r="S14" s="67" t="str">
        <f t="shared" si="27"/>
        <v>#DIV/0!</v>
      </c>
      <c r="T14" s="68"/>
      <c r="U14" s="66"/>
      <c r="V14" s="67" t="str">
        <f t="shared" si="28"/>
        <v>#DIV/0!</v>
      </c>
      <c r="W14" s="68"/>
      <c r="X14" s="66"/>
      <c r="Y14" s="67" t="str">
        <f t="shared" si="29"/>
        <v>#DIV/0!</v>
      </c>
      <c r="Z14" s="68"/>
      <c r="AA14" s="66"/>
      <c r="AB14" s="67" t="str">
        <f t="shared" si="30"/>
        <v>#DIV/0!</v>
      </c>
      <c r="AC14" s="68"/>
      <c r="AD14" s="66"/>
      <c r="AE14" s="67" t="str">
        <f t="shared" si="31"/>
        <v>#DIV/0!</v>
      </c>
      <c r="AF14" s="68"/>
      <c r="AG14" s="66"/>
      <c r="AH14" s="67" t="str">
        <f t="shared" si="32"/>
        <v>#DIV/0!</v>
      </c>
      <c r="AI14" s="68"/>
      <c r="AJ14" s="66"/>
      <c r="AK14" s="67" t="str">
        <f t="shared" si="33"/>
        <v>#DIV/0!</v>
      </c>
      <c r="AL14" s="68"/>
      <c r="AM14" s="66"/>
      <c r="AN14" s="67" t="str">
        <f t="shared" si="34"/>
        <v>#DIV/0!</v>
      </c>
      <c r="AO14" s="68"/>
      <c r="AP14" s="66"/>
      <c r="AQ14" s="67" t="str">
        <f t="shared" si="35"/>
        <v>#DIV/0!</v>
      </c>
      <c r="AR14" s="68"/>
      <c r="AS14" s="66"/>
      <c r="AT14" s="67" t="str">
        <f t="shared" si="36"/>
        <v>#DIV/0!</v>
      </c>
      <c r="AU14" s="68"/>
      <c r="AV14" s="66"/>
      <c r="AW14" s="67" t="str">
        <f t="shared" si="37"/>
        <v>#DIV/0!</v>
      </c>
      <c r="AX14" s="71"/>
      <c r="AY14" s="66"/>
      <c r="AZ14" s="67" t="str">
        <f t="shared" si="38"/>
        <v>#DIV/0!</v>
      </c>
      <c r="BA14" s="72"/>
      <c r="BB14" s="73"/>
      <c r="BC14" s="67" t="str">
        <f t="shared" si="39"/>
        <v>#DIV/0!</v>
      </c>
      <c r="BD14" s="71"/>
      <c r="BE14" s="66"/>
      <c r="BF14" s="67" t="str">
        <f t="shared" si="40"/>
        <v>#DIV/0!</v>
      </c>
      <c r="BG14" s="72"/>
      <c r="BH14" s="66"/>
      <c r="BI14" s="67" t="str">
        <f t="shared" si="41"/>
        <v>#DIV/0!</v>
      </c>
      <c r="BJ14" s="72"/>
      <c r="BK14" s="73"/>
      <c r="BL14" s="67" t="str">
        <f t="shared" si="42"/>
        <v>#DIV/0!</v>
      </c>
      <c r="BM14" s="68"/>
      <c r="BN14" s="76"/>
    </row>
    <row r="15" ht="14.25" customHeight="1">
      <c r="A15" s="65" t="s">
        <v>25</v>
      </c>
      <c r="B15" s="65"/>
      <c r="C15" s="66"/>
      <c r="D15" s="67" t="str">
        <f t="shared" si="22"/>
        <v>#DIV/0!</v>
      </c>
      <c r="E15" s="68"/>
      <c r="F15" s="66"/>
      <c r="G15" s="67" t="str">
        <f t="shared" si="23"/>
        <v>#DIV/0!</v>
      </c>
      <c r="H15" s="68"/>
      <c r="I15" s="66"/>
      <c r="J15" s="67" t="str">
        <f t="shared" si="24"/>
        <v>#DIV/0!</v>
      </c>
      <c r="K15" s="68"/>
      <c r="L15" s="66"/>
      <c r="M15" s="67" t="str">
        <f t="shared" si="25"/>
        <v>#DIV/0!</v>
      </c>
      <c r="N15" s="68"/>
      <c r="O15" s="66"/>
      <c r="P15" s="67" t="str">
        <f t="shared" si="26"/>
        <v>#DIV/0!</v>
      </c>
      <c r="Q15" s="68"/>
      <c r="R15" s="66"/>
      <c r="S15" s="67" t="str">
        <f t="shared" si="27"/>
        <v>#DIV/0!</v>
      </c>
      <c r="T15" s="68"/>
      <c r="U15" s="66"/>
      <c r="V15" s="67" t="str">
        <f t="shared" si="28"/>
        <v>#DIV/0!</v>
      </c>
      <c r="W15" s="68"/>
      <c r="X15" s="66"/>
      <c r="Y15" s="67" t="str">
        <f t="shared" si="29"/>
        <v>#DIV/0!</v>
      </c>
      <c r="Z15" s="68"/>
      <c r="AA15" s="66"/>
      <c r="AB15" s="67" t="str">
        <f t="shared" si="30"/>
        <v>#DIV/0!</v>
      </c>
      <c r="AC15" s="68"/>
      <c r="AD15" s="66"/>
      <c r="AE15" s="67" t="str">
        <f t="shared" si="31"/>
        <v>#DIV/0!</v>
      </c>
      <c r="AF15" s="68"/>
      <c r="AG15" s="66"/>
      <c r="AH15" s="67" t="str">
        <f t="shared" si="32"/>
        <v>#DIV/0!</v>
      </c>
      <c r="AI15" s="68"/>
      <c r="AJ15" s="66"/>
      <c r="AK15" s="67" t="str">
        <f t="shared" si="33"/>
        <v>#DIV/0!</v>
      </c>
      <c r="AL15" s="68"/>
      <c r="AM15" s="66"/>
      <c r="AN15" s="67" t="str">
        <f t="shared" si="34"/>
        <v>#DIV/0!</v>
      </c>
      <c r="AO15" s="68"/>
      <c r="AP15" s="66"/>
      <c r="AQ15" s="67" t="str">
        <f t="shared" si="35"/>
        <v>#DIV/0!</v>
      </c>
      <c r="AR15" s="68"/>
      <c r="AS15" s="66"/>
      <c r="AT15" s="67" t="str">
        <f t="shared" si="36"/>
        <v>#DIV/0!</v>
      </c>
      <c r="AU15" s="68"/>
      <c r="AV15" s="66"/>
      <c r="AW15" s="67" t="str">
        <f t="shared" si="37"/>
        <v>#DIV/0!</v>
      </c>
      <c r="AX15" s="71"/>
      <c r="AY15" s="66"/>
      <c r="AZ15" s="67" t="str">
        <f t="shared" si="38"/>
        <v>#DIV/0!</v>
      </c>
      <c r="BA15" s="72"/>
      <c r="BB15" s="73"/>
      <c r="BC15" s="67" t="str">
        <f t="shared" si="39"/>
        <v>#DIV/0!</v>
      </c>
      <c r="BD15" s="71"/>
      <c r="BE15" s="66"/>
      <c r="BF15" s="67" t="str">
        <f t="shared" si="40"/>
        <v>#DIV/0!</v>
      </c>
      <c r="BG15" s="72"/>
      <c r="BH15" s="66"/>
      <c r="BI15" s="67" t="str">
        <f t="shared" si="41"/>
        <v>#DIV/0!</v>
      </c>
      <c r="BJ15" s="72"/>
      <c r="BK15" s="73"/>
      <c r="BL15" s="67" t="str">
        <f t="shared" si="42"/>
        <v>#DIV/0!</v>
      </c>
      <c r="BM15" s="68"/>
      <c r="BN15" s="76"/>
    </row>
    <row r="16" ht="14.25" customHeight="1">
      <c r="A16" s="65" t="s">
        <v>26</v>
      </c>
      <c r="B16" s="65"/>
      <c r="C16" s="66"/>
      <c r="D16" s="67" t="str">
        <f t="shared" si="22"/>
        <v>#DIV/0!</v>
      </c>
      <c r="E16" s="68"/>
      <c r="F16" s="66"/>
      <c r="G16" s="67" t="str">
        <f t="shared" si="23"/>
        <v>#DIV/0!</v>
      </c>
      <c r="H16" s="68"/>
      <c r="I16" s="66"/>
      <c r="J16" s="67" t="str">
        <f t="shared" si="24"/>
        <v>#DIV/0!</v>
      </c>
      <c r="K16" s="68"/>
      <c r="L16" s="66"/>
      <c r="M16" s="67" t="str">
        <f t="shared" si="25"/>
        <v>#DIV/0!</v>
      </c>
      <c r="N16" s="68"/>
      <c r="O16" s="66"/>
      <c r="P16" s="67" t="str">
        <f t="shared" si="26"/>
        <v>#DIV/0!</v>
      </c>
      <c r="Q16" s="68"/>
      <c r="R16" s="66"/>
      <c r="S16" s="67" t="str">
        <f t="shared" si="27"/>
        <v>#DIV/0!</v>
      </c>
      <c r="T16" s="68"/>
      <c r="U16" s="66"/>
      <c r="V16" s="67" t="str">
        <f t="shared" si="28"/>
        <v>#DIV/0!</v>
      </c>
      <c r="W16" s="68"/>
      <c r="X16" s="66"/>
      <c r="Y16" s="67" t="str">
        <f t="shared" si="29"/>
        <v>#DIV/0!</v>
      </c>
      <c r="Z16" s="68"/>
      <c r="AA16" s="66"/>
      <c r="AB16" s="67" t="str">
        <f t="shared" si="30"/>
        <v>#DIV/0!</v>
      </c>
      <c r="AC16" s="68"/>
      <c r="AD16" s="66"/>
      <c r="AE16" s="67" t="str">
        <f t="shared" si="31"/>
        <v>#DIV/0!</v>
      </c>
      <c r="AF16" s="68"/>
      <c r="AG16" s="66"/>
      <c r="AH16" s="67" t="str">
        <f t="shared" si="32"/>
        <v>#DIV/0!</v>
      </c>
      <c r="AI16" s="68"/>
      <c r="AJ16" s="66"/>
      <c r="AK16" s="67" t="str">
        <f t="shared" si="33"/>
        <v>#DIV/0!</v>
      </c>
      <c r="AL16" s="68"/>
      <c r="AM16" s="66"/>
      <c r="AN16" s="67" t="str">
        <f t="shared" si="34"/>
        <v>#DIV/0!</v>
      </c>
      <c r="AO16" s="68"/>
      <c r="AP16" s="66"/>
      <c r="AQ16" s="67" t="str">
        <f t="shared" si="35"/>
        <v>#DIV/0!</v>
      </c>
      <c r="AR16" s="68"/>
      <c r="AS16" s="66"/>
      <c r="AT16" s="67" t="str">
        <f t="shared" si="36"/>
        <v>#DIV/0!</v>
      </c>
      <c r="AU16" s="68"/>
      <c r="AV16" s="66"/>
      <c r="AW16" s="67" t="str">
        <f t="shared" si="37"/>
        <v>#DIV/0!</v>
      </c>
      <c r="AX16" s="71"/>
      <c r="AY16" s="66"/>
      <c r="AZ16" s="67" t="str">
        <f t="shared" si="38"/>
        <v>#DIV/0!</v>
      </c>
      <c r="BA16" s="72"/>
      <c r="BB16" s="73"/>
      <c r="BC16" s="67" t="str">
        <f t="shared" si="39"/>
        <v>#DIV/0!</v>
      </c>
      <c r="BD16" s="71"/>
      <c r="BE16" s="66"/>
      <c r="BF16" s="67" t="str">
        <f t="shared" si="40"/>
        <v>#DIV/0!</v>
      </c>
      <c r="BG16" s="72"/>
      <c r="BH16" s="66"/>
      <c r="BI16" s="67" t="str">
        <f t="shared" si="41"/>
        <v>#DIV/0!</v>
      </c>
      <c r="BJ16" s="72"/>
      <c r="BK16" s="73"/>
      <c r="BL16" s="67" t="str">
        <f t="shared" si="42"/>
        <v>#DIV/0!</v>
      </c>
      <c r="BM16" s="68"/>
      <c r="BN16" s="76"/>
    </row>
    <row r="17" ht="14.25" customHeight="1">
      <c r="A17" s="65" t="s">
        <v>27</v>
      </c>
      <c r="B17" s="65"/>
      <c r="C17" s="66"/>
      <c r="D17" s="67" t="str">
        <f t="shared" si="22"/>
        <v>#DIV/0!</v>
      </c>
      <c r="E17" s="68"/>
      <c r="F17" s="66"/>
      <c r="G17" s="67" t="str">
        <f t="shared" si="23"/>
        <v>#DIV/0!</v>
      </c>
      <c r="H17" s="68"/>
      <c r="I17" s="66"/>
      <c r="J17" s="67" t="str">
        <f t="shared" si="24"/>
        <v>#DIV/0!</v>
      </c>
      <c r="K17" s="68"/>
      <c r="L17" s="66"/>
      <c r="M17" s="67" t="str">
        <f t="shared" si="25"/>
        <v>#DIV/0!</v>
      </c>
      <c r="N17" s="68"/>
      <c r="O17" s="66"/>
      <c r="P17" s="67" t="str">
        <f t="shared" si="26"/>
        <v>#DIV/0!</v>
      </c>
      <c r="Q17" s="68"/>
      <c r="R17" s="66"/>
      <c r="S17" s="67" t="str">
        <f t="shared" si="27"/>
        <v>#DIV/0!</v>
      </c>
      <c r="T17" s="68"/>
      <c r="U17" s="66"/>
      <c r="V17" s="67" t="str">
        <f t="shared" si="28"/>
        <v>#DIV/0!</v>
      </c>
      <c r="W17" s="68"/>
      <c r="X17" s="66"/>
      <c r="Y17" s="67" t="str">
        <f t="shared" si="29"/>
        <v>#DIV/0!</v>
      </c>
      <c r="Z17" s="68"/>
      <c r="AA17" s="66"/>
      <c r="AB17" s="67" t="str">
        <f t="shared" si="30"/>
        <v>#DIV/0!</v>
      </c>
      <c r="AC17" s="68"/>
      <c r="AD17" s="66"/>
      <c r="AE17" s="67" t="str">
        <f t="shared" si="31"/>
        <v>#DIV/0!</v>
      </c>
      <c r="AF17" s="68"/>
      <c r="AG17" s="66"/>
      <c r="AH17" s="67" t="str">
        <f t="shared" si="32"/>
        <v>#DIV/0!</v>
      </c>
      <c r="AI17" s="68"/>
      <c r="AJ17" s="66"/>
      <c r="AK17" s="67" t="str">
        <f t="shared" si="33"/>
        <v>#DIV/0!</v>
      </c>
      <c r="AL17" s="68"/>
      <c r="AM17" s="66"/>
      <c r="AN17" s="67" t="str">
        <f t="shared" si="34"/>
        <v>#DIV/0!</v>
      </c>
      <c r="AO17" s="68"/>
      <c r="AP17" s="66"/>
      <c r="AQ17" s="67" t="str">
        <f t="shared" si="35"/>
        <v>#DIV/0!</v>
      </c>
      <c r="AR17" s="68"/>
      <c r="AS17" s="66"/>
      <c r="AT17" s="67" t="str">
        <f t="shared" si="36"/>
        <v>#DIV/0!</v>
      </c>
      <c r="AU17" s="68"/>
      <c r="AV17" s="66"/>
      <c r="AW17" s="67" t="str">
        <f t="shared" si="37"/>
        <v>#DIV/0!</v>
      </c>
      <c r="AX17" s="71"/>
      <c r="AY17" s="66"/>
      <c r="AZ17" s="67" t="str">
        <f t="shared" si="38"/>
        <v>#DIV/0!</v>
      </c>
      <c r="BA17" s="72"/>
      <c r="BB17" s="73"/>
      <c r="BC17" s="67" t="str">
        <f t="shared" si="39"/>
        <v>#DIV/0!</v>
      </c>
      <c r="BD17" s="71"/>
      <c r="BE17" s="66"/>
      <c r="BF17" s="67" t="str">
        <f t="shared" si="40"/>
        <v>#DIV/0!</v>
      </c>
      <c r="BG17" s="72"/>
      <c r="BH17" s="66"/>
      <c r="BI17" s="67" t="str">
        <f t="shared" si="41"/>
        <v>#DIV/0!</v>
      </c>
      <c r="BJ17" s="72"/>
      <c r="BK17" s="73"/>
      <c r="BL17" s="67" t="str">
        <f t="shared" si="42"/>
        <v>#DIV/0!</v>
      </c>
      <c r="BM17" s="68"/>
      <c r="BN17" s="76"/>
    </row>
    <row r="18" ht="14.25" customHeight="1">
      <c r="A18" s="65" t="s">
        <v>28</v>
      </c>
      <c r="B18" s="65"/>
      <c r="C18" s="66"/>
      <c r="D18" s="67" t="str">
        <f t="shared" si="22"/>
        <v>#DIV/0!</v>
      </c>
      <c r="E18" s="68"/>
      <c r="F18" s="66"/>
      <c r="G18" s="67" t="str">
        <f t="shared" si="23"/>
        <v>#DIV/0!</v>
      </c>
      <c r="H18" s="68"/>
      <c r="I18" s="66"/>
      <c r="J18" s="67" t="str">
        <f t="shared" si="24"/>
        <v>#DIV/0!</v>
      </c>
      <c r="K18" s="68"/>
      <c r="L18" s="66"/>
      <c r="M18" s="67" t="str">
        <f t="shared" si="25"/>
        <v>#DIV/0!</v>
      </c>
      <c r="N18" s="68"/>
      <c r="O18" s="66"/>
      <c r="P18" s="67" t="str">
        <f t="shared" si="26"/>
        <v>#DIV/0!</v>
      </c>
      <c r="Q18" s="68"/>
      <c r="R18" s="66"/>
      <c r="S18" s="67" t="str">
        <f t="shared" si="27"/>
        <v>#DIV/0!</v>
      </c>
      <c r="T18" s="68"/>
      <c r="U18" s="66"/>
      <c r="V18" s="67" t="str">
        <f t="shared" si="28"/>
        <v>#DIV/0!</v>
      </c>
      <c r="W18" s="68"/>
      <c r="X18" s="66"/>
      <c r="Y18" s="67" t="str">
        <f t="shared" si="29"/>
        <v>#DIV/0!</v>
      </c>
      <c r="Z18" s="68"/>
      <c r="AA18" s="66"/>
      <c r="AB18" s="67" t="str">
        <f t="shared" si="30"/>
        <v>#DIV/0!</v>
      </c>
      <c r="AC18" s="68"/>
      <c r="AD18" s="66"/>
      <c r="AE18" s="67" t="str">
        <f t="shared" si="31"/>
        <v>#DIV/0!</v>
      </c>
      <c r="AF18" s="68"/>
      <c r="AG18" s="66"/>
      <c r="AH18" s="67" t="str">
        <f t="shared" si="32"/>
        <v>#DIV/0!</v>
      </c>
      <c r="AI18" s="68"/>
      <c r="AJ18" s="66"/>
      <c r="AK18" s="67" t="str">
        <f t="shared" si="33"/>
        <v>#DIV/0!</v>
      </c>
      <c r="AL18" s="68"/>
      <c r="AM18" s="66"/>
      <c r="AN18" s="67" t="str">
        <f t="shared" si="34"/>
        <v>#DIV/0!</v>
      </c>
      <c r="AO18" s="68"/>
      <c r="AP18" s="66"/>
      <c r="AQ18" s="67" t="str">
        <f t="shared" si="35"/>
        <v>#DIV/0!</v>
      </c>
      <c r="AR18" s="68"/>
      <c r="AS18" s="66"/>
      <c r="AT18" s="67" t="str">
        <f t="shared" si="36"/>
        <v>#DIV/0!</v>
      </c>
      <c r="AU18" s="68"/>
      <c r="AV18" s="66"/>
      <c r="AW18" s="67" t="str">
        <f t="shared" si="37"/>
        <v>#DIV/0!</v>
      </c>
      <c r="AX18" s="71"/>
      <c r="AY18" s="66"/>
      <c r="AZ18" s="67" t="str">
        <f t="shared" si="38"/>
        <v>#DIV/0!</v>
      </c>
      <c r="BA18" s="72"/>
      <c r="BB18" s="73"/>
      <c r="BC18" s="67" t="str">
        <f t="shared" si="39"/>
        <v>#DIV/0!</v>
      </c>
      <c r="BD18" s="71"/>
      <c r="BE18" s="66"/>
      <c r="BF18" s="67" t="str">
        <f t="shared" si="40"/>
        <v>#DIV/0!</v>
      </c>
      <c r="BG18" s="72"/>
      <c r="BH18" s="66"/>
      <c r="BI18" s="67" t="str">
        <f t="shared" si="41"/>
        <v>#DIV/0!</v>
      </c>
      <c r="BJ18" s="72"/>
      <c r="BK18" s="73"/>
      <c r="BL18" s="67" t="str">
        <f t="shared" si="42"/>
        <v>#DIV/0!</v>
      </c>
      <c r="BM18" s="68"/>
      <c r="BN18" s="76"/>
    </row>
    <row r="19" ht="14.25" customHeight="1">
      <c r="A19" s="65" t="s">
        <v>29</v>
      </c>
      <c r="B19" s="65"/>
      <c r="C19" s="66"/>
      <c r="D19" s="67" t="str">
        <f t="shared" si="22"/>
        <v>#DIV/0!</v>
      </c>
      <c r="E19" s="68"/>
      <c r="F19" s="66"/>
      <c r="G19" s="67" t="str">
        <f t="shared" si="23"/>
        <v>#DIV/0!</v>
      </c>
      <c r="H19" s="68"/>
      <c r="I19" s="66"/>
      <c r="J19" s="67" t="str">
        <f t="shared" si="24"/>
        <v>#DIV/0!</v>
      </c>
      <c r="K19" s="68"/>
      <c r="L19" s="66"/>
      <c r="M19" s="67" t="str">
        <f t="shared" si="25"/>
        <v>#DIV/0!</v>
      </c>
      <c r="N19" s="68"/>
      <c r="O19" s="66"/>
      <c r="P19" s="67" t="str">
        <f t="shared" si="26"/>
        <v>#DIV/0!</v>
      </c>
      <c r="Q19" s="68"/>
      <c r="R19" s="66"/>
      <c r="S19" s="67" t="str">
        <f t="shared" si="27"/>
        <v>#DIV/0!</v>
      </c>
      <c r="T19" s="68"/>
      <c r="U19" s="66"/>
      <c r="V19" s="67" t="str">
        <f t="shared" si="28"/>
        <v>#DIV/0!</v>
      </c>
      <c r="W19" s="68"/>
      <c r="X19" s="66"/>
      <c r="Y19" s="67" t="str">
        <f t="shared" si="29"/>
        <v>#DIV/0!</v>
      </c>
      <c r="Z19" s="68"/>
      <c r="AA19" s="66"/>
      <c r="AB19" s="67" t="str">
        <f t="shared" si="30"/>
        <v>#DIV/0!</v>
      </c>
      <c r="AC19" s="68"/>
      <c r="AD19" s="66"/>
      <c r="AE19" s="67" t="str">
        <f t="shared" si="31"/>
        <v>#DIV/0!</v>
      </c>
      <c r="AF19" s="68"/>
      <c r="AG19" s="66"/>
      <c r="AH19" s="67" t="str">
        <f t="shared" si="32"/>
        <v>#DIV/0!</v>
      </c>
      <c r="AI19" s="68"/>
      <c r="AJ19" s="66"/>
      <c r="AK19" s="67" t="str">
        <f t="shared" si="33"/>
        <v>#DIV/0!</v>
      </c>
      <c r="AL19" s="68"/>
      <c r="AM19" s="66"/>
      <c r="AN19" s="67" t="str">
        <f t="shared" si="34"/>
        <v>#DIV/0!</v>
      </c>
      <c r="AO19" s="68"/>
      <c r="AP19" s="66"/>
      <c r="AQ19" s="67" t="str">
        <f t="shared" si="35"/>
        <v>#DIV/0!</v>
      </c>
      <c r="AR19" s="68"/>
      <c r="AS19" s="66"/>
      <c r="AT19" s="67" t="str">
        <f t="shared" si="36"/>
        <v>#DIV/0!</v>
      </c>
      <c r="AU19" s="68"/>
      <c r="AV19" s="66"/>
      <c r="AW19" s="67" t="str">
        <f t="shared" si="37"/>
        <v>#DIV/0!</v>
      </c>
      <c r="AX19" s="71"/>
      <c r="AY19" s="66"/>
      <c r="AZ19" s="67" t="str">
        <f t="shared" si="38"/>
        <v>#DIV/0!</v>
      </c>
      <c r="BA19" s="72"/>
      <c r="BB19" s="73"/>
      <c r="BC19" s="67" t="str">
        <f t="shared" si="39"/>
        <v>#DIV/0!</v>
      </c>
      <c r="BD19" s="71"/>
      <c r="BE19" s="66"/>
      <c r="BF19" s="67" t="str">
        <f t="shared" si="40"/>
        <v>#DIV/0!</v>
      </c>
      <c r="BG19" s="72"/>
      <c r="BH19" s="66"/>
      <c r="BI19" s="67" t="str">
        <f t="shared" si="41"/>
        <v>#DIV/0!</v>
      </c>
      <c r="BJ19" s="72"/>
      <c r="BK19" s="73"/>
      <c r="BL19" s="67" t="str">
        <f t="shared" si="42"/>
        <v>#DIV/0!</v>
      </c>
      <c r="BM19" s="68"/>
      <c r="BN19" s="76"/>
    </row>
    <row r="20" ht="14.25" customHeight="1">
      <c r="A20" s="65" t="s">
        <v>30</v>
      </c>
      <c r="B20" s="65"/>
      <c r="C20" s="66"/>
      <c r="D20" s="67" t="str">
        <f t="shared" si="22"/>
        <v>#DIV/0!</v>
      </c>
      <c r="E20" s="68"/>
      <c r="F20" s="66"/>
      <c r="G20" s="67" t="str">
        <f t="shared" si="23"/>
        <v>#DIV/0!</v>
      </c>
      <c r="H20" s="68"/>
      <c r="I20" s="66"/>
      <c r="J20" s="67" t="str">
        <f t="shared" si="24"/>
        <v>#DIV/0!</v>
      </c>
      <c r="K20" s="68"/>
      <c r="L20" s="66"/>
      <c r="M20" s="67" t="str">
        <f t="shared" si="25"/>
        <v>#DIV/0!</v>
      </c>
      <c r="N20" s="68"/>
      <c r="O20" s="66"/>
      <c r="P20" s="67" t="str">
        <f t="shared" si="26"/>
        <v>#DIV/0!</v>
      </c>
      <c r="Q20" s="68"/>
      <c r="R20" s="66"/>
      <c r="S20" s="67" t="str">
        <f t="shared" si="27"/>
        <v>#DIV/0!</v>
      </c>
      <c r="T20" s="68"/>
      <c r="U20" s="66"/>
      <c r="V20" s="67" t="str">
        <f t="shared" si="28"/>
        <v>#DIV/0!</v>
      </c>
      <c r="W20" s="68"/>
      <c r="X20" s="66"/>
      <c r="Y20" s="67" t="str">
        <f t="shared" si="29"/>
        <v>#DIV/0!</v>
      </c>
      <c r="Z20" s="68"/>
      <c r="AA20" s="66"/>
      <c r="AB20" s="67" t="str">
        <f t="shared" si="30"/>
        <v>#DIV/0!</v>
      </c>
      <c r="AC20" s="68"/>
      <c r="AD20" s="66"/>
      <c r="AE20" s="67" t="str">
        <f t="shared" si="31"/>
        <v>#DIV/0!</v>
      </c>
      <c r="AF20" s="68"/>
      <c r="AG20" s="66"/>
      <c r="AH20" s="67" t="str">
        <f t="shared" si="32"/>
        <v>#DIV/0!</v>
      </c>
      <c r="AI20" s="68"/>
      <c r="AJ20" s="66"/>
      <c r="AK20" s="67" t="str">
        <f t="shared" si="33"/>
        <v>#DIV/0!</v>
      </c>
      <c r="AL20" s="68"/>
      <c r="AM20" s="66"/>
      <c r="AN20" s="67" t="str">
        <f t="shared" si="34"/>
        <v>#DIV/0!</v>
      </c>
      <c r="AO20" s="68"/>
      <c r="AP20" s="66"/>
      <c r="AQ20" s="67" t="str">
        <f t="shared" si="35"/>
        <v>#DIV/0!</v>
      </c>
      <c r="AR20" s="68"/>
      <c r="AS20" s="66"/>
      <c r="AT20" s="67" t="str">
        <f t="shared" si="36"/>
        <v>#DIV/0!</v>
      </c>
      <c r="AU20" s="68"/>
      <c r="AV20" s="66"/>
      <c r="AW20" s="67" t="str">
        <f t="shared" si="37"/>
        <v>#DIV/0!</v>
      </c>
      <c r="AX20" s="71"/>
      <c r="AY20" s="66"/>
      <c r="AZ20" s="67" t="str">
        <f t="shared" si="38"/>
        <v>#DIV/0!</v>
      </c>
      <c r="BA20" s="72"/>
      <c r="BB20" s="73"/>
      <c r="BC20" s="67" t="str">
        <f t="shared" si="39"/>
        <v>#DIV/0!</v>
      </c>
      <c r="BD20" s="71"/>
      <c r="BE20" s="66"/>
      <c r="BF20" s="67" t="str">
        <f t="shared" si="40"/>
        <v>#DIV/0!</v>
      </c>
      <c r="BG20" s="72"/>
      <c r="BH20" s="66"/>
      <c r="BI20" s="67" t="str">
        <f t="shared" si="41"/>
        <v>#DIV/0!</v>
      </c>
      <c r="BJ20" s="72"/>
      <c r="BK20" s="73"/>
      <c r="BL20" s="67" t="str">
        <f t="shared" si="42"/>
        <v>#DIV/0!</v>
      </c>
      <c r="BM20" s="68"/>
      <c r="BN20" s="76"/>
    </row>
    <row r="21" ht="14.25" customHeight="1">
      <c r="A21" s="65" t="s">
        <v>31</v>
      </c>
      <c r="B21" s="65"/>
      <c r="C21" s="66"/>
      <c r="D21" s="67" t="str">
        <f t="shared" si="22"/>
        <v>#DIV/0!</v>
      </c>
      <c r="E21" s="68"/>
      <c r="F21" s="66"/>
      <c r="G21" s="67" t="str">
        <f t="shared" si="23"/>
        <v>#DIV/0!</v>
      </c>
      <c r="H21" s="68"/>
      <c r="I21" s="66"/>
      <c r="J21" s="67" t="str">
        <f t="shared" si="24"/>
        <v>#DIV/0!</v>
      </c>
      <c r="K21" s="68"/>
      <c r="L21" s="66"/>
      <c r="M21" s="67" t="str">
        <f t="shared" si="25"/>
        <v>#DIV/0!</v>
      </c>
      <c r="N21" s="68"/>
      <c r="O21" s="66"/>
      <c r="P21" s="67" t="str">
        <f t="shared" si="26"/>
        <v>#DIV/0!</v>
      </c>
      <c r="Q21" s="68"/>
      <c r="R21" s="66"/>
      <c r="S21" s="67" t="str">
        <f t="shared" si="27"/>
        <v>#DIV/0!</v>
      </c>
      <c r="T21" s="68"/>
      <c r="U21" s="66"/>
      <c r="V21" s="67" t="str">
        <f t="shared" si="28"/>
        <v>#DIV/0!</v>
      </c>
      <c r="W21" s="68"/>
      <c r="X21" s="66"/>
      <c r="Y21" s="67" t="str">
        <f t="shared" si="29"/>
        <v>#DIV/0!</v>
      </c>
      <c r="Z21" s="68"/>
      <c r="AA21" s="66"/>
      <c r="AB21" s="67" t="str">
        <f t="shared" si="30"/>
        <v>#DIV/0!</v>
      </c>
      <c r="AC21" s="68"/>
      <c r="AD21" s="66"/>
      <c r="AE21" s="67" t="str">
        <f t="shared" si="31"/>
        <v>#DIV/0!</v>
      </c>
      <c r="AF21" s="68"/>
      <c r="AG21" s="66"/>
      <c r="AH21" s="67" t="str">
        <f t="shared" si="32"/>
        <v>#DIV/0!</v>
      </c>
      <c r="AI21" s="68"/>
      <c r="AJ21" s="66"/>
      <c r="AK21" s="67" t="str">
        <f t="shared" si="33"/>
        <v>#DIV/0!</v>
      </c>
      <c r="AL21" s="68"/>
      <c r="AM21" s="66"/>
      <c r="AN21" s="67" t="str">
        <f t="shared" si="34"/>
        <v>#DIV/0!</v>
      </c>
      <c r="AO21" s="68"/>
      <c r="AP21" s="66"/>
      <c r="AQ21" s="67" t="str">
        <f t="shared" si="35"/>
        <v>#DIV/0!</v>
      </c>
      <c r="AR21" s="68"/>
      <c r="AS21" s="66"/>
      <c r="AT21" s="67" t="str">
        <f t="shared" si="36"/>
        <v>#DIV/0!</v>
      </c>
      <c r="AU21" s="68"/>
      <c r="AV21" s="66"/>
      <c r="AW21" s="67" t="str">
        <f t="shared" si="37"/>
        <v>#DIV/0!</v>
      </c>
      <c r="AX21" s="71"/>
      <c r="AY21" s="66"/>
      <c r="AZ21" s="67" t="str">
        <f t="shared" si="38"/>
        <v>#DIV/0!</v>
      </c>
      <c r="BA21" s="72"/>
      <c r="BB21" s="73"/>
      <c r="BC21" s="67" t="str">
        <f t="shared" si="39"/>
        <v>#DIV/0!</v>
      </c>
      <c r="BD21" s="71"/>
      <c r="BE21" s="66"/>
      <c r="BF21" s="67" t="str">
        <f t="shared" si="40"/>
        <v>#DIV/0!</v>
      </c>
      <c r="BG21" s="72"/>
      <c r="BH21" s="66"/>
      <c r="BI21" s="67" t="str">
        <f t="shared" si="41"/>
        <v>#DIV/0!</v>
      </c>
      <c r="BJ21" s="72"/>
      <c r="BK21" s="73"/>
      <c r="BL21" s="67" t="str">
        <f t="shared" si="42"/>
        <v>#DIV/0!</v>
      </c>
      <c r="BM21" s="68"/>
      <c r="BN21" s="76"/>
    </row>
    <row r="22" ht="14.25" customHeight="1">
      <c r="A22" s="65" t="s">
        <v>32</v>
      </c>
      <c r="B22" s="65"/>
      <c r="C22" s="66"/>
      <c r="D22" s="67" t="str">
        <f t="shared" si="22"/>
        <v>#DIV/0!</v>
      </c>
      <c r="E22" s="68"/>
      <c r="F22" s="66"/>
      <c r="G22" s="67" t="str">
        <f t="shared" si="23"/>
        <v>#DIV/0!</v>
      </c>
      <c r="H22" s="68"/>
      <c r="I22" s="66"/>
      <c r="J22" s="67" t="str">
        <f t="shared" si="24"/>
        <v>#DIV/0!</v>
      </c>
      <c r="K22" s="68"/>
      <c r="L22" s="66"/>
      <c r="M22" s="67" t="str">
        <f t="shared" si="25"/>
        <v>#DIV/0!</v>
      </c>
      <c r="N22" s="68"/>
      <c r="O22" s="66"/>
      <c r="P22" s="67" t="str">
        <f t="shared" si="26"/>
        <v>#DIV/0!</v>
      </c>
      <c r="Q22" s="68"/>
      <c r="R22" s="66"/>
      <c r="S22" s="67" t="str">
        <f t="shared" si="27"/>
        <v>#DIV/0!</v>
      </c>
      <c r="T22" s="68"/>
      <c r="U22" s="66"/>
      <c r="V22" s="67" t="str">
        <f t="shared" si="28"/>
        <v>#DIV/0!</v>
      </c>
      <c r="W22" s="68"/>
      <c r="X22" s="66"/>
      <c r="Y22" s="67" t="str">
        <f t="shared" si="29"/>
        <v>#DIV/0!</v>
      </c>
      <c r="Z22" s="68"/>
      <c r="AA22" s="66"/>
      <c r="AB22" s="67" t="str">
        <f t="shared" si="30"/>
        <v>#DIV/0!</v>
      </c>
      <c r="AC22" s="68"/>
      <c r="AD22" s="66"/>
      <c r="AE22" s="67" t="str">
        <f t="shared" si="31"/>
        <v>#DIV/0!</v>
      </c>
      <c r="AF22" s="68"/>
      <c r="AG22" s="66"/>
      <c r="AH22" s="67" t="str">
        <f t="shared" si="32"/>
        <v>#DIV/0!</v>
      </c>
      <c r="AI22" s="68"/>
      <c r="AJ22" s="66"/>
      <c r="AK22" s="67" t="str">
        <f t="shared" si="33"/>
        <v>#DIV/0!</v>
      </c>
      <c r="AL22" s="68"/>
      <c r="AM22" s="66"/>
      <c r="AN22" s="67" t="str">
        <f t="shared" si="34"/>
        <v>#DIV/0!</v>
      </c>
      <c r="AO22" s="68"/>
      <c r="AP22" s="66"/>
      <c r="AQ22" s="67" t="str">
        <f t="shared" si="35"/>
        <v>#DIV/0!</v>
      </c>
      <c r="AR22" s="68"/>
      <c r="AS22" s="66"/>
      <c r="AT22" s="67" t="str">
        <f t="shared" si="36"/>
        <v>#DIV/0!</v>
      </c>
      <c r="AU22" s="68"/>
      <c r="AV22" s="66"/>
      <c r="AW22" s="67" t="str">
        <f t="shared" si="37"/>
        <v>#DIV/0!</v>
      </c>
      <c r="AX22" s="71"/>
      <c r="AY22" s="66"/>
      <c r="AZ22" s="67" t="str">
        <f t="shared" si="38"/>
        <v>#DIV/0!</v>
      </c>
      <c r="BA22" s="72"/>
      <c r="BB22" s="73"/>
      <c r="BC22" s="67" t="str">
        <f t="shared" si="39"/>
        <v>#DIV/0!</v>
      </c>
      <c r="BD22" s="71"/>
      <c r="BE22" s="66"/>
      <c r="BF22" s="67" t="str">
        <f t="shared" si="40"/>
        <v>#DIV/0!</v>
      </c>
      <c r="BG22" s="72"/>
      <c r="BH22" s="66"/>
      <c r="BI22" s="67" t="str">
        <f t="shared" si="41"/>
        <v>#DIV/0!</v>
      </c>
      <c r="BJ22" s="72"/>
      <c r="BK22" s="73"/>
      <c r="BL22" s="67" t="str">
        <f t="shared" si="42"/>
        <v>#DIV/0!</v>
      </c>
      <c r="BM22" s="68"/>
      <c r="BN22" s="76"/>
    </row>
    <row r="23" ht="14.25" customHeight="1">
      <c r="A23" s="65" t="s">
        <v>33</v>
      </c>
      <c r="B23" s="65"/>
      <c r="C23" s="66"/>
      <c r="D23" s="67" t="str">
        <f t="shared" si="22"/>
        <v>#DIV/0!</v>
      </c>
      <c r="E23" s="68"/>
      <c r="F23" s="66"/>
      <c r="G23" s="67" t="str">
        <f t="shared" si="23"/>
        <v>#DIV/0!</v>
      </c>
      <c r="H23" s="68"/>
      <c r="I23" s="66"/>
      <c r="J23" s="67" t="str">
        <f t="shared" si="24"/>
        <v>#DIV/0!</v>
      </c>
      <c r="K23" s="68"/>
      <c r="L23" s="66"/>
      <c r="M23" s="67" t="str">
        <f t="shared" si="25"/>
        <v>#DIV/0!</v>
      </c>
      <c r="N23" s="68"/>
      <c r="O23" s="66"/>
      <c r="P23" s="67" t="str">
        <f t="shared" si="26"/>
        <v>#DIV/0!</v>
      </c>
      <c r="Q23" s="68"/>
      <c r="R23" s="66"/>
      <c r="S23" s="67" t="str">
        <f t="shared" si="27"/>
        <v>#DIV/0!</v>
      </c>
      <c r="T23" s="68"/>
      <c r="U23" s="66"/>
      <c r="V23" s="67" t="str">
        <f t="shared" si="28"/>
        <v>#DIV/0!</v>
      </c>
      <c r="W23" s="68"/>
      <c r="X23" s="66"/>
      <c r="Y23" s="67" t="str">
        <f t="shared" si="29"/>
        <v>#DIV/0!</v>
      </c>
      <c r="Z23" s="68"/>
      <c r="AA23" s="66"/>
      <c r="AB23" s="67" t="str">
        <f t="shared" si="30"/>
        <v>#DIV/0!</v>
      </c>
      <c r="AC23" s="68"/>
      <c r="AD23" s="66"/>
      <c r="AE23" s="67" t="str">
        <f t="shared" si="31"/>
        <v>#DIV/0!</v>
      </c>
      <c r="AF23" s="68"/>
      <c r="AG23" s="66"/>
      <c r="AH23" s="67" t="str">
        <f t="shared" si="32"/>
        <v>#DIV/0!</v>
      </c>
      <c r="AI23" s="68"/>
      <c r="AJ23" s="66"/>
      <c r="AK23" s="67" t="str">
        <f t="shared" si="33"/>
        <v>#DIV/0!</v>
      </c>
      <c r="AL23" s="68"/>
      <c r="AM23" s="66"/>
      <c r="AN23" s="67" t="str">
        <f t="shared" si="34"/>
        <v>#DIV/0!</v>
      </c>
      <c r="AO23" s="68"/>
      <c r="AP23" s="66"/>
      <c r="AQ23" s="67" t="str">
        <f t="shared" si="35"/>
        <v>#DIV/0!</v>
      </c>
      <c r="AR23" s="68"/>
      <c r="AS23" s="66"/>
      <c r="AT23" s="67" t="str">
        <f t="shared" si="36"/>
        <v>#DIV/0!</v>
      </c>
      <c r="AU23" s="68"/>
      <c r="AV23" s="66"/>
      <c r="AW23" s="67" t="str">
        <f t="shared" si="37"/>
        <v>#DIV/0!</v>
      </c>
      <c r="AX23" s="71"/>
      <c r="AY23" s="66"/>
      <c r="AZ23" s="67" t="str">
        <f t="shared" si="38"/>
        <v>#DIV/0!</v>
      </c>
      <c r="BA23" s="72"/>
      <c r="BB23" s="73"/>
      <c r="BC23" s="67" t="str">
        <f t="shared" si="39"/>
        <v>#DIV/0!</v>
      </c>
      <c r="BD23" s="71"/>
      <c r="BE23" s="66"/>
      <c r="BF23" s="67" t="str">
        <f t="shared" si="40"/>
        <v>#DIV/0!</v>
      </c>
      <c r="BG23" s="72"/>
      <c r="BH23" s="66"/>
      <c r="BI23" s="67" t="str">
        <f t="shared" si="41"/>
        <v>#DIV/0!</v>
      </c>
      <c r="BJ23" s="72"/>
      <c r="BK23" s="73"/>
      <c r="BL23" s="67" t="str">
        <f t="shared" si="42"/>
        <v>#DIV/0!</v>
      </c>
      <c r="BM23" s="68"/>
      <c r="BN23" s="76"/>
    </row>
    <row r="24" ht="14.25" customHeight="1">
      <c r="A24" s="78"/>
      <c r="B24" s="78"/>
      <c r="C24" s="79"/>
      <c r="D24" s="80"/>
      <c r="E24" s="81"/>
      <c r="F24" s="79"/>
      <c r="G24" s="80"/>
      <c r="H24" s="81"/>
      <c r="I24" s="79"/>
      <c r="J24" s="80"/>
      <c r="K24" s="81"/>
      <c r="L24" s="79"/>
      <c r="M24" s="80"/>
      <c r="N24" s="81"/>
      <c r="O24" s="79"/>
      <c r="P24" s="80"/>
      <c r="Q24" s="81"/>
      <c r="R24" s="79"/>
      <c r="S24" s="80"/>
      <c r="T24" s="81"/>
      <c r="U24" s="79"/>
      <c r="V24" s="80"/>
      <c r="W24" s="81"/>
      <c r="X24" s="79"/>
      <c r="Y24" s="80"/>
      <c r="Z24" s="81"/>
      <c r="AA24" s="79"/>
      <c r="AB24" s="80"/>
      <c r="AC24" s="81"/>
      <c r="AD24" s="79"/>
      <c r="AE24" s="80"/>
      <c r="AF24" s="81"/>
      <c r="AG24" s="79"/>
      <c r="AH24" s="80"/>
      <c r="AI24" s="81"/>
      <c r="AJ24" s="79"/>
      <c r="AK24" s="80"/>
      <c r="AL24" s="81"/>
      <c r="AM24" s="79"/>
      <c r="AN24" s="80"/>
      <c r="AO24" s="81"/>
      <c r="AP24" s="79"/>
      <c r="AQ24" s="80"/>
      <c r="AR24" s="81"/>
      <c r="AS24" s="79"/>
      <c r="AT24" s="80"/>
      <c r="AU24" s="81"/>
      <c r="AV24" s="79"/>
      <c r="AW24" s="80"/>
      <c r="AX24" s="82"/>
      <c r="AY24" s="79"/>
      <c r="AZ24" s="80"/>
      <c r="BA24" s="83"/>
      <c r="BB24" s="84"/>
      <c r="BC24" s="80"/>
      <c r="BD24" s="82"/>
      <c r="BE24" s="79"/>
      <c r="BF24" s="80"/>
      <c r="BG24" s="83"/>
      <c r="BH24" s="79"/>
      <c r="BI24" s="80"/>
      <c r="BJ24" s="83"/>
      <c r="BK24" s="84"/>
      <c r="BL24" s="80"/>
      <c r="BM24" s="81"/>
      <c r="BN24" s="85"/>
    </row>
    <row r="25" ht="14.25" customHeight="1">
      <c r="A25" s="86" t="s">
        <v>34</v>
      </c>
      <c r="B25" s="86"/>
    </row>
    <row r="26" ht="14.25" customHeight="1">
      <c r="A26" s="87" t="s">
        <v>39</v>
      </c>
      <c r="B26" s="87"/>
    </row>
    <row r="27" ht="14.25" customHeight="1">
      <c r="A27" s="88" t="s">
        <v>40</v>
      </c>
      <c r="B27" s="88"/>
    </row>
    <row r="28" ht="14.25" customHeight="1"/>
    <row r="29" ht="14.25" customHeight="1">
      <c r="D29" s="89" t="s">
        <v>36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U7:AU8"/>
    <mergeCell ref="U9:AI9"/>
    <mergeCell ref="AJ9:AR9"/>
    <mergeCell ref="AD10:AF10"/>
    <mergeCell ref="AG10:AI10"/>
    <mergeCell ref="AJ10:AL10"/>
    <mergeCell ref="AM10:AO10"/>
    <mergeCell ref="A7:A11"/>
    <mergeCell ref="B7:B11"/>
    <mergeCell ref="C7:T8"/>
    <mergeCell ref="AV7:BM8"/>
    <mergeCell ref="BN7:BN11"/>
    <mergeCell ref="C9:E10"/>
    <mergeCell ref="BK9:BM10"/>
    <mergeCell ref="AP10:AR10"/>
    <mergeCell ref="F9:H10"/>
    <mergeCell ref="I9:K10"/>
    <mergeCell ref="L9:N10"/>
    <mergeCell ref="O9:Q10"/>
    <mergeCell ref="AS9:AU10"/>
    <mergeCell ref="AV9:AX10"/>
    <mergeCell ref="AY9:BA10"/>
    <mergeCell ref="BB9:BD10"/>
    <mergeCell ref="BE9:BG10"/>
    <mergeCell ref="BH9:BJ10"/>
    <mergeCell ref="R9:T10"/>
    <mergeCell ref="U10:W10"/>
    <mergeCell ref="X10:Z10"/>
    <mergeCell ref="AA10:AC10"/>
  </mergeCells>
  <printOptions/>
  <pageMargins bottom="0.5" footer="0.0" header="0.0" left="0.75" right="0.75" top="0.5"/>
  <pageSetup scale="40" orientation="landscape"/>
  <drawing r:id="rId1"/>
</worksheet>
</file>